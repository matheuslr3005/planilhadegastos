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Painel" sheetId="2" r:id="rId2"/>
    <sheet name="Lançamentos" sheetId="3" r:id="rId3"/>
    <sheet name="Orçamento" sheetId="4" r:id="rId4"/>
    <sheet name="Resumo Anual" sheetId="5" r:id="rId5"/>
    <sheet name="Metas" sheetId="6" r:id="rId6"/>
    <sheet name="Config" sheetId="7" r:id="rId7"/>
    <sheet name="Dados" sheetId="8" r:id="rId8"/>
  </sheets>
  <definedNames>
    <definedName name="_xlnm._FilterDatabase" localSheetId="2" hidden="1">Lançamentos!$B$8:$I$1508</definedName>
    <definedName name="_xlnm.Print_Titles" localSheetId="2">Lançamentos!$8:$8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8" authorId="0">
      <text>
        <r>
          <rPr>
            <sz val="8"/>
            <color indexed="81"/>
            <rFont val="Tahoma"/>
            <family val="2"/>
          </rPr>
          <t>Escolha no menu suspenso. A lista vem da aba Config.</t>
        </r>
      </text>
    </comment>
    <comment ref="F8" authorId="0">
      <text>
        <r>
          <rPr>
            <sz val="8"/>
            <color indexed="81"/>
            <rFont val="Tahoma"/>
            <family val="2"/>
          </rPr>
          <t>Digite SEMPRE valores positivos. O Tipo (Entrada/Saída) é automático e vem da categoria.</t>
        </r>
      </text>
    </comment>
    <comment ref="G8" authorId="0">
      <text>
        <r>
          <rPr>
            <sz val="8"/>
            <color indexed="81"/>
            <rFont val="Tahoma"/>
            <family val="2"/>
          </rPr>
          <t>Automático: Entrada ou Saída conforme a categoria. 'Verificar' = categoria que não existe mais na aba Config.</t>
        </r>
      </text>
    </comment>
  </commentList>
</comments>
</file>

<file path=xl/sharedStrings.xml><?xml version="1.0" encoding="utf-8"?>
<sst xmlns="http://schemas.openxmlformats.org/spreadsheetml/2006/main" count="270" uniqueCount="203">
  <si>
    <t>🏠 Início</t>
  </si>
  <si>
    <t>📊 Painel</t>
  </si>
  <si>
    <t>📝 Lançamentos</t>
  </si>
  <si>
    <t>💳 Orçamento</t>
  </si>
  <si>
    <t>📅 Resumo Anual</t>
  </si>
  <si>
    <t>🎯 Metas</t>
  </si>
  <si>
    <t>⚙ Config</t>
  </si>
  <si>
    <t>⚙ Configurações</t>
  </si>
  <si>
    <t>Personalize categorias, ano e parâmetros — tudo nas células amarelas. As mudanças se refletem em todas as abas.</t>
  </si>
  <si>
    <t>PARÂMETROS GERAIS</t>
  </si>
  <si>
    <t>Ano de referência</t>
  </si>
  <si>
    <t>Data de hoje (referência)</t>
  </si>
  <si>
    <t>Seu nome / título nos painéis</t>
  </si>
  <si>
    <t>Minhas Finanças</t>
  </si>
  <si>
    <t>Meta de taxa de poupança</t>
  </si>
  <si>
    <t>Saldo pessoal em 1º de janeiro</t>
  </si>
  <si>
    <t>💡 Células AMARELAS são suas: edite à vontade. A data de hoje usa =HOJE(); se quiser congelar uma data (por exemplo para estudar um mês passado), digite-a.
💡 Renomeie as categorias ao lado como preferir — os painéis acompanham. Evite deixar vazio e evite nomes repetidos.
💡 A 14ª categoria de SAÍDA ('Reserva e Metas') é tratada como poupança, não como gasto, no cálculo da taxa de poupança.
⚠ Renomeie as categorias ANTES de começar a lançar. Se renomear depois, use Localizar e Substituir na coluna Categoria dos lançamentos (senão eles ficam como 'Verificar').</t>
  </si>
  <si>
    <t>CATEGORIAS DE ENTRADA</t>
  </si>
  <si>
    <t>Salário</t>
  </si>
  <si>
    <t>Renda extra</t>
  </si>
  <si>
    <t>Rendimentos de investimentos</t>
  </si>
  <si>
    <t>13º e bônus</t>
  </si>
  <si>
    <t>Reembolsos</t>
  </si>
  <si>
    <t>Aluguéis recebidos</t>
  </si>
  <si>
    <t>Presentes recebidos</t>
  </si>
  <si>
    <t>Outras entradas</t>
  </si>
  <si>
    <t>CATEGORIAS DE SAÍDA</t>
  </si>
  <si>
    <t>Moradia</t>
  </si>
  <si>
    <t>Contas da casa</t>
  </si>
  <si>
    <t>Alimentação</t>
  </si>
  <si>
    <t>Transporte</t>
  </si>
  <si>
    <t>Saúde</t>
  </si>
  <si>
    <t>Educação</t>
  </si>
  <si>
    <t>Lazer</t>
  </si>
  <si>
    <t>Vestuário</t>
  </si>
  <si>
    <t>Assinaturas</t>
  </si>
  <si>
    <t>Cuidados pessoais</t>
  </si>
  <si>
    <t>Pets</t>
  </si>
  <si>
    <t>Presentes e doações</t>
  </si>
  <si>
    <t>Dívidas e financiamentos</t>
  </si>
  <si>
    <t>Reserva e Metas</t>
  </si>
  <si>
    <t>Impostos pessoais</t>
  </si>
  <si>
    <t>Outros</t>
  </si>
  <si>
    <t>FORMAS DE PAGAMENTO</t>
  </si>
  <si>
    <t>Pix</t>
  </si>
  <si>
    <t>Cartão de débito</t>
  </si>
  <si>
    <t>Cartão de crédito</t>
  </si>
  <si>
    <t>Dinheiro</t>
  </si>
  <si>
    <t>Boleto</t>
  </si>
  <si>
    <t>Transferência</t>
  </si>
  <si>
    <t>Débito automático</t>
  </si>
  <si>
    <t>Outro</t>
  </si>
  <si>
    <t>MÊS</t>
  </si>
  <si>
    <t>ABREV.</t>
  </si>
  <si>
    <t>Janeiro</t>
  </si>
  <si>
    <t>Jan</t>
  </si>
  <si>
    <t>Fevereiro</t>
  </si>
  <si>
    <t>Fev</t>
  </si>
  <si>
    <t>Março</t>
  </si>
  <si>
    <t>Mar</t>
  </si>
  <si>
    <t>Abril</t>
  </si>
  <si>
    <t>Abr</t>
  </si>
  <si>
    <t>Maio</t>
  </si>
  <si>
    <t>Mai</t>
  </si>
  <si>
    <t>Junho</t>
  </si>
  <si>
    <t>Jun</t>
  </si>
  <si>
    <t>Julho</t>
  </si>
  <si>
    <t>Jul</t>
  </si>
  <si>
    <t>Agosto</t>
  </si>
  <si>
    <t>Ago</t>
  </si>
  <si>
    <t>Setembro</t>
  </si>
  <si>
    <t>Set</t>
  </si>
  <si>
    <t>Outubro</t>
  </si>
  <si>
    <t>Out</t>
  </si>
  <si>
    <t>Novembro</t>
  </si>
  <si>
    <t>Nov</t>
  </si>
  <si>
    <t>Dezembro</t>
  </si>
  <si>
    <t>Dez</t>
  </si>
  <si>
    <t>🧮 Dados auxiliares</t>
  </si>
  <si>
    <t>Cálculos que alimentam os gráficos e painéis. Não edite esta aba.</t>
  </si>
  <si>
    <t>PARÂMETROS CALCULADOS</t>
  </si>
  <si>
    <t>Mês selecionado – Painel (1-12)</t>
  </si>
  <si>
    <t>Mês selecionado – Orçamento (1-12)</t>
  </si>
  <si>
    <t>Meses decorridos no ano (pela data de hoje)</t>
  </si>
  <si>
    <t>Meses com movimento (pessoal)</t>
  </si>
  <si>
    <t>Total de saídas no mês do Painel</t>
  </si>
  <si>
    <t>LISTA COMBINADA (pessoal)</t>
  </si>
  <si>
    <t>Categoria de saída</t>
  </si>
  <si>
    <t>Valor no mês</t>
  </si>
  <si>
    <t>Planejado</t>
  </si>
  <si>
    <t>Chave (aux)</t>
  </si>
  <si>
    <t>Acima?</t>
  </si>
  <si>
    <t>Categorias acima do orçamento (mês do Painel)</t>
  </si>
  <si>
    <t>#</t>
  </si>
  <si>
    <t>Posição na lista</t>
  </si>
  <si>
    <t>Categoria</t>
  </si>
  <si>
    <t>Realizado</t>
  </si>
  <si>
    <t>Rosca – categoria</t>
  </si>
  <si>
    <t>Valor</t>
  </si>
  <si>
    <t>Outras categorias</t>
  </si>
  <si>
    <t>Título do gráfico de rosca</t>
  </si>
  <si>
    <t>📝 Lançamentos — registre cada entrada e saída</t>
  </si>
  <si>
    <t>Preencha as colunas amarelas. Valor sempre positivo; o Tipo (Entrada/Saída) é automático pela categoria.</t>
  </si>
  <si>
    <t>ENTRADAS NO ANO</t>
  </si>
  <si>
    <t>SAÍDAS NO ANO</t>
  </si>
  <si>
    <t>SALDO DO ANO</t>
  </si>
  <si>
    <t>VERIFICAÇÃO AUTOMÁTICA</t>
  </si>
  <si>
    <t>Data</t>
  </si>
  <si>
    <t>Descrição</t>
  </si>
  <si>
    <t>Forma de pagamento</t>
  </si>
  <si>
    <t>Valor (R$)</t>
  </si>
  <si>
    <t>Tipo</t>
  </si>
  <si>
    <t>Meta (opcional)</t>
  </si>
  <si>
    <t>Observação</t>
  </si>
  <si>
    <t>📅 Resumo anual — entradas e saídas por mês</t>
  </si>
  <si>
    <t>Totalizado automaticamente a partir da aba de lançamentos. Cores destacam saldos positivos e negativos.</t>
  </si>
  <si>
    <t>Total</t>
  </si>
  <si>
    <t>Média/mês</t>
  </si>
  <si>
    <t>% das saídas</t>
  </si>
  <si>
    <t>▲  ENTRADAS</t>
  </si>
  <si>
    <t>Total de entradas</t>
  </si>
  <si>
    <t>▼  SAÍDAS</t>
  </si>
  <si>
    <t>Total de saídas</t>
  </si>
  <si>
    <t>💰 Saldo do mês (entradas − saídas)</t>
  </si>
  <si>
    <t>📈 Saldo acumulado (inclui saldo inicial)</t>
  </si>
  <si>
    <t>🏦 Taxa de poupança</t>
  </si>
  <si>
    <t>Taxa de poupança: o que sobrou + o que foi para 'Reserva e Metas' (14ª categoria de saída, tratada como poupança, não como gasto). Verde = meta atingida (Config); amarelo = abaixo da meta; vermelho = negativa.</t>
  </si>
  <si>
    <t>💳 Orçamento mensal — planejado × realizado</t>
  </si>
  <si>
    <t>Defina quanto pretende gastar em cada categoria. O 'realizado' vem dos lançamentos do mês escolhido.</t>
  </si>
  <si>
    <t>📅 Mês de análise:</t>
  </si>
  <si>
    <t>← escolha o mês no menu suspenso. Os valores planejados (amarelo) valem para todos os meses.</t>
  </si>
  <si>
    <t>Planejado (mês)</t>
  </si>
  <si>
    <t>Diferença</t>
  </si>
  <si>
    <t>% usado</t>
  </si>
  <si>
    <t>Progresso</t>
  </si>
  <si>
    <t>Situação</t>
  </si>
  <si>
    <t>Renda do mês (entradas)</t>
  </si>
  <si>
    <t>DESPESAS POR CATEGORIA</t>
  </si>
  <si>
    <t>TOTAL DAS DESPESAS</t>
  </si>
  <si>
    <t>SALDO (renda − despesas)</t>
  </si>
  <si>
    <t>🎯 Metas de economia</t>
  </si>
  <si>
    <t>Cadastre seus objetivos. Para registrar um aporte, lance uma SAÍDA na aba de lançamentos e escolha a meta na última coluna (um resgate é uma ENTRADA com a meta escolhida).</t>
  </si>
  <si>
    <t>Meta</t>
  </si>
  <si>
    <t>Valor alvo</t>
  </si>
  <si>
    <t>Já guardado (antes)</t>
  </si>
  <si>
    <t>Prazo</t>
  </si>
  <si>
    <t>Aportes lançados</t>
  </si>
  <si>
    <t>Total guardado</t>
  </si>
  <si>
    <t>% concl.</t>
  </si>
  <si>
    <t>Falta</t>
  </si>
  <si>
    <t>Meses restantes</t>
  </si>
  <si>
    <t>Aporte mensal necessário</t>
  </si>
  <si>
    <t>🛟 RESERVA DE EMERGÊNCIA IDEAL</t>
  </si>
  <si>
    <t>Meses de cobertura desejados</t>
  </si>
  <si>
    <t>Média mensal de saídas</t>
  </si>
  <si>
    <t>Reserva ideal (meses × média)</t>
  </si>
  <si>
    <t>Total guardado nas suas metas</t>
  </si>
  <si>
    <t>A regra de bolso: entre 3 e 6 meses do seu custo de vida (6 a 12 para autônomos e renda variável).</t>
  </si>
  <si>
    <t>Escolha o mês no menu suspenso: cartões, gráficos e alertas se atualizam sozinhos.</t>
  </si>
  <si>
    <t>📅 Mês de análise</t>
  </si>
  <si>
    <t>← o ano e a meta de poupança ficam na aba Config</t>
  </si>
  <si>
    <t>ENTRADAS DO MÊS</t>
  </si>
  <si>
    <t>SAÍDAS DO MÊS</t>
  </si>
  <si>
    <t>SALDO DO MÊS</t>
  </si>
  <si>
    <t>TAXA DE POUPANÇA</t>
  </si>
  <si>
    <t>SALDO ACUMULADO</t>
  </si>
  <si>
    <t>no ano, até o mês escolhido</t>
  </si>
  <si>
    <t>MAIOR GASTO DO MÊS</t>
  </si>
  <si>
    <t>🎯  METAS DE ECONOMIA</t>
  </si>
  <si>
    <t>Guardado</t>
  </si>
  <si>
    <t>%</t>
  </si>
  <si>
    <t>Veja todas as metas e o simulador de aportes na aba Metas.</t>
  </si>
  <si>
    <t>🔔  ALERTAS E INSIGHTS DO MÊS</t>
  </si>
  <si>
    <t>Finanças em Dia — Pessoal</t>
  </si>
  <si>
    <t>Controle financeiro pessoal e doméstico • Excel e Google Sheets</t>
  </si>
  <si>
    <t>Bem-vindo(a)! Esta planilha organiza suas finanças do jeito mais simples: você só LANÇA os valores e todo o resto — resumos, gráficos, alertas e metas — é calculado automaticamente. Use o Painel para enxergar para onde o dinheiro vai e a aba Metas para transformar sonhos em planos.</t>
  </si>
  <si>
    <t>🚀  COMECE EM 5 MINUTOS</t>
  </si>
  <si>
    <t>Em ⚙ Config: confira o ANO, escreva seu nome e renomeie as categorias, se quiser.</t>
  </si>
  <si>
    <t>Em 💳 Orçamento: informe a renda prevista e quanto pretende gastar em cada categoria.</t>
  </si>
  <si>
    <t>Em 🎯 Metas: cadastre seus objetivos (reserva de emergência, viagem, carro...).</t>
  </si>
  <si>
    <t>No dia a dia: registre cada entrada e saída em 📝 Lançamentos — escolha a categoria no menu suspenso.</t>
  </si>
  <si>
    <t>Abra o 📊 Painel, escolha o mês e veja gráficos, alertas e a evolução das suas metas.</t>
  </si>
  <si>
    <t>🗺  MAPA DA PLANILHA — clique no botão para navegar</t>
  </si>
  <si>
    <t>Cartões, gráficos e alertas do mês escolhido: entradas, saídas, saldo e poupança.</t>
  </si>
  <si>
    <t>Registro de todas as entradas e saídas (tipo automático pela categoria).</t>
  </si>
  <si>
    <t>Planejado × realizado por categoria, com barras de progresso e alertas.</t>
  </si>
  <si>
    <t>Quadro mês a mês por categoria (entradas e saídas), com mapa de calor.</t>
  </si>
  <si>
    <t>Objetivos de economia, aporte mensal necessário e reserva de emergência.</t>
  </si>
  <si>
    <t>Ano, nome, categorias, formas de pagamento e meta de poupança.</t>
  </si>
  <si>
    <t>🎨  LEGENDA DE CORES</t>
  </si>
  <si>
    <t>Você preenche</t>
  </si>
  <si>
    <t>Fórmula (automático)</t>
  </si>
  <si>
    <t>Positivo / bom</t>
  </si>
  <si>
    <t>Atenção</t>
  </si>
  <si>
    <t>Negativo / alerta</t>
  </si>
  <si>
    <t>Informação</t>
  </si>
  <si>
    <t>💡  DICAS IMPORTANTES</t>
  </si>
  <si>
    <t>•  Google Sheets: envie o arquivo .xlsx para o Google Drive e abra com o Google Planilhas (ou Arquivo ▸ Importar). Os menus, gráficos, listas suspensas e cores funcionam igualmente.</t>
  </si>
  <si>
    <t>•  Digite sempre valores POSITIVOS. Se a categoria for de entrada, o valor soma; se for de saída, subtrai — o tipo é automático.</t>
  </si>
  <si>
    <t>•  Para começar um novo ano: salve uma cópia do arquivo, apague os lançamentos (colunas amarelas) e mude o ano em Config.</t>
  </si>
  <si>
    <t>•  Não insira/apague linhas dentro das tabelas de fórmulas. Para ver mais lançamentos, use os filtros do cabeçalho; há espaço para 1500 linhas.</t>
  </si>
  <si>
    <t>•  Cada aba tem botões de navegação no topo. Se algo parecer estranho, confira a faixa de VERIFICAÇÃO no topo de Lançamentos.</t>
  </si>
  <si>
    <t>Planilha educativa de organização financeira. Valores e exemplos são fictícios.</t>
  </si>
</sst>
</file>

<file path=xl/styles.xml><?xml version="1.0" encoding="utf-8"?>
<styleSheet xmlns="http://schemas.openxmlformats.org/spreadsheetml/2006/main">
  <numFmts count="7">
    <numFmt numFmtId="164" formatCode="&quot;R$&quot; #,##0;-&quot;R$&quot; #,##0"/>
    <numFmt numFmtId="165" formatCode="0%"/>
    <numFmt numFmtId="166" formatCode="&quot;R$&quot; #,##0.00"/>
    <numFmt numFmtId="167" formatCode="dd/mm/yyyy"/>
    <numFmt numFmtId="168" formatCode="&quot;R$&quot; #,##0.00;-&quot;R$&quot; #,##0.00"/>
    <numFmt numFmtId="169" formatCode="&quot;R$&quot; #,##0.00;-&quot;R$&quot; #,##0.00;&quot;–&quot;"/>
    <numFmt numFmtId="170" formatCode="0.000000"/>
  </numFmts>
  <fonts count="40">
    <font>
      <sz val="11"/>
      <color theme="1"/>
      <name val="Calibri"/>
      <family val="2"/>
      <scheme val="minor"/>
    </font>
    <font>
      <sz val="10"/>
      <color rgb="FF334155"/>
      <name val="Arial"/>
      <family val="2"/>
    </font>
    <font>
      <b/>
      <sz val="9"/>
      <color rgb="FF115E59"/>
      <name val="Arial"/>
      <family val="2"/>
    </font>
    <font>
      <b/>
      <sz val="9"/>
      <color rgb="FFFFFFFF"/>
      <name val="Arial"/>
      <family val="2"/>
    </font>
    <font>
      <b/>
      <sz val="17"/>
      <color rgb="FFFFFFFF"/>
      <name val="Arial"/>
      <family val="2"/>
    </font>
    <font>
      <i/>
      <sz val="9"/>
      <color rgb="FF64748B"/>
      <name val="Arial"/>
      <family val="2"/>
    </font>
    <font>
      <sz val="11"/>
      <color rgb="FF0F172A"/>
      <name val="Arial"/>
      <family val="2"/>
    </font>
    <font>
      <b/>
      <sz val="11"/>
      <color rgb="FFFFFFFF"/>
      <name val="Arial"/>
      <family val="2"/>
    </font>
    <font>
      <b/>
      <sz val="14"/>
      <color rgb="FF0F766E"/>
      <name val="Arial"/>
      <family val="2"/>
    </font>
    <font>
      <b/>
      <sz val="10"/>
      <color rgb="FFFFFFFF"/>
      <name val="Arial"/>
      <family val="2"/>
    </font>
    <font>
      <sz val="9"/>
      <color rgb="FF334155"/>
      <name val="Arial"/>
      <family val="2"/>
    </font>
    <font>
      <b/>
      <sz val="10"/>
      <color rgb="FF1D4ED8"/>
      <name val="Arial"/>
      <family val="2"/>
    </font>
    <font>
      <b/>
      <sz val="10"/>
      <color rgb="FF15803D"/>
      <name val="Arial"/>
      <family val="2"/>
    </font>
    <font>
      <b/>
      <sz val="10"/>
      <color rgb="FFB45309"/>
      <name val="Arial"/>
      <family val="2"/>
    </font>
    <font>
      <b/>
      <sz val="10"/>
      <color rgb="FFB91C1C"/>
      <name val="Arial"/>
      <family val="2"/>
    </font>
    <font>
      <b/>
      <sz val="10"/>
      <color rgb="FF2563EB"/>
      <name val="Arial"/>
      <family val="2"/>
    </font>
    <font>
      <i/>
      <sz val="8"/>
      <color rgb="FF64748B"/>
      <name val="Arial"/>
      <family val="2"/>
    </font>
    <font>
      <b/>
      <sz val="11"/>
      <color rgb="FF334155"/>
      <name val="Arial"/>
      <family val="2"/>
    </font>
    <font>
      <b/>
      <sz val="12"/>
      <color rgb="FF1D4ED8"/>
      <name val="Arial"/>
      <family val="2"/>
    </font>
    <font>
      <b/>
      <sz val="10"/>
      <color rgb="FF64748B"/>
      <name val="Arial"/>
      <family val="2"/>
    </font>
    <font>
      <b/>
      <sz val="10"/>
      <color rgb="FF334155"/>
      <name val="Arial"/>
      <family val="2"/>
    </font>
    <font>
      <b/>
      <sz val="8"/>
      <color rgb="FF64748B"/>
      <name val="Arial"/>
      <family val="2"/>
    </font>
    <font>
      <b/>
      <sz val="20"/>
      <color rgb="FF0F172A"/>
      <name val="Arial"/>
      <family val="2"/>
    </font>
    <font>
      <b/>
      <sz val="12"/>
      <color rgb="FF0F172A"/>
      <name val="Arial"/>
      <family val="2"/>
    </font>
    <font>
      <sz val="9"/>
      <color rgb="FF64748B"/>
      <name val="Arial"/>
      <family val="2"/>
    </font>
    <font>
      <b/>
      <sz val="9"/>
      <color rgb="FF0F766E"/>
      <name val="Arial"/>
      <family val="2"/>
    </font>
    <font>
      <sz val="9"/>
      <color rgb="FF14B8A6"/>
      <name val="Arial"/>
      <family val="2"/>
    </font>
    <font>
      <b/>
      <sz val="8"/>
      <color rgb="FF334155"/>
      <name val="Arial"/>
      <family val="2"/>
    </font>
    <font>
      <sz val="10"/>
      <color rgb="FF1D4ED8"/>
      <name val="Arial"/>
      <family val="2"/>
    </font>
    <font>
      <b/>
      <sz val="9"/>
      <color rgb="FF334155"/>
      <name val="Arial"/>
      <family val="2"/>
    </font>
    <font>
      <b/>
      <sz val="14"/>
      <color rgb="FF15803D"/>
      <name val="Arial"/>
      <family val="2"/>
    </font>
    <font>
      <b/>
      <sz val="14"/>
      <color rgb="FFB91C1C"/>
      <name val="Arial"/>
      <family val="2"/>
    </font>
    <font>
      <b/>
      <sz val="14"/>
      <color rgb="FF0F172A"/>
      <name val="Arial"/>
      <family val="2"/>
    </font>
    <font>
      <b/>
      <sz val="9"/>
      <color rgb="FF15803D"/>
      <name val="Arial"/>
      <family val="2"/>
    </font>
    <font>
      <b/>
      <sz val="10"/>
      <color rgb="FF0F766E"/>
      <name val="Arial"/>
      <family val="2"/>
    </font>
    <font>
      <b/>
      <sz val="11"/>
      <color rgb="FF1D4ED8"/>
      <name val="Arial"/>
      <family val="2"/>
    </font>
    <font>
      <sz val="9"/>
      <color rgb="FF15803D"/>
      <name val="Arial"/>
      <family val="2"/>
    </font>
    <font>
      <sz val="10"/>
      <color rgb="FF64748B"/>
      <name val="Arial"/>
      <family val="2"/>
    </font>
    <font>
      <b/>
      <sz val="10"/>
      <color rgb="FF1E3A8A"/>
      <name val="Arial"/>
      <family val="2"/>
    </font>
    <font>
      <sz val="8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172554"/>
        <bgColor indexed="64"/>
      </patternFill>
    </fill>
    <fill>
      <patternFill patternType="solid">
        <fgColor rgb="FF2563EB"/>
        <bgColor indexed="64"/>
      </patternFill>
    </fill>
  </fills>
  <borders count="22">
    <border>
      <left/>
      <right/>
      <top/>
      <bottom/>
      <diagonal/>
    </border>
    <border>
      <left style="thin">
        <color rgb="FF115E59"/>
      </left>
      <right style="thin">
        <color rgb="FF115E59"/>
      </right>
      <top style="thin">
        <color rgb="FF115E59"/>
      </top>
      <bottom style="thin">
        <color rgb="FF115E5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2E8F0"/>
      </bottom>
      <diagonal/>
    </border>
    <border>
      <left style="thin">
        <color rgb="FFE7D98B"/>
      </left>
      <right style="thin">
        <color rgb="FFE7D98B"/>
      </right>
      <top style="thin">
        <color rgb="FFE7D98B"/>
      </top>
      <bottom style="thin">
        <color rgb="FFE7D9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F1F5F9"/>
      </left>
      <right style="thick">
        <color rgb="FFF1F5F9"/>
      </right>
      <top style="medium">
        <color rgb="FF10B981"/>
      </top>
      <bottom/>
      <diagonal/>
    </border>
    <border>
      <left style="thick">
        <color rgb="FFF1F5F9"/>
      </left>
      <right style="thick">
        <color rgb="FFF1F5F9"/>
      </right>
      <top style="medium">
        <color rgb="FFF43F5E"/>
      </top>
      <bottom/>
      <diagonal/>
    </border>
    <border>
      <left style="thick">
        <color rgb="FFF1F5F9"/>
      </left>
      <right style="thick">
        <color rgb="FFF1F5F9"/>
      </right>
      <top style="medium">
        <color rgb="FF2563EB"/>
      </top>
      <bottom/>
      <diagonal/>
    </border>
    <border>
      <left style="thick">
        <color rgb="FFF1F5F9"/>
      </left>
      <right style="thick">
        <color rgb="FFF1F5F9"/>
      </right>
      <top style="medium">
        <color rgb="FF7C3AED"/>
      </top>
      <bottom/>
      <diagonal/>
    </border>
    <border>
      <left style="thick">
        <color rgb="FFF1F5F9"/>
      </left>
      <right style="thick">
        <color rgb="FFF1F5F9"/>
      </right>
      <top style="medium">
        <color rgb="FF0891B2"/>
      </top>
      <bottom/>
      <diagonal/>
    </border>
    <border>
      <left style="thick">
        <color rgb="FFF1F5F9"/>
      </left>
      <right style="thick">
        <color rgb="FFF1F5F9"/>
      </right>
      <top style="medium">
        <color rgb="FFF59E0B"/>
      </top>
      <bottom/>
      <diagonal/>
    </border>
    <border>
      <left style="thick">
        <color rgb="FFF1F5F9"/>
      </left>
      <right style="thick">
        <color rgb="FFF1F5F9"/>
      </right>
      <top/>
      <bottom/>
      <diagonal/>
    </border>
    <border>
      <left style="thick">
        <color rgb="FFF1F5F9"/>
      </left>
      <right style="thick">
        <color rgb="FFF1F5F9"/>
      </right>
      <top/>
      <bottom style="thick">
        <color rgb="FFF1F5F9"/>
      </bottom>
      <diagonal/>
    </border>
    <border>
      <left/>
      <right/>
      <top/>
      <bottom style="medium">
        <color rgb="FF0F766E"/>
      </bottom>
      <diagonal/>
    </border>
    <border>
      <left/>
      <right/>
      <top style="medium">
        <color rgb="FF0F766E"/>
      </top>
      <bottom/>
      <diagonal/>
    </border>
    <border>
      <left/>
      <right/>
      <top style="thin">
        <color rgb="FF0F766E"/>
      </top>
      <bottom/>
      <diagonal/>
    </border>
    <border>
      <left/>
      <right/>
      <top style="thin">
        <color rgb="FF15803D"/>
      </top>
      <bottom style="thin">
        <color rgb="FF15803D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/>
      <top/>
      <bottom style="medium">
        <color rgb="FF2563EB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6" fillId="3" borderId="0" xfId="0" applyFont="1" applyFill="1" applyAlignment="1">
      <alignment vertical="top" indent="1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 wrapText="1"/>
    </xf>
    <xf numFmtId="0" fontId="9" fillId="5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 indent="1" wrapText="1"/>
    </xf>
    <xf numFmtId="0" fontId="9" fillId="7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right" vertical="center"/>
    </xf>
    <xf numFmtId="0" fontId="18" fillId="8" borderId="4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right" vertical="center"/>
    </xf>
    <xf numFmtId="1" fontId="20" fillId="3" borderId="5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 indent="1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164" fontId="22" fillId="3" borderId="12" xfId="0" applyNumberFormat="1" applyFont="1" applyFill="1" applyBorder="1" applyAlignment="1">
      <alignment horizontal="center" vertical="center" shrinkToFit="1"/>
    </xf>
    <xf numFmtId="165" fontId="22" fillId="3" borderId="12" xfId="0" applyNumberFormat="1" applyFont="1" applyFill="1" applyBorder="1" applyAlignment="1">
      <alignment horizontal="center" vertical="center" shrinkToFit="1"/>
    </xf>
    <xf numFmtId="0" fontId="23" fillId="3" borderId="12" xfId="0" applyFont="1" applyFill="1" applyBorder="1" applyAlignment="1">
      <alignment horizontal="center" vertical="center" shrinkToFit="1"/>
    </xf>
    <xf numFmtId="0" fontId="24" fillId="3" borderId="13" xfId="0" applyFont="1" applyFill="1" applyBorder="1" applyAlignment="1">
      <alignment horizontal="center" vertical="center"/>
    </xf>
    <xf numFmtId="166" fontId="24" fillId="3" borderId="13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 indent="1"/>
    </xf>
    <xf numFmtId="0" fontId="25" fillId="6" borderId="14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 vertical="center" indent="1"/>
    </xf>
    <xf numFmtId="164" fontId="1" fillId="3" borderId="3" xfId="0" applyNumberFormat="1" applyFont="1" applyFill="1" applyBorder="1" applyAlignment="1">
      <alignment horizontal="center" vertical="center"/>
    </xf>
    <xf numFmtId="165" fontId="20" fillId="3" borderId="3" xfId="0" applyNumberFormat="1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vertical="center"/>
    </xf>
    <xf numFmtId="0" fontId="27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/>
    </xf>
    <xf numFmtId="167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168" fontId="28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21" fillId="2" borderId="15" xfId="0" applyFont="1" applyFill="1" applyBorder="1" applyAlignment="1">
      <alignment horizontal="left" vertical="center" indent="1"/>
    </xf>
    <xf numFmtId="168" fontId="30" fillId="2" borderId="0" xfId="0" applyNumberFormat="1" applyFont="1" applyFill="1" applyAlignment="1">
      <alignment horizontal="left" vertical="center" indent="1"/>
    </xf>
    <xf numFmtId="168" fontId="31" fillId="2" borderId="0" xfId="0" applyNumberFormat="1" applyFont="1" applyFill="1" applyAlignment="1">
      <alignment horizontal="left" vertical="center" indent="1"/>
    </xf>
    <xf numFmtId="168" fontId="32" fillId="2" borderId="0" xfId="0" applyNumberFormat="1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 wrapText="1"/>
    </xf>
    <xf numFmtId="0" fontId="34" fillId="6" borderId="1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3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34" fillId="6" borderId="14" xfId="0" applyFont="1" applyFill="1" applyBorder="1" applyAlignment="1">
      <alignment horizontal="left" vertical="center" indent="1" wrapText="1"/>
    </xf>
    <xf numFmtId="0" fontId="20" fillId="9" borderId="3" xfId="0" applyFont="1" applyFill="1" applyBorder="1" applyAlignment="1">
      <alignment horizontal="left" vertical="center" indent="1"/>
    </xf>
    <xf numFmtId="168" fontId="28" fillId="8" borderId="4" xfId="0" applyNumberFormat="1" applyFont="1" applyFill="1" applyBorder="1" applyAlignment="1">
      <alignment vertical="center"/>
    </xf>
    <xf numFmtId="168" fontId="1" fillId="0" borderId="3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center" vertical="center"/>
    </xf>
    <xf numFmtId="0" fontId="36" fillId="0" borderId="3" xfId="0" applyFont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indent="1"/>
    </xf>
    <xf numFmtId="0" fontId="20" fillId="6" borderId="16" xfId="0" applyFont="1" applyFill="1" applyBorder="1" applyAlignment="1">
      <alignment horizontal="left" vertical="center" indent="1"/>
    </xf>
    <xf numFmtId="168" fontId="20" fillId="6" borderId="16" xfId="0" applyNumberFormat="1" applyFont="1" applyFill="1" applyBorder="1" applyAlignment="1">
      <alignment vertical="center"/>
    </xf>
    <xf numFmtId="165" fontId="20" fillId="6" borderId="16" xfId="0" applyNumberFormat="1" applyFont="1" applyFill="1" applyBorder="1" applyAlignment="1">
      <alignment vertical="center"/>
    </xf>
    <xf numFmtId="169" fontId="20" fillId="6" borderId="16" xfId="0" applyNumberFormat="1" applyFont="1" applyFill="1" applyBorder="1" applyAlignment="1">
      <alignment vertical="center"/>
    </xf>
    <xf numFmtId="0" fontId="29" fillId="6" borderId="16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left" vertical="center" indent="1"/>
    </xf>
    <xf numFmtId="168" fontId="17" fillId="0" borderId="14" xfId="0" applyNumberFormat="1" applyFont="1" applyBorder="1" applyAlignment="1">
      <alignment vertical="center"/>
    </xf>
    <xf numFmtId="167" fontId="1" fillId="0" borderId="0" xfId="0" applyNumberFormat="1" applyFont="1" applyAlignment="1">
      <alignment vertical="center"/>
    </xf>
    <xf numFmtId="0" fontId="9" fillId="13" borderId="0" xfId="0" applyFont="1" applyFill="1" applyAlignment="1">
      <alignment horizontal="left" vertical="center" indent="1"/>
    </xf>
    <xf numFmtId="169" fontId="1" fillId="0" borderId="3" xfId="0" applyNumberFormat="1" applyFont="1" applyBorder="1" applyAlignment="1">
      <alignment vertical="center"/>
    </xf>
    <xf numFmtId="169" fontId="20" fillId="0" borderId="3" xfId="0" applyNumberFormat="1" applyFont="1" applyBorder="1" applyAlignment="1">
      <alignment vertical="center"/>
    </xf>
    <xf numFmtId="169" fontId="37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0" fillId="9" borderId="17" xfId="0" applyFont="1" applyFill="1" applyBorder="1" applyAlignment="1">
      <alignment horizontal="left" vertical="center" indent="1"/>
    </xf>
    <xf numFmtId="169" fontId="20" fillId="9" borderId="17" xfId="0" applyNumberFormat="1" applyFont="1" applyFill="1" applyBorder="1" applyAlignment="1">
      <alignment vertical="center"/>
    </xf>
    <xf numFmtId="0" fontId="9" fillId="14" borderId="0" xfId="0" applyFont="1" applyFill="1" applyAlignment="1">
      <alignment horizontal="left" vertical="center" indent="1"/>
    </xf>
    <xf numFmtId="165" fontId="37" fillId="0" borderId="3" xfId="0" applyNumberFormat="1" applyFont="1" applyBorder="1" applyAlignment="1">
      <alignment horizontal="center" vertical="center"/>
    </xf>
    <xf numFmtId="0" fontId="20" fillId="11" borderId="18" xfId="0" applyFont="1" applyFill="1" applyBorder="1" applyAlignment="1">
      <alignment horizontal="left" vertical="center" indent="1"/>
    </xf>
    <xf numFmtId="169" fontId="20" fillId="11" borderId="18" xfId="0" applyNumberFormat="1" applyFont="1" applyFill="1" applyBorder="1" applyAlignment="1">
      <alignment vertical="center"/>
    </xf>
    <xf numFmtId="0" fontId="20" fillId="0" borderId="19" xfId="0" applyFont="1" applyBorder="1" applyAlignment="1">
      <alignment horizontal="left" vertical="center" indent="1"/>
    </xf>
    <xf numFmtId="168" fontId="20" fillId="0" borderId="19" xfId="0" applyNumberFormat="1" applyFont="1" applyBorder="1" applyAlignment="1">
      <alignment horizontal="right" vertical="center"/>
    </xf>
    <xf numFmtId="0" fontId="20" fillId="0" borderId="20" xfId="0" applyFont="1" applyBorder="1" applyAlignment="1">
      <alignment horizontal="left" vertical="center" indent="1"/>
    </xf>
    <xf numFmtId="165" fontId="20" fillId="0" borderId="1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28" fillId="8" borderId="4" xfId="0" applyFont="1" applyFill="1" applyBorder="1" applyAlignment="1">
      <alignment horizontal="left" vertical="center"/>
    </xf>
    <xf numFmtId="167" fontId="28" fillId="8" borderId="4" xfId="0" applyNumberFormat="1" applyFont="1" applyFill="1" applyBorder="1" applyAlignment="1">
      <alignment horizontal="center" vertical="center"/>
    </xf>
    <xf numFmtId="165" fontId="20" fillId="0" borderId="3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1" fontId="28" fillId="8" borderId="4" xfId="0" applyNumberFormat="1" applyFont="1" applyFill="1" applyBorder="1" applyAlignment="1">
      <alignment vertical="center"/>
    </xf>
    <xf numFmtId="168" fontId="20" fillId="0" borderId="3" xfId="0" applyNumberFormat="1" applyFont="1" applyBorder="1" applyAlignment="1">
      <alignment vertical="center"/>
    </xf>
    <xf numFmtId="0" fontId="16" fillId="0" borderId="0" xfId="0" applyFont="1" applyAlignment="1">
      <alignment horizontal="left" vertical="center" indent="1"/>
    </xf>
    <xf numFmtId="1" fontId="28" fillId="8" borderId="4" xfId="0" applyNumberFormat="1" applyFont="1" applyFill="1" applyBorder="1" applyAlignment="1">
      <alignment horizontal="right" vertical="center"/>
    </xf>
    <xf numFmtId="0" fontId="37" fillId="0" borderId="3" xfId="0" applyFont="1" applyBorder="1" applyAlignment="1">
      <alignment vertical="center"/>
    </xf>
    <xf numFmtId="167" fontId="28" fillId="8" borderId="4" xfId="0" applyNumberFormat="1" applyFont="1" applyFill="1" applyBorder="1" applyAlignment="1">
      <alignment horizontal="right" vertical="center"/>
    </xf>
    <xf numFmtId="165" fontId="28" fillId="8" borderId="4" xfId="0" applyNumberFormat="1" applyFont="1" applyFill="1" applyBorder="1" applyAlignment="1">
      <alignment horizontal="right" vertical="center"/>
    </xf>
    <xf numFmtId="168" fontId="28" fillId="8" borderId="4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top" wrapText="1"/>
    </xf>
    <xf numFmtId="0" fontId="4" fillId="15" borderId="0" xfId="0" applyFont="1" applyFill="1" applyAlignment="1">
      <alignment horizontal="left" vertical="center" indent="1"/>
    </xf>
    <xf numFmtId="0" fontId="9" fillId="16" borderId="0" xfId="0" applyFont="1" applyFill="1" applyAlignment="1">
      <alignment horizontal="left" vertical="center" indent="1"/>
    </xf>
    <xf numFmtId="1" fontId="1" fillId="0" borderId="3" xfId="0" applyNumberFormat="1" applyFont="1" applyBorder="1" applyAlignment="1">
      <alignment vertical="center"/>
    </xf>
    <xf numFmtId="0" fontId="38" fillId="12" borderId="21" xfId="0" applyFont="1" applyFill="1" applyBorder="1" applyAlignment="1">
      <alignment horizontal="center" vertical="center" wrapText="1"/>
    </xf>
    <xf numFmtId="170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16">
    <dxf>
      <font>
        <color rgb="FFB91C1C"/>
      </font>
    </dxf>
    <dxf>
      <font>
        <color rgb="FFB45309"/>
      </font>
    </dxf>
    <dxf>
      <font>
        <b/>
        <color rgb="FF15803D"/>
      </font>
    </dxf>
    <dxf>
      <font>
        <b/>
        <color rgb="FFB91C1C"/>
      </font>
    </dxf>
    <dxf>
      <font>
        <color rgb="FF15803D"/>
      </font>
      <fill>
        <patternFill>
          <bgColor rgb="FFDCFCE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B45309"/>
      </font>
      <fill>
        <patternFill>
          <bgColor rgb="FFFEF3C7"/>
        </patternFill>
      </fill>
    </dxf>
    <dxf>
      <font>
        <color rgb="FF334155"/>
      </font>
      <fill>
        <patternFill>
          <bgColor rgb="FFF8FAFC"/>
        </patternFill>
      </fill>
      <border>
        <left/>
        <right/>
        <top/>
        <bottom style="thin">
          <color rgb="FFE2E8F0"/>
        </bottom>
        <vertical/>
        <horizontal/>
      </border>
    </dxf>
    <dxf>
      <font>
        <color rgb="FF334155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B91C1C"/>
      </font>
      <fill>
        <patternFill>
          <bgColor rgb="FFFEE2E2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color rgb="FF15803D"/>
      </font>
    </dxf>
    <dxf>
      <font>
        <color rgb="FFF59E0B"/>
      </font>
    </dxf>
    <dxf>
      <font>
        <color rgb="FF2563EB"/>
      </font>
      <fill>
        <patternFill>
          <bgColor rgb="FFDBEAFE"/>
        </patternFill>
      </fill>
    </dxf>
    <dxf>
      <font>
        <b/>
        <color rgb="FFB45309"/>
      </font>
      <fill>
        <patternFill>
          <bgColor rgb="FFFEF3C7"/>
        </patternFill>
      </fill>
    </dxf>
    <dxf>
      <font>
        <b/>
        <color rgb="FF2563EB"/>
      </font>
      <fill>
        <patternFill>
          <bgColor rgb="FFDBEAF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Entradas × Saídas × Saldo — mês a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Entradas</c:v>
          </c:tx>
          <c:spPr>
            <a:solidFill>
              <a:srgbClr val="10B981"/>
            </a:solidFill>
          </c:spPr>
          <c:cat>
            <c:strRef>
              <c:f>'Resumo Anual'!$C$6:$N$6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Anual'!$C$16:$N$16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Saídas</c:v>
          </c:tx>
          <c:spPr>
            <a:solidFill>
              <a:srgbClr val="F43F5E"/>
            </a:solidFill>
          </c:spPr>
          <c:cat>
            <c:strRef>
              <c:f>'Resumo Anual'!$C$6:$N$6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Anual'!$C$34:$N$34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10001"/>
        <c:axId val="50010002"/>
      </c:barChart>
      <c:lineChart>
        <c:grouping val="standard"/>
        <c:ser>
          <c:idx val="2"/>
          <c:order val="2"/>
          <c:tx>
            <c:v>Saldo do mês</c:v>
          </c:tx>
          <c:spPr>
            <a:ln w="28575">
              <a:solidFill>
                <a:srgbClr val="2563EB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2563EB"/>
                </a:solidFill>
              </a:ln>
            </c:spPr>
          </c:marker>
          <c:cat>
            <c:strRef>
              <c:f>'Resumo Anual'!$C$6:$N$6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Anual'!$C$35:$N$35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'Dados'!$C$12</c:f>
          <c:strCache>
            <c:ptCount val="1"/>
            <c:pt idx="0">
              <c:v>Para onde foi o dinheiro — Outubro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0F172A"/>
              </a:solidFill>
              <a:latin typeface="Arial"/>
            </a:defRPr>
          </a:pPr>
          <a:endParaRPr lang="en-US"/>
        </a:p>
      </c:txPr>
    </c:title>
    <c:plotArea>
      <c:layout/>
      <c:doughnutChart>
        <c:varyColors val="1"/>
        <c:ser>
          <c:idx val="0"/>
          <c:order val="0"/>
          <c:tx>
            <c:v>Saídas do mês</c:v>
          </c:tx>
          <c:dPt>
            <c:idx val="0"/>
            <c:spPr>
              <a:solidFill>
                <a:srgbClr val="0F766E"/>
              </a:solidFill>
            </c:spPr>
          </c:dPt>
          <c:dPt>
            <c:idx val="1"/>
            <c:spPr>
              <a:solidFill>
                <a:srgbClr val="2563EB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11D48"/>
              </a:solidFill>
            </c:spPr>
          </c:dPt>
          <c:dPt>
            <c:idx val="4"/>
            <c:spPr>
              <a:solidFill>
                <a:srgbClr val="7C3AED"/>
              </a:solidFill>
            </c:spPr>
          </c:dPt>
          <c:dPt>
            <c:idx val="5"/>
            <c:spPr>
              <a:solidFill>
                <a:srgbClr val="0891B2"/>
              </a:solidFill>
            </c:spPr>
          </c:dPt>
          <c:dPt>
            <c:idx val="6"/>
            <c:spPr>
              <a:solidFill>
                <a:srgbClr val="65A30D"/>
              </a:solidFill>
            </c:spPr>
          </c:dPt>
          <c:dPt>
            <c:idx val="7"/>
            <c:spPr>
              <a:solidFill>
                <a:srgbClr val="94A3B8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'Dados'!$M$16:$M$23</c:f>
              <c:strCache>
                <c:ptCount val="8"/>
                <c:pt idx="0">
                  <c:v>—</c:v>
                </c:pt>
                <c:pt idx="1">
                  <c:v>—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  <c:pt idx="6">
                  <c:v>—</c:v>
                </c:pt>
                <c:pt idx="7">
                  <c:v>Outras categorias</c:v>
                </c:pt>
              </c:strCache>
            </c:strRef>
          </c:cat>
          <c:val>
            <c:numRef>
              <c:f>'Dados'!$N$16:$N$23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2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Saldo acumulado ao longo do ano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Saldo acumulado</c:v>
          </c:tx>
          <c:spPr>
            <a:solidFill>
              <a:srgbClr val="BFDBFE">
                <a:alpha val="75000"/>
              </a:srgbClr>
            </a:solidFill>
            <a:ln w="28575">
              <a:solidFill>
                <a:srgbClr val="2563EB"/>
              </a:solidFill>
            </a:ln>
          </c:spPr>
          <c:cat>
            <c:strRef>
              <c:f>'Resumo Anual'!$C$6:$N$6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Anual'!$C$36:$N$36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noFill/>
        <a:ln>
          <a:noFill/>
        </a:ln>
      </c:spPr>
    </c:plotArea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Top 8 categorias: realizado × planejado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Realizado</c:v>
          </c:tx>
          <c:spPr>
            <a:solidFill>
              <a:srgbClr val="0F766E"/>
            </a:solidFill>
          </c:spPr>
          <c:cat>
            <c:strRef>
              <c:f>'Dados'!$J$16:$J$23</c:f>
              <c:strCache>
                <c:ptCount val="8"/>
                <c:pt idx="0">
                  <c:v>—</c:v>
                </c:pt>
                <c:pt idx="1">
                  <c:v>—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  <c:pt idx="6">
                  <c:v>—</c:v>
                </c:pt>
                <c:pt idx="7">
                  <c:v>—</c:v>
                </c:pt>
              </c:strCache>
            </c:strRef>
          </c:cat>
          <c:val>
            <c:numRef>
              <c:f>'Dados'!$K$16:$K$23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Planejado</c:v>
          </c:tx>
          <c:spPr>
            <a:solidFill>
              <a:srgbClr val="CBD5E1"/>
            </a:solidFill>
          </c:spPr>
          <c:cat>
            <c:strRef>
              <c:f>'Dados'!$J$16:$J$23</c:f>
              <c:strCache>
                <c:ptCount val="8"/>
                <c:pt idx="0">
                  <c:v>—</c:v>
                </c:pt>
                <c:pt idx="1">
                  <c:v>—</c:v>
                </c:pt>
                <c:pt idx="2">
                  <c:v>—</c:v>
                </c:pt>
                <c:pt idx="3">
                  <c:v>—</c:v>
                </c:pt>
                <c:pt idx="4">
                  <c:v>—</c:v>
                </c:pt>
                <c:pt idx="5">
                  <c:v>—</c:v>
                </c:pt>
                <c:pt idx="6">
                  <c:v>—</c:v>
                </c:pt>
                <c:pt idx="7">
                  <c:v>—</c:v>
                </c:pt>
              </c:strCache>
            </c:strRef>
          </c:cat>
          <c:val>
            <c:numRef>
              <c:f>'Dados'!$L$16:$L$23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45"/>
        <c:overlap val="-5"/>
        <c:axId val="50040001"/>
        <c:axId val="50040002"/>
      </c:barChart>
      <c:catAx>
        <c:axId val="5004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40001"/>
        <c:crosses val="max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Quanto já guardei × valor alvo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 alvo</c:v>
          </c:tx>
          <c:spPr>
            <a:solidFill>
              <a:srgbClr val="CBD5E1"/>
            </a:solidFill>
          </c:spPr>
          <c:cat>
            <c:strRef>
              <c:f>'Metas'!$B$6:$B$13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'Metas'!$C$6:$C$13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Total guardado</c:v>
          </c:tx>
          <c:spPr>
            <a:solidFill>
              <a:srgbClr val="14B8A6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'Metas'!$B$6:$B$13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'Metas'!$G$6:$G$13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-10"/>
        <c:axId val="50050001"/>
        <c:axId val="50050002"/>
      </c:barChart>
      <c:catAx>
        <c:axId val="5005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50001"/>
        <c:crosses val="max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10</xdr:row>
      <xdr:rowOff>38100</xdr:rowOff>
    </xdr:from>
    <xdr:to>
      <xdr:col>6</xdr:col>
      <xdr:colOff>742950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10</xdr:row>
      <xdr:rowOff>38100</xdr:rowOff>
    </xdr:from>
    <xdr:to>
      <xdr:col>12</xdr:col>
      <xdr:colOff>742950</xdr:colOff>
      <xdr:row>24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26</xdr:row>
      <xdr:rowOff>38100</xdr:rowOff>
    </xdr:from>
    <xdr:to>
      <xdr:col>6</xdr:col>
      <xdr:colOff>742950</xdr:colOff>
      <xdr:row>40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26</xdr:row>
      <xdr:rowOff>38100</xdr:rowOff>
    </xdr:from>
    <xdr:to>
      <xdr:col>12</xdr:col>
      <xdr:colOff>742950</xdr:colOff>
      <xdr:row>40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38100</xdr:rowOff>
    </xdr:from>
    <xdr:to>
      <xdr:col>7</xdr:col>
      <xdr:colOff>190500</xdr:colOff>
      <xdr:row>37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172A"/>
    <pageSetUpPr fitToPage="1"/>
  </sheetPr>
  <dimension ref="A1:AL32"/>
  <sheetViews>
    <sheetView showGridLines="0" tabSelected="1" workbookViewId="0"/>
  </sheetViews>
  <sheetFormatPr defaultRowHeight="18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2" t="s">
        <v>0</v>
      </c>
      <c r="C1" s="3" t="s">
        <v>1</v>
      </c>
      <c r="D1" s="3" t="s">
        <v>2</v>
      </c>
      <c r="E1" s="3"/>
      <c r="F1" s="3" t="s">
        <v>3</v>
      </c>
      <c r="G1" s="3"/>
      <c r="H1" s="3" t="s">
        <v>4</v>
      </c>
      <c r="I1" s="3"/>
      <c r="J1" s="3" t="s">
        <v>5</v>
      </c>
      <c r="K1" s="3"/>
      <c r="L1" s="3" t="s">
        <v>6</v>
      </c>
      <c r="M1" s="3"/>
    </row>
    <row r="2" spans="2:13" ht="6" customHeight="1"/>
    <row r="3" spans="2:13" ht="38" customHeight="1">
      <c r="B3" s="4" t="s">
        <v>173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ht="20" customHeight="1">
      <c r="B4" s="5" t="s">
        <v>174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2:13" ht="64" customHeight="1">
      <c r="B5" s="6" t="s">
        <v>175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7" spans="2:13" ht="24" customHeight="1">
      <c r="B7" s="7" t="s">
        <v>176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2:13" ht="28" customHeight="1">
      <c r="B8" s="8">
        <v>1</v>
      </c>
      <c r="C8" s="9" t="s">
        <v>177</v>
      </c>
      <c r="D8" s="9"/>
      <c r="E8" s="9"/>
      <c r="F8" s="9"/>
      <c r="G8" s="9"/>
      <c r="H8" s="9"/>
      <c r="I8" s="9"/>
      <c r="J8" s="9"/>
      <c r="K8" s="9"/>
      <c r="L8" s="9"/>
      <c r="M8" s="9"/>
    </row>
    <row r="9" spans="2:13" ht="28" customHeight="1">
      <c r="B9" s="8">
        <v>2</v>
      </c>
      <c r="C9" s="9" t="s">
        <v>178</v>
      </c>
      <c r="D9" s="9"/>
      <c r="E9" s="9"/>
      <c r="F9" s="9"/>
      <c r="G9" s="9"/>
      <c r="H9" s="9"/>
      <c r="I9" s="9"/>
      <c r="J9" s="9"/>
      <c r="K9" s="9"/>
      <c r="L9" s="9"/>
      <c r="M9" s="9"/>
    </row>
    <row r="10" spans="2:13" ht="28" customHeight="1">
      <c r="B10" s="8">
        <v>3</v>
      </c>
      <c r="C10" s="9" t="s">
        <v>179</v>
      </c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2:13" ht="28" customHeight="1">
      <c r="B11" s="8">
        <v>4</v>
      </c>
      <c r="C11" s="9" t="s">
        <v>180</v>
      </c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3" ht="28" customHeight="1">
      <c r="B12" s="8">
        <v>5</v>
      </c>
      <c r="C12" s="9" t="s">
        <v>181</v>
      </c>
      <c r="D12" s="9"/>
      <c r="E12" s="9"/>
      <c r="F12" s="9"/>
      <c r="G12" s="9"/>
      <c r="H12" s="9"/>
      <c r="I12" s="9"/>
      <c r="J12" s="9"/>
      <c r="K12" s="9"/>
      <c r="L12" s="9"/>
      <c r="M12" s="9"/>
    </row>
    <row r="14" spans="2:13" ht="24" customHeight="1">
      <c r="B14" s="7" t="s">
        <v>182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 ht="26" customHeight="1">
      <c r="B15" s="10" t="s">
        <v>1</v>
      </c>
      <c r="C15" s="10"/>
      <c r="D15" s="10"/>
      <c r="E15" s="11" t="s">
        <v>183</v>
      </c>
      <c r="F15" s="11"/>
      <c r="G15" s="11"/>
      <c r="H15" s="11"/>
      <c r="I15" s="11"/>
      <c r="J15" s="11"/>
      <c r="K15" s="11"/>
      <c r="L15" s="11"/>
      <c r="M15" s="11"/>
    </row>
    <row r="16" spans="2:13" ht="26" customHeight="1">
      <c r="B16" s="10" t="s">
        <v>2</v>
      </c>
      <c r="C16" s="10"/>
      <c r="D16" s="10"/>
      <c r="E16" s="11" t="s">
        <v>184</v>
      </c>
      <c r="F16" s="11"/>
      <c r="G16" s="11"/>
      <c r="H16" s="11"/>
      <c r="I16" s="11"/>
      <c r="J16" s="11"/>
      <c r="K16" s="11"/>
      <c r="L16" s="11"/>
      <c r="M16" s="11"/>
    </row>
    <row r="17" spans="2:13" ht="26" customHeight="1">
      <c r="B17" s="10" t="s">
        <v>3</v>
      </c>
      <c r="C17" s="10"/>
      <c r="D17" s="10"/>
      <c r="E17" s="11" t="s">
        <v>185</v>
      </c>
      <c r="F17" s="11"/>
      <c r="G17" s="11"/>
      <c r="H17" s="11"/>
      <c r="I17" s="11"/>
      <c r="J17" s="11"/>
      <c r="K17" s="11"/>
      <c r="L17" s="11"/>
      <c r="M17" s="11"/>
    </row>
    <row r="18" spans="2:13" ht="26" customHeight="1">
      <c r="B18" s="10" t="s">
        <v>4</v>
      </c>
      <c r="C18" s="10"/>
      <c r="D18" s="10"/>
      <c r="E18" s="11" t="s">
        <v>186</v>
      </c>
      <c r="F18" s="11"/>
      <c r="G18" s="11"/>
      <c r="H18" s="11"/>
      <c r="I18" s="11"/>
      <c r="J18" s="11"/>
      <c r="K18" s="11"/>
      <c r="L18" s="11"/>
      <c r="M18" s="11"/>
    </row>
    <row r="19" spans="2:13" ht="26" customHeight="1">
      <c r="B19" s="10" t="s">
        <v>5</v>
      </c>
      <c r="C19" s="10"/>
      <c r="D19" s="10"/>
      <c r="E19" s="11" t="s">
        <v>187</v>
      </c>
      <c r="F19" s="11"/>
      <c r="G19" s="11"/>
      <c r="H19" s="11"/>
      <c r="I19" s="11"/>
      <c r="J19" s="11"/>
      <c r="K19" s="11"/>
      <c r="L19" s="11"/>
      <c r="M19" s="11"/>
    </row>
    <row r="20" spans="2:13" ht="26" customHeight="1">
      <c r="B20" s="12" t="s">
        <v>6</v>
      </c>
      <c r="C20" s="12"/>
      <c r="D20" s="12"/>
      <c r="E20" s="11" t="s">
        <v>188</v>
      </c>
      <c r="F20" s="11"/>
      <c r="G20" s="11"/>
      <c r="H20" s="11"/>
      <c r="I20" s="11"/>
      <c r="J20" s="11"/>
      <c r="K20" s="11"/>
      <c r="L20" s="11"/>
      <c r="M20" s="11"/>
    </row>
    <row r="22" spans="2:13" ht="24" customHeight="1">
      <c r="B22" s="7" t="s">
        <v>189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 ht="26" customHeight="1">
      <c r="B23" s="13" t="s">
        <v>190</v>
      </c>
      <c r="C23" s="13"/>
      <c r="D23" s="14" t="s">
        <v>191</v>
      </c>
      <c r="E23" s="14"/>
      <c r="F23" s="15" t="s">
        <v>192</v>
      </c>
      <c r="G23" s="15"/>
      <c r="H23" s="16" t="s">
        <v>193</v>
      </c>
      <c r="I23" s="16"/>
      <c r="J23" s="17" t="s">
        <v>194</v>
      </c>
      <c r="K23" s="17"/>
      <c r="L23" s="18" t="s">
        <v>195</v>
      </c>
      <c r="M23" s="18"/>
    </row>
    <row r="25" spans="2:13" ht="24" customHeight="1">
      <c r="B25" s="7" t="s">
        <v>196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2:13" ht="36" customHeight="1">
      <c r="B26" s="11" t="s">
        <v>197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2:13" ht="28" customHeight="1">
      <c r="B27" s="11" t="s">
        <v>198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2:13" ht="28" customHeight="1">
      <c r="B28" s="11" t="s">
        <v>199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2:13" ht="28" customHeight="1">
      <c r="B29" s="11" t="s">
        <v>200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2:13" ht="28" customHeight="1">
      <c r="B30" s="11" t="s">
        <v>201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2" spans="2:13" ht="18" customHeight="1">
      <c r="B32" s="19" t="s">
        <v>202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</sheetData>
  <mergeCells count="41">
    <mergeCell ref="D1:E1"/>
    <mergeCell ref="F1:G1"/>
    <mergeCell ref="H1:I1"/>
    <mergeCell ref="J1:K1"/>
    <mergeCell ref="L1:M1"/>
    <mergeCell ref="B3:M3"/>
    <mergeCell ref="B4:M4"/>
    <mergeCell ref="B5:M5"/>
    <mergeCell ref="B7:M7"/>
    <mergeCell ref="C8:M8"/>
    <mergeCell ref="C9:M9"/>
    <mergeCell ref="C10:M10"/>
    <mergeCell ref="C11:M11"/>
    <mergeCell ref="C12:M12"/>
    <mergeCell ref="B14:M14"/>
    <mergeCell ref="B15:D15"/>
    <mergeCell ref="E15:M15"/>
    <mergeCell ref="B16:D16"/>
    <mergeCell ref="E16:M16"/>
    <mergeCell ref="B17:D17"/>
    <mergeCell ref="E17:M17"/>
    <mergeCell ref="B18:D18"/>
    <mergeCell ref="E18:M18"/>
    <mergeCell ref="B19:D19"/>
    <mergeCell ref="E19:M19"/>
    <mergeCell ref="B20:D20"/>
    <mergeCell ref="E20:M20"/>
    <mergeCell ref="B22:M22"/>
    <mergeCell ref="B23:C23"/>
    <mergeCell ref="D23:E23"/>
    <mergeCell ref="F23:G23"/>
    <mergeCell ref="H23:I23"/>
    <mergeCell ref="J23:K23"/>
    <mergeCell ref="L23:M23"/>
    <mergeCell ref="B25:M25"/>
    <mergeCell ref="B26:M26"/>
    <mergeCell ref="B27:M27"/>
    <mergeCell ref="B28:M28"/>
    <mergeCell ref="B29:M29"/>
    <mergeCell ref="B30:M30"/>
    <mergeCell ref="B32:M32"/>
  </mergeCells>
  <hyperlinks>
    <hyperlink ref="B1" location="'Início'!A1" display="🏠 Início"/>
    <hyperlink ref="C1" location="'Painel'!A1" display="📊 Painel"/>
    <hyperlink ref="D1" location="'Lançamentos'!A1" display="📝 Lançamentos"/>
    <hyperlink ref="F1" location="'Orçamento'!A1" display="💳 Orçamento"/>
    <hyperlink ref="H1" location="'Resumo Anual'!A1" display="📅 Resumo Anual"/>
    <hyperlink ref="J1" location="'Metas'!A1" display="🎯 Metas"/>
    <hyperlink ref="L1" location="'Config'!A1" display="⚙ Config"/>
    <hyperlink ref="B15" location="'Painel'!A1" display="📊 Painel"/>
    <hyperlink ref="B16" location="'Lançamentos'!A1" display="📝 Lançamentos"/>
    <hyperlink ref="B17" location="'Orçamento'!A1" display="💳 Orçamento"/>
    <hyperlink ref="B18" location="'Resumo Anual'!A1" display="📅 Resumo Anual"/>
    <hyperlink ref="B19" location="'Metas'!A1" display="🎯 Metas"/>
    <hyperlink ref="B20" location="'Config'!A1" display="⚙ Config"/>
  </hyperlinks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66E"/>
    <pageSetUpPr fitToPage="1"/>
  </sheetPr>
  <dimension ref="A1:AL55"/>
  <sheetViews>
    <sheetView showGridLines="0" workbookViewId="0"/>
  </sheetViews>
  <sheetFormatPr defaultRowHeight="16.5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3" t="s">
        <v>0</v>
      </c>
      <c r="C1" s="2" t="s">
        <v>1</v>
      </c>
      <c r="D1" s="3" t="s">
        <v>2</v>
      </c>
      <c r="E1" s="3"/>
      <c r="F1" s="3" t="s">
        <v>3</v>
      </c>
      <c r="G1" s="3"/>
      <c r="H1" s="3" t="s">
        <v>4</v>
      </c>
      <c r="I1" s="3"/>
      <c r="J1" s="3" t="s">
        <v>5</v>
      </c>
      <c r="K1" s="3"/>
      <c r="L1" s="3" t="s">
        <v>6</v>
      </c>
      <c r="M1" s="3"/>
    </row>
    <row r="2" spans="2:13" ht="6" customHeight="1"/>
    <row r="3" spans="2:13" ht="38" customHeight="1">
      <c r="B3" s="4" t="str">
        <f>"📊 Painel — "&amp;'Config'!$C$8</f>
        <v>📊 Painel — Minhas Finanças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ht="20" customHeight="1">
      <c r="B4" s="5" t="s">
        <v>158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2:13" ht="28" customHeight="1">
      <c r="B5" s="20" t="s">
        <v>159</v>
      </c>
      <c r="C5" s="20"/>
      <c r="D5" s="21" t="str">
        <f>INDEX('Config'!$K$6:$K$17,MAX(1,'Dados'!$C$8))</f>
        <v>Outubro</v>
      </c>
      <c r="E5" s="21"/>
      <c r="G5" s="22" t="s">
        <v>10</v>
      </c>
      <c r="H5" s="22"/>
      <c r="I5" s="23">
        <f>'Config'!$C$6</f>
        <v>2026</v>
      </c>
      <c r="J5" s="24" t="s">
        <v>160</v>
      </c>
      <c r="K5" s="24"/>
      <c r="L5" s="24"/>
      <c r="M5" s="24"/>
    </row>
    <row r="6" spans="2:13" ht="8" customHeight="1"/>
    <row r="7" spans="2:13" ht="18" customHeight="1">
      <c r="B7" s="25" t="s">
        <v>161</v>
      </c>
      <c r="C7" s="25"/>
      <c r="D7" s="26" t="s">
        <v>162</v>
      </c>
      <c r="E7" s="26"/>
      <c r="F7" s="27" t="s">
        <v>163</v>
      </c>
      <c r="G7" s="27"/>
      <c r="H7" s="28" t="s">
        <v>164</v>
      </c>
      <c r="I7" s="28"/>
      <c r="J7" s="29" t="s">
        <v>165</v>
      </c>
      <c r="K7" s="29"/>
      <c r="L7" s="30" t="s">
        <v>167</v>
      </c>
      <c r="M7" s="30"/>
    </row>
    <row r="8" spans="2:13" ht="36" customHeight="1">
      <c r="B8" s="31">
        <f>INDEX('Resumo Anual'!$C$16:$N$16,'Dados'!$C$6)</f>
        <v>0</v>
      </c>
      <c r="C8" s="31"/>
      <c r="D8" s="31">
        <f>INDEX('Resumo Anual'!$C$34:$N$34,'Dados'!$C$6)</f>
        <v>0</v>
      </c>
      <c r="E8" s="31"/>
      <c r="F8" s="31">
        <f>INDEX('Resumo Anual'!$C$16:$N$16,'Dados'!$C$6)-INDEX('Resumo Anual'!$C$34:$N$34,'Dados'!$C$6)</f>
        <v>0</v>
      </c>
      <c r="G8" s="31"/>
      <c r="H8" s="32">
        <f>IF(INDEX('Resumo Anual'!$C$16:$N$16,'Dados'!$C$6)=0,0,INDEX('Resumo Anual'!$C$37:$N$37,'Dados'!$C$6))</f>
        <v>0</v>
      </c>
      <c r="I8" s="32"/>
      <c r="J8" s="31">
        <f>INDEX('Resumo Anual'!$C$36:$N$36,'Dados'!$C$6)</f>
        <v>0</v>
      </c>
      <c r="K8" s="31"/>
      <c r="L8" s="33" t="str">
        <f>'Dados'!$J$16</f>
        <v>—</v>
      </c>
      <c r="M8" s="33"/>
    </row>
    <row r="9" spans="2:13" ht="20" customHeight="1">
      <c r="B9" s="34" t="str">
        <f>IF('Dados'!$C$6=1,"—",IF(INDEX('Resumo Anual'!$C$16:$N$16,'Dados'!$C$6-1)=0,"—",IF(INDEX('Resumo Anual'!$C$16:$N$16,'Dados'!$C$6)&gt;=INDEX('Resumo Anual'!$C$16:$N$16,'Dados'!$C$6-1),"▲ ","▼ ")&amp;TEXT(ABS(INDEX('Resumo Anual'!$C$16:$N$16,'Dados'!$C$6)/INDEX('Resumo Anual'!$C$16:$N$16,'Dados'!$C$6-1)-1),"0%")&amp;" vs mês anterior"))</f>
        <v>—</v>
      </c>
      <c r="C9" s="34"/>
      <c r="D9" s="34" t="str">
        <f>IF('Dados'!$C$6=1,"—",IF(INDEX('Resumo Anual'!$C$34:$N$34,'Dados'!$C$6-1)=0,"—",IF(INDEX('Resumo Anual'!$C$34:$N$34,'Dados'!$C$6)&gt;=INDEX('Resumo Anual'!$C$34:$N$34,'Dados'!$C$6-1),"▲ ","▼ ")&amp;TEXT(ABS(INDEX('Resumo Anual'!$C$34:$N$34,'Dados'!$C$6)/INDEX('Resumo Anual'!$C$34:$N$34,'Dados'!$C$6-1)-1),"0%")&amp;" vs mês anterior"))</f>
        <v>—</v>
      </c>
      <c r="E9" s="34"/>
      <c r="F9" s="34" t="str">
        <f>IF(INDEX('Resumo Anual'!$C$16:$N$16,'Dados'!$C$6)-INDEX('Resumo Anual'!$C$34:$N$34,'Dados'!$C$6)&gt;=0,"Sobrou dinheiro ✓","Gastou mais do que ganhou")</f>
        <v>Sobrou dinheiro ✓</v>
      </c>
      <c r="G9" s="34"/>
      <c r="H9" s="34" t="str">
        <f>"Meta: "&amp;TEXT('Config'!$C$9,"0%")</f>
        <v>Meta: 20%</v>
      </c>
      <c r="I9" s="34"/>
      <c r="J9" s="34" t="s">
        <v>166</v>
      </c>
      <c r="K9" s="34"/>
      <c r="L9" s="35">
        <f>'Dados'!$K$16</f>
        <v>0</v>
      </c>
      <c r="M9" s="35"/>
    </row>
    <row r="43" spans="2:13" ht="22" customHeight="1">
      <c r="B43" s="36" t="s">
        <v>168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2:13" ht="16.5" customHeight="1">
      <c r="B44" s="37" t="s">
        <v>142</v>
      </c>
      <c r="C44" s="37"/>
      <c r="D44" s="37"/>
      <c r="E44" s="37" t="s">
        <v>169</v>
      </c>
      <c r="F44" s="37"/>
      <c r="G44" s="37" t="s">
        <v>143</v>
      </c>
      <c r="H44" s="37"/>
      <c r="I44" s="37" t="s">
        <v>170</v>
      </c>
      <c r="J44" s="37" t="s">
        <v>134</v>
      </c>
      <c r="K44" s="37"/>
      <c r="L44" s="37"/>
      <c r="M44" s="37" t="s">
        <v>135</v>
      </c>
    </row>
    <row r="45" spans="2:13" ht="16.5" customHeight="1">
      <c r="B45" s="38">
        <f>IF('Metas'!$B$6="","",'Metas'!$B$6)</f>
        <v/>
      </c>
      <c r="C45" s="38"/>
      <c r="D45" s="38"/>
      <c r="E45" s="39">
        <f>IF('Metas'!$B$6="","",'Metas'!$G$6)</f>
        <v/>
      </c>
      <c r="F45" s="39"/>
      <c r="G45" s="39">
        <f>IF('Metas'!$B$6="","",'Metas'!$C$6)</f>
        <v/>
      </c>
      <c r="H45" s="39"/>
      <c r="I45" s="40">
        <f>IF('Metas'!$H$6="","",'Metas'!$H$6)</f>
        <v/>
      </c>
      <c r="J45" s="41">
        <f>IF('Metas'!$I$6="","",'Metas'!$I$6)</f>
        <v/>
      </c>
      <c r="K45" s="41"/>
      <c r="L45" s="41"/>
      <c r="M45" s="42">
        <f>IF('Metas'!$B$6="","",'Metas'!$M$6)</f>
        <v/>
      </c>
    </row>
    <row r="46" spans="2:13" ht="16.5" customHeight="1">
      <c r="B46" s="38">
        <f>IF('Metas'!$B$7="","",'Metas'!$B$7)</f>
        <v/>
      </c>
      <c r="C46" s="38"/>
      <c r="D46" s="38"/>
      <c r="E46" s="39">
        <f>IF('Metas'!$B$7="","",'Metas'!$G$7)</f>
        <v/>
      </c>
      <c r="F46" s="39"/>
      <c r="G46" s="39">
        <f>IF('Metas'!$B$7="","",'Metas'!$C$7)</f>
        <v/>
      </c>
      <c r="H46" s="39"/>
      <c r="I46" s="40">
        <f>IF('Metas'!$H$7="","",'Metas'!$H$7)</f>
        <v/>
      </c>
      <c r="J46" s="41">
        <f>IF('Metas'!$I$7="","",'Metas'!$I$7)</f>
        <v/>
      </c>
      <c r="K46" s="41"/>
      <c r="L46" s="41"/>
      <c r="M46" s="42">
        <f>IF('Metas'!$B$7="","",'Metas'!$M$7)</f>
        <v/>
      </c>
    </row>
    <row r="47" spans="2:13" ht="16.5" customHeight="1">
      <c r="B47" s="38">
        <f>IF('Metas'!$B$8="","",'Metas'!$B$8)</f>
        <v/>
      </c>
      <c r="C47" s="38"/>
      <c r="D47" s="38"/>
      <c r="E47" s="39">
        <f>IF('Metas'!$B$8="","",'Metas'!$G$8)</f>
        <v/>
      </c>
      <c r="F47" s="39"/>
      <c r="G47" s="39">
        <f>IF('Metas'!$B$8="","",'Metas'!$C$8)</f>
        <v/>
      </c>
      <c r="H47" s="39"/>
      <c r="I47" s="40">
        <f>IF('Metas'!$H$8="","",'Metas'!$H$8)</f>
        <v/>
      </c>
      <c r="J47" s="41">
        <f>IF('Metas'!$I$8="","",'Metas'!$I$8)</f>
        <v/>
      </c>
      <c r="K47" s="41"/>
      <c r="L47" s="41"/>
      <c r="M47" s="42">
        <f>IF('Metas'!$B$8="","",'Metas'!$M$8)</f>
        <v/>
      </c>
    </row>
    <row r="48" spans="2:13" ht="16.5" customHeight="1">
      <c r="B48" s="38">
        <f>IF('Metas'!$B$9="","",'Metas'!$B$9)</f>
        <v/>
      </c>
      <c r="C48" s="38"/>
      <c r="D48" s="38"/>
      <c r="E48" s="39">
        <f>IF('Metas'!$B$9="","",'Metas'!$G$9)</f>
        <v/>
      </c>
      <c r="F48" s="39"/>
      <c r="G48" s="39">
        <f>IF('Metas'!$B$9="","",'Metas'!$C$9)</f>
        <v/>
      </c>
      <c r="H48" s="39"/>
      <c r="I48" s="40">
        <f>IF('Metas'!$H$9="","",'Metas'!$H$9)</f>
        <v/>
      </c>
      <c r="J48" s="41">
        <f>IF('Metas'!$I$9="","",'Metas'!$I$9)</f>
        <v/>
      </c>
      <c r="K48" s="41"/>
      <c r="L48" s="41"/>
      <c r="M48" s="42">
        <f>IF('Metas'!$B$9="","",'Metas'!$M$9)</f>
        <v/>
      </c>
    </row>
    <row r="49" spans="2:13" ht="16.5" customHeight="1">
      <c r="B49" s="38">
        <f>IF('Metas'!$B$10="","",'Metas'!$B$10)</f>
        <v/>
      </c>
      <c r="C49" s="38"/>
      <c r="D49" s="38"/>
      <c r="E49" s="39">
        <f>IF('Metas'!$B$10="","",'Metas'!$G$10)</f>
        <v/>
      </c>
      <c r="F49" s="39"/>
      <c r="G49" s="39">
        <f>IF('Metas'!$B$10="","",'Metas'!$C$10)</f>
        <v/>
      </c>
      <c r="H49" s="39"/>
      <c r="I49" s="40">
        <f>IF('Metas'!$H$10="","",'Metas'!$H$10)</f>
        <v/>
      </c>
      <c r="J49" s="41">
        <f>IF('Metas'!$I$10="","",'Metas'!$I$10)</f>
        <v/>
      </c>
      <c r="K49" s="41"/>
      <c r="L49" s="41"/>
      <c r="M49" s="42">
        <f>IF('Metas'!$B$10="","",'Metas'!$M$10)</f>
        <v/>
      </c>
    </row>
    <row r="51" spans="2:13" ht="16.5" customHeight="1">
      <c r="B51" s="24" t="s">
        <v>171</v>
      </c>
    </row>
    <row r="52" spans="2:13" ht="22" customHeight="1">
      <c r="B52" s="36" t="s">
        <v>172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2:13" ht="24" customHeight="1">
      <c r="B53" s="43" t="str">
        <f>IF(AND(INDEX('Resumo Anual'!$C$16:$N$16,'Dados'!$C$6)=0,INDEX('Resumo Anual'!$C$34:$N$34,'Dados'!$C$6)=0),"ℹ Ainda não há lançamentos neste mês.",IF((INDEX('Resumo Anual'!$C$16:$N$16,'Dados'!$C$6)-INDEX('Resumo Anual'!$C$34:$N$34,'Dados'!$C$6))&lt;0,"⚠ Você gastou R$ "&amp;FIXED(-(INDEX('Resumo Anual'!$C$16:$N$16,'Dados'!$C$6)-INDEX('Resumo Anual'!$C$34:$N$34,'Dados'!$C$6)),2)&amp;" a mais do que ganhou neste mês.","✓ Mês no azul: sobraram R$ "&amp;FIXED((INDEX('Resumo Anual'!$C$16:$N$16,'Dados'!$C$6)-INDEX('Resumo Anual'!$C$34:$N$34,'Dados'!$C$6)),2)&amp;" depois de todas as saídas."))</f>
        <v>ℹ Ainda não há lançamentos neste mês.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2:13" ht="24" customHeight="1">
      <c r="B54" s="43" t="str">
        <f>IF('Orçamento'!$C$26=0,"ℹ Defina o orçamento por categoria na aba Orçamento para receber alertas de gastos.",IF('Dados'!$C$11=0,"✓ Nenhuma categoria acima do orçamento neste mês.","⚠ "&amp;'Dados'!$C$11&amp;" categoria(s) acima do orçamento planejado — veja a aba Orçamento."))</f>
        <v>ℹ Defina o orçamento por categoria na aba Orçamento para receber alertas de gastos.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 spans="2:13" ht="24" customHeight="1">
      <c r="B55" s="43" t="str">
        <f>IF(INDEX('Resumo Anual'!$C$16:$N$16,'Dados'!$C$6)=0,"ℹ Registre suas entradas do mês para calcular a taxa de poupança.",IF(INDEX('Resumo Anual'!$C$37:$N$37,'Dados'!$C$6)&gt;='Config'!$C$9,"✓ Meta de poupança atingida: "&amp;TEXT(INDEX('Resumo Anual'!$C$37:$N$37,'Dados'!$C$6),"0%")&amp;" (meta "&amp;TEXT('Config'!$C$9,"0%")&amp;").","⚠ Taxa de poupança de "&amp;TEXT(INDEX('Resumo Anual'!$C$37:$N$37,'Dados'!$C$6),"0%")&amp;", abaixo da meta de "&amp;TEXT('Config'!$C$9,"0%")&amp;"."))</f>
        <v>ℹ Registre suas entradas do mês para calcular a taxa de poupança.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</sheetData>
  <mergeCells count="58">
    <mergeCell ref="D1:E1"/>
    <mergeCell ref="F1:G1"/>
    <mergeCell ref="H1:I1"/>
    <mergeCell ref="J1:K1"/>
    <mergeCell ref="L1:M1"/>
    <mergeCell ref="B3:M3"/>
    <mergeCell ref="B4:M4"/>
    <mergeCell ref="B5:C5"/>
    <mergeCell ref="D5:E5"/>
    <mergeCell ref="G5:H5"/>
    <mergeCell ref="J5:M5"/>
    <mergeCell ref="B7:C7"/>
    <mergeCell ref="B8:C8"/>
    <mergeCell ref="B9:C9"/>
    <mergeCell ref="D7:E7"/>
    <mergeCell ref="D8:E8"/>
    <mergeCell ref="D9:E9"/>
    <mergeCell ref="F7:G7"/>
    <mergeCell ref="F8:G8"/>
    <mergeCell ref="F9:G9"/>
    <mergeCell ref="H7:I7"/>
    <mergeCell ref="H8:I8"/>
    <mergeCell ref="H9:I9"/>
    <mergeCell ref="J7:K7"/>
    <mergeCell ref="J8:K8"/>
    <mergeCell ref="J9:K9"/>
    <mergeCell ref="L7:M7"/>
    <mergeCell ref="L8:M8"/>
    <mergeCell ref="L9:M9"/>
    <mergeCell ref="B43:M43"/>
    <mergeCell ref="B44:D44"/>
    <mergeCell ref="E44:F44"/>
    <mergeCell ref="G44:H44"/>
    <mergeCell ref="J44:L44"/>
    <mergeCell ref="B45:D45"/>
    <mergeCell ref="E45:F45"/>
    <mergeCell ref="G45:H45"/>
    <mergeCell ref="J45:L45"/>
    <mergeCell ref="B46:D46"/>
    <mergeCell ref="E46:F46"/>
    <mergeCell ref="G46:H46"/>
    <mergeCell ref="J46:L46"/>
    <mergeCell ref="B47:D47"/>
    <mergeCell ref="E47:F47"/>
    <mergeCell ref="G47:H47"/>
    <mergeCell ref="J47:L47"/>
    <mergeCell ref="B48:D48"/>
    <mergeCell ref="E48:F48"/>
    <mergeCell ref="G48:H48"/>
    <mergeCell ref="J48:L48"/>
    <mergeCell ref="B49:D49"/>
    <mergeCell ref="E49:F49"/>
    <mergeCell ref="G49:H49"/>
    <mergeCell ref="J49:L49"/>
    <mergeCell ref="B52:M52"/>
    <mergeCell ref="B53:M53"/>
    <mergeCell ref="B54:M54"/>
    <mergeCell ref="B55:M55"/>
  </mergeCells>
  <conditionalFormatting sqref="B53:M55">
    <cfRule type="beginsWith" dxfId="14" priority="14" operator="beginsWith" text="⚠">
      <formula>LEFT(B53,1)="⚠"</formula>
    </cfRule>
    <cfRule type="beginsWith" dxfId="10" priority="15" operator="beginsWith" text="✓">
      <formula>LEFT(B53,1)="✓"</formula>
    </cfRule>
    <cfRule type="beginsWith" dxfId="15" priority="16" operator="beginsWith" text="ℹ">
      <formula>LEFT(B53,1)="ℹ"</formula>
    </cfRule>
  </conditionalFormatting>
  <conditionalFormatting sqref="B9">
    <cfRule type="beginsWith" dxfId="11" priority="6" operator="beginsWith" text="▲">
      <formula>LEFT(B9,1)="▲"</formula>
    </cfRule>
    <cfRule type="beginsWith" dxfId="0" priority="7" operator="beginsWith" text="▼">
      <formula>LEFT(B9,1)="▼"</formula>
    </cfRule>
  </conditionalFormatting>
  <conditionalFormatting sqref="D9">
    <cfRule type="beginsWith" dxfId="0" priority="8" operator="beginsWith" text="▲">
      <formula>LEFT(D9,1)="▲"</formula>
    </cfRule>
    <cfRule type="beginsWith" dxfId="11" priority="9" operator="beginsWith" text="▼">
      <formula>LEFT(D9,1)="▼"</formula>
    </cfRule>
  </conditionalFormatting>
  <conditionalFormatting sqref="F8">
    <cfRule type="cellIs" dxfId="0" priority="1" operator="lessThan">
      <formula>0</formula>
    </cfRule>
    <cfRule type="cellIs" dxfId="11" priority="2" operator="greaterThanOrEqual">
      <formula>0</formula>
    </cfRule>
  </conditionalFormatting>
  <conditionalFormatting sqref="F9">
    <cfRule type="beginsWith" dxfId="0" priority="10" operator="beginsWith" text="Gastou">
      <formula>LEFT(F9,6)="Gastou"</formula>
    </cfRule>
  </conditionalFormatting>
  <conditionalFormatting sqref="H8">
    <cfRule type="expression" dxfId="11" priority="3">
      <formula>H8&gt;='Config'!$C$9</formula>
    </cfRule>
    <cfRule type="expression" dxfId="0" priority="4">
      <formula>H8&lt;0</formula>
    </cfRule>
  </conditionalFormatting>
  <conditionalFormatting sqref="J8">
    <cfRule type="cellIs" dxfId="0" priority="5" operator="lessThan">
      <formula>0</formula>
    </cfRule>
  </conditionalFormatting>
  <conditionalFormatting sqref="M45:M49">
    <cfRule type="containsText" dxfId="4" priority="11" operator="containsText" text="Concluída">
      <formula>NOT(ISERROR(SEARCH("Concluída",M45)))</formula>
    </cfRule>
    <cfRule type="containsText" dxfId="5" priority="12" operator="containsText" text="Atrasada">
      <formula>NOT(ISERROR(SEARCH("Atrasada",M45)))</formula>
    </cfRule>
    <cfRule type="containsText" dxfId="13" priority="13" operator="containsText" text="No prazo">
      <formula>NOT(ISERROR(SEARCH("No prazo",M45)))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D5">
      <formula1>'Config'!$K$6:$K$17</formula1>
    </dataValidation>
  </dataValidations>
  <hyperlinks>
    <hyperlink ref="B1" location="'Início'!A1" display="🏠 Início"/>
    <hyperlink ref="C1" location="'Painel'!A1" display="📊 Painel"/>
    <hyperlink ref="D1" location="'Lançamentos'!A1" display="📝 Lançamentos"/>
    <hyperlink ref="F1" location="'Orçamento'!A1" display="💳 Orçamento"/>
    <hyperlink ref="H1" location="'Resumo Anual'!A1" display="📅 Resumo Anual"/>
    <hyperlink ref="J1" location="'Metas'!A1" display="🎯 Metas"/>
    <hyperlink ref="L1" location="'Config'!A1" display="⚙ Config"/>
  </hyperlinks>
  <pageMargins left="0.4" right="0.4" top="0.5" bottom="0.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I1508"/>
  <sheetViews>
    <sheetView showGridLines="0" workbookViewId="0">
      <pane ySplit="8" topLeftCell="A9" activePane="bottomLeft" state="frozen"/>
      <selection pane="bottomLeft"/>
    </sheetView>
  </sheetViews>
  <sheetFormatPr defaultRowHeight="16.5" customHeight="1"/>
  <cols>
    <col min="1" max="1" width="2.7109375" customWidth="1"/>
    <col min="2" max="2" width="12.7109375" style="44" customWidth="1"/>
    <col min="3" max="3" width="36.7109375" style="45" customWidth="1"/>
    <col min="4" max="4" width="28.7109375" style="45" customWidth="1"/>
    <col min="5" max="5" width="19.7109375" style="45" customWidth="1"/>
    <col min="6" max="6" width="15.7109375" style="46" customWidth="1"/>
    <col min="7" max="7" width="11.7109375" style="47" customWidth="1"/>
    <col min="8" max="8" width="22.7109375" style="45" customWidth="1"/>
    <col min="9" max="9" width="32.7109375" style="45" customWidth="1"/>
  </cols>
  <sheetData>
    <row r="1" spans="2:9" ht="22" customHeight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/>
      <c r="H1" s="3" t="s">
        <v>5</v>
      </c>
      <c r="I1" s="3" t="s">
        <v>6</v>
      </c>
    </row>
    <row r="2" spans="2:9" ht="6" customHeight="1"/>
    <row r="3" spans="2:9" ht="38" customHeight="1">
      <c r="B3" s="4" t="s">
        <v>101</v>
      </c>
      <c r="C3" s="4"/>
      <c r="D3" s="4"/>
      <c r="E3" s="4"/>
      <c r="F3" s="4"/>
      <c r="G3" s="4"/>
      <c r="H3" s="4"/>
      <c r="I3" s="4"/>
    </row>
    <row r="4" spans="2:9" ht="20" customHeight="1">
      <c r="B4" s="48" t="s">
        <v>102</v>
      </c>
      <c r="C4" s="48"/>
      <c r="D4" s="48"/>
      <c r="E4" s="48"/>
      <c r="F4" s="48"/>
      <c r="G4" s="48"/>
      <c r="H4" s="48"/>
      <c r="I4" s="48"/>
    </row>
    <row r="5" spans="2:9" ht="16" customHeight="1">
      <c r="B5" s="49" t="s">
        <v>103</v>
      </c>
      <c r="C5" s="49"/>
      <c r="D5" s="49" t="s">
        <v>104</v>
      </c>
      <c r="E5" s="49" t="s">
        <v>105</v>
      </c>
      <c r="F5" s="49"/>
      <c r="G5" s="49" t="s">
        <v>106</v>
      </c>
      <c r="H5" s="49"/>
      <c r="I5" s="49"/>
    </row>
    <row r="6" spans="2:9" ht="26" customHeight="1">
      <c r="B6" s="50">
        <f>SUMIFS('Lançamentos'!$F$9:$F$1508,'Lançamentos'!$G$9:$G$1508,"Entrada",'Lançamentos'!$B$9:$B$1508,"&gt;="&amp;DATE('Config'!$C$6,1,1),'Lançamentos'!$B$9:$B$1508,"&lt;"&amp;DATE('Config'!$C$6+1,1,1))</f>
        <v>0</v>
      </c>
      <c r="C6" s="50"/>
      <c r="D6" s="51">
        <f>SUMIFS('Lançamentos'!$F$9:$F$1508,'Lançamentos'!$G$9:$G$1508,"Saída",'Lançamentos'!$B$9:$B$1508,"&gt;="&amp;DATE('Config'!$C$6,1,1),'Lançamentos'!$B$9:$B$1508,"&lt;"&amp;DATE('Config'!$C$6+1,1,1))</f>
        <v>0</v>
      </c>
      <c r="E6" s="52">
        <f>B6-D6</f>
        <v>0</v>
      </c>
      <c r="F6" s="52"/>
      <c r="G6" s="53" t="str">
        <f>IF(SUMPRODUCT(('Lançamentos'!$F$9:$F$1508&gt;0)*('Lançamentos'!$D$9:$D$1508=""))&gt;0,"⚠ "&amp;SUMPRODUCT(('Lançamentos'!$F$9:$F$1508&gt;0)*('Lançamentos'!$D$9:$D$1508=""))&amp;" lançamento(s) sem categoria — não entram nos painéis",IF(COUNTIF('Lançamentos'!$G$9:$G$1508,"Verificar")&gt;0,"⚠ "&amp;COUNTIF('Lançamentos'!$G$9:$G$1508,"Verificar")&amp;" lançamento(s) com categoria inválida (coluna Tipo = Verificar)",IF((COUNT('Lançamentos'!$F$9:$F$1508)-COUNTIFS('Lançamentos'!$B$9:$B$1508,"&gt;="&amp;DATE('Config'!$C$6,1,1),'Lançamentos'!$B$9:$B$1508,"&lt;"&amp;DATE('Config'!$C$6+1,1,1),'Lançamentos'!$F$9:$F$1508,"&gt;0"))&gt;0,"⚠ "&amp;(COUNT('Lançamentos'!$F$9:$F$1508)-COUNTIFS('Lançamentos'!$B$9:$B$1508,"&gt;="&amp;DATE('Config'!$C$6,1,1),'Lançamentos'!$B$9:$B$1508,"&lt;"&amp;DATE('Config'!$C$6+1,1,1),'Lançamentos'!$F$9:$F$1508,"&gt;0"))&amp;" lançamento(s) sem data ou fora de "&amp;'Config'!$C$6&amp;" — não entram nos painéis","✓ Tudo certo: "&amp;COUNT('Lançamentos'!$F$9:$F$1508)&amp;" lançamento(s) registrados")))</f>
        <v>✓ Tudo certo: 0 lançamento(s) registrados</v>
      </c>
      <c r="H6" s="53"/>
      <c r="I6" s="53"/>
    </row>
    <row r="7" spans="2:9" ht="6" customHeight="1"/>
    <row r="8" spans="2:9" ht="28" customHeight="1">
      <c r="B8" s="54" t="s">
        <v>107</v>
      </c>
      <c r="C8" s="54" t="s">
        <v>108</v>
      </c>
      <c r="D8" s="54" t="s">
        <v>95</v>
      </c>
      <c r="E8" s="54" t="s">
        <v>109</v>
      </c>
      <c r="F8" s="54" t="s">
        <v>110</v>
      </c>
      <c r="G8" s="54" t="s">
        <v>111</v>
      </c>
      <c r="H8" s="54" t="s">
        <v>112</v>
      </c>
      <c r="I8" s="54" t="s">
        <v>113</v>
      </c>
    </row>
    <row r="9" spans="2:9" ht="16.5" customHeight="1">
      <c r="G9" s="47">
        <f>IF($D9="","",IF(COUNTIF('Config'!$E$6:$E$13,$D9)&gt;0,"Entrada",IF(COUNTIF('Config'!$G$6:$G$21,$D9)&gt;0,"Saída","Verificar")))</f>
        <v/>
      </c>
    </row>
    <row r="10" spans="2:9" ht="16.5" customHeight="1">
      <c r="G10" s="47">
        <f>IF($D10="","",IF(COUNTIF('Config'!$E$6:$E$13,$D10)&gt;0,"Entrada",IF(COUNTIF('Config'!$G$6:$G$21,$D10)&gt;0,"Saída","Verificar")))</f>
        <v/>
      </c>
    </row>
    <row r="11" spans="2:9" ht="16.5" customHeight="1">
      <c r="G11" s="47">
        <f>IF($D11="","",IF(COUNTIF('Config'!$E$6:$E$13,$D11)&gt;0,"Entrada",IF(COUNTIF('Config'!$G$6:$G$21,$D11)&gt;0,"Saída","Verificar")))</f>
        <v/>
      </c>
    </row>
    <row r="12" spans="2:9" ht="16.5" customHeight="1">
      <c r="G12" s="47">
        <f>IF($D12="","",IF(COUNTIF('Config'!$E$6:$E$13,$D12)&gt;0,"Entrada",IF(COUNTIF('Config'!$G$6:$G$21,$D12)&gt;0,"Saída","Verificar")))</f>
        <v/>
      </c>
    </row>
    <row r="13" spans="2:9" ht="16.5" customHeight="1">
      <c r="G13" s="47">
        <f>IF($D13="","",IF(COUNTIF('Config'!$E$6:$E$13,$D13)&gt;0,"Entrada",IF(COUNTIF('Config'!$G$6:$G$21,$D13)&gt;0,"Saída","Verificar")))</f>
        <v/>
      </c>
    </row>
    <row r="14" spans="2:9" ht="16.5" customHeight="1">
      <c r="G14" s="47">
        <f>IF($D14="","",IF(COUNTIF('Config'!$E$6:$E$13,$D14)&gt;0,"Entrada",IF(COUNTIF('Config'!$G$6:$G$21,$D14)&gt;0,"Saída","Verificar")))</f>
        <v/>
      </c>
    </row>
    <row r="15" spans="2:9" ht="16.5" customHeight="1">
      <c r="G15" s="47">
        <f>IF($D15="","",IF(COUNTIF('Config'!$E$6:$E$13,$D15)&gt;0,"Entrada",IF(COUNTIF('Config'!$G$6:$G$21,$D15)&gt;0,"Saída","Verificar")))</f>
        <v/>
      </c>
    </row>
    <row r="16" spans="2:9" ht="16.5" customHeight="1">
      <c r="G16" s="47">
        <f>IF($D16="","",IF(COUNTIF('Config'!$E$6:$E$13,$D16)&gt;0,"Entrada",IF(COUNTIF('Config'!$G$6:$G$21,$D16)&gt;0,"Saída","Verificar")))</f>
        <v/>
      </c>
    </row>
    <row r="17" spans="7:7" ht="16.5" customHeight="1">
      <c r="G17" s="47">
        <f>IF($D17="","",IF(COUNTIF('Config'!$E$6:$E$13,$D17)&gt;0,"Entrada",IF(COUNTIF('Config'!$G$6:$G$21,$D17)&gt;0,"Saída","Verificar")))</f>
        <v/>
      </c>
    </row>
    <row r="18" spans="7:7" ht="16.5" customHeight="1">
      <c r="G18" s="47">
        <f>IF($D18="","",IF(COUNTIF('Config'!$E$6:$E$13,$D18)&gt;0,"Entrada",IF(COUNTIF('Config'!$G$6:$G$21,$D18)&gt;0,"Saída","Verificar")))</f>
        <v/>
      </c>
    </row>
    <row r="19" spans="7:7" ht="16.5" customHeight="1">
      <c r="G19" s="47">
        <f>IF($D19="","",IF(COUNTIF('Config'!$E$6:$E$13,$D19)&gt;0,"Entrada",IF(COUNTIF('Config'!$G$6:$G$21,$D19)&gt;0,"Saída","Verificar")))</f>
        <v/>
      </c>
    </row>
    <row r="20" spans="7:7" ht="16.5" customHeight="1">
      <c r="G20" s="47">
        <f>IF($D20="","",IF(COUNTIF('Config'!$E$6:$E$13,$D20)&gt;0,"Entrada",IF(COUNTIF('Config'!$G$6:$G$21,$D20)&gt;0,"Saída","Verificar")))</f>
        <v/>
      </c>
    </row>
    <row r="21" spans="7:7" ht="16.5" customHeight="1">
      <c r="G21" s="47">
        <f>IF($D21="","",IF(COUNTIF('Config'!$E$6:$E$13,$D21)&gt;0,"Entrada",IF(COUNTIF('Config'!$G$6:$G$21,$D21)&gt;0,"Saída","Verificar")))</f>
        <v/>
      </c>
    </row>
    <row r="22" spans="7:7" ht="16.5" customHeight="1">
      <c r="G22" s="47">
        <f>IF($D22="","",IF(COUNTIF('Config'!$E$6:$E$13,$D22)&gt;0,"Entrada",IF(COUNTIF('Config'!$G$6:$G$21,$D22)&gt;0,"Saída","Verificar")))</f>
        <v/>
      </c>
    </row>
    <row r="23" spans="7:7" ht="16.5" customHeight="1">
      <c r="G23" s="47">
        <f>IF($D23="","",IF(COUNTIF('Config'!$E$6:$E$13,$D23)&gt;0,"Entrada",IF(COUNTIF('Config'!$G$6:$G$21,$D23)&gt;0,"Saída","Verificar")))</f>
        <v/>
      </c>
    </row>
    <row r="24" spans="7:7" ht="16.5" customHeight="1">
      <c r="G24" s="47">
        <f>IF($D24="","",IF(COUNTIF('Config'!$E$6:$E$13,$D24)&gt;0,"Entrada",IF(COUNTIF('Config'!$G$6:$G$21,$D24)&gt;0,"Saída","Verificar")))</f>
        <v/>
      </c>
    </row>
    <row r="25" spans="7:7" ht="16.5" customHeight="1">
      <c r="G25" s="47">
        <f>IF($D25="","",IF(COUNTIF('Config'!$E$6:$E$13,$D25)&gt;0,"Entrada",IF(COUNTIF('Config'!$G$6:$G$21,$D25)&gt;0,"Saída","Verificar")))</f>
        <v/>
      </c>
    </row>
    <row r="26" spans="7:7" ht="16.5" customHeight="1">
      <c r="G26" s="47">
        <f>IF($D26="","",IF(COUNTIF('Config'!$E$6:$E$13,$D26)&gt;0,"Entrada",IF(COUNTIF('Config'!$G$6:$G$21,$D26)&gt;0,"Saída","Verificar")))</f>
        <v/>
      </c>
    </row>
    <row r="27" spans="7:7" ht="16.5" customHeight="1">
      <c r="G27" s="47">
        <f>IF($D27="","",IF(COUNTIF('Config'!$E$6:$E$13,$D27)&gt;0,"Entrada",IF(COUNTIF('Config'!$G$6:$G$21,$D27)&gt;0,"Saída","Verificar")))</f>
        <v/>
      </c>
    </row>
    <row r="28" spans="7:7" ht="16.5" customHeight="1">
      <c r="G28" s="47">
        <f>IF($D28="","",IF(COUNTIF('Config'!$E$6:$E$13,$D28)&gt;0,"Entrada",IF(COUNTIF('Config'!$G$6:$G$21,$D28)&gt;0,"Saída","Verificar")))</f>
        <v/>
      </c>
    </row>
    <row r="29" spans="7:7" ht="16.5" customHeight="1">
      <c r="G29" s="47">
        <f>IF($D29="","",IF(COUNTIF('Config'!$E$6:$E$13,$D29)&gt;0,"Entrada",IF(COUNTIF('Config'!$G$6:$G$21,$D29)&gt;0,"Saída","Verificar")))</f>
        <v/>
      </c>
    </row>
    <row r="30" spans="7:7" ht="16.5" customHeight="1">
      <c r="G30" s="47">
        <f>IF($D30="","",IF(COUNTIF('Config'!$E$6:$E$13,$D30)&gt;0,"Entrada",IF(COUNTIF('Config'!$G$6:$G$21,$D30)&gt;0,"Saída","Verificar")))</f>
        <v/>
      </c>
    </row>
    <row r="31" spans="7:7" ht="16.5" customHeight="1">
      <c r="G31" s="47">
        <f>IF($D31="","",IF(COUNTIF('Config'!$E$6:$E$13,$D31)&gt;0,"Entrada",IF(COUNTIF('Config'!$G$6:$G$21,$D31)&gt;0,"Saída","Verificar")))</f>
        <v/>
      </c>
    </row>
    <row r="32" spans="7:7" ht="16.5" customHeight="1">
      <c r="G32" s="47">
        <f>IF($D32="","",IF(COUNTIF('Config'!$E$6:$E$13,$D32)&gt;0,"Entrada",IF(COUNTIF('Config'!$G$6:$G$21,$D32)&gt;0,"Saída","Verificar")))</f>
        <v/>
      </c>
    </row>
    <row r="33" spans="7:7" ht="16.5" customHeight="1">
      <c r="G33" s="47">
        <f>IF($D33="","",IF(COUNTIF('Config'!$E$6:$E$13,$D33)&gt;0,"Entrada",IF(COUNTIF('Config'!$G$6:$G$21,$D33)&gt;0,"Saída","Verificar")))</f>
        <v/>
      </c>
    </row>
    <row r="34" spans="7:7" ht="16.5" customHeight="1">
      <c r="G34" s="47">
        <f>IF($D34="","",IF(COUNTIF('Config'!$E$6:$E$13,$D34)&gt;0,"Entrada",IF(COUNTIF('Config'!$G$6:$G$21,$D34)&gt;0,"Saída","Verificar")))</f>
        <v/>
      </c>
    </row>
    <row r="35" spans="7:7" ht="16.5" customHeight="1">
      <c r="G35" s="47">
        <f>IF($D35="","",IF(COUNTIF('Config'!$E$6:$E$13,$D35)&gt;0,"Entrada",IF(COUNTIF('Config'!$G$6:$G$21,$D35)&gt;0,"Saída","Verificar")))</f>
        <v/>
      </c>
    </row>
    <row r="36" spans="7:7" ht="16.5" customHeight="1">
      <c r="G36" s="47">
        <f>IF($D36="","",IF(COUNTIF('Config'!$E$6:$E$13,$D36)&gt;0,"Entrada",IF(COUNTIF('Config'!$G$6:$G$21,$D36)&gt;0,"Saída","Verificar")))</f>
        <v/>
      </c>
    </row>
    <row r="37" spans="7:7" ht="16.5" customHeight="1">
      <c r="G37" s="47">
        <f>IF($D37="","",IF(COUNTIF('Config'!$E$6:$E$13,$D37)&gt;0,"Entrada",IF(COUNTIF('Config'!$G$6:$G$21,$D37)&gt;0,"Saída","Verificar")))</f>
        <v/>
      </c>
    </row>
    <row r="38" spans="7:7" ht="16.5" customHeight="1">
      <c r="G38" s="47">
        <f>IF($D38="","",IF(COUNTIF('Config'!$E$6:$E$13,$D38)&gt;0,"Entrada",IF(COUNTIF('Config'!$G$6:$G$21,$D38)&gt;0,"Saída","Verificar")))</f>
        <v/>
      </c>
    </row>
    <row r="39" spans="7:7" ht="16.5" customHeight="1">
      <c r="G39" s="47">
        <f>IF($D39="","",IF(COUNTIF('Config'!$E$6:$E$13,$D39)&gt;0,"Entrada",IF(COUNTIF('Config'!$G$6:$G$21,$D39)&gt;0,"Saída","Verificar")))</f>
        <v/>
      </c>
    </row>
    <row r="40" spans="7:7" ht="16.5" customHeight="1">
      <c r="G40" s="47">
        <f>IF($D40="","",IF(COUNTIF('Config'!$E$6:$E$13,$D40)&gt;0,"Entrada",IF(COUNTIF('Config'!$G$6:$G$21,$D40)&gt;0,"Saída","Verificar")))</f>
        <v/>
      </c>
    </row>
    <row r="41" spans="7:7" ht="16.5" customHeight="1">
      <c r="G41" s="47">
        <f>IF($D41="","",IF(COUNTIF('Config'!$E$6:$E$13,$D41)&gt;0,"Entrada",IF(COUNTIF('Config'!$G$6:$G$21,$D41)&gt;0,"Saída","Verificar")))</f>
        <v/>
      </c>
    </row>
    <row r="42" spans="7:7" ht="16.5" customHeight="1">
      <c r="G42" s="47">
        <f>IF($D42="","",IF(COUNTIF('Config'!$E$6:$E$13,$D42)&gt;0,"Entrada",IF(COUNTIF('Config'!$G$6:$G$21,$D42)&gt;0,"Saída","Verificar")))</f>
        <v/>
      </c>
    </row>
    <row r="43" spans="7:7" ht="16.5" customHeight="1">
      <c r="G43" s="47">
        <f>IF($D43="","",IF(COUNTIF('Config'!$E$6:$E$13,$D43)&gt;0,"Entrada",IF(COUNTIF('Config'!$G$6:$G$21,$D43)&gt;0,"Saída","Verificar")))</f>
        <v/>
      </c>
    </row>
    <row r="44" spans="7:7" ht="16.5" customHeight="1">
      <c r="G44" s="47">
        <f>IF($D44="","",IF(COUNTIF('Config'!$E$6:$E$13,$D44)&gt;0,"Entrada",IF(COUNTIF('Config'!$G$6:$G$21,$D44)&gt;0,"Saída","Verificar")))</f>
        <v/>
      </c>
    </row>
    <row r="45" spans="7:7" ht="16.5" customHeight="1">
      <c r="G45" s="47">
        <f>IF($D45="","",IF(COUNTIF('Config'!$E$6:$E$13,$D45)&gt;0,"Entrada",IF(COUNTIF('Config'!$G$6:$G$21,$D45)&gt;0,"Saída","Verificar")))</f>
        <v/>
      </c>
    </row>
    <row r="46" spans="7:7" ht="16.5" customHeight="1">
      <c r="G46" s="47">
        <f>IF($D46="","",IF(COUNTIF('Config'!$E$6:$E$13,$D46)&gt;0,"Entrada",IF(COUNTIF('Config'!$G$6:$G$21,$D46)&gt;0,"Saída","Verificar")))</f>
        <v/>
      </c>
    </row>
    <row r="47" spans="7:7" ht="16.5" customHeight="1">
      <c r="G47" s="47">
        <f>IF($D47="","",IF(COUNTIF('Config'!$E$6:$E$13,$D47)&gt;0,"Entrada",IF(COUNTIF('Config'!$G$6:$G$21,$D47)&gt;0,"Saída","Verificar")))</f>
        <v/>
      </c>
    </row>
    <row r="48" spans="7:7" ht="16.5" customHeight="1">
      <c r="G48" s="47">
        <f>IF($D48="","",IF(COUNTIF('Config'!$E$6:$E$13,$D48)&gt;0,"Entrada",IF(COUNTIF('Config'!$G$6:$G$21,$D48)&gt;0,"Saída","Verificar")))</f>
        <v/>
      </c>
    </row>
    <row r="49" spans="7:7" ht="16.5" customHeight="1">
      <c r="G49" s="47">
        <f>IF($D49="","",IF(COUNTIF('Config'!$E$6:$E$13,$D49)&gt;0,"Entrada",IF(COUNTIF('Config'!$G$6:$G$21,$D49)&gt;0,"Saída","Verificar")))</f>
        <v/>
      </c>
    </row>
    <row r="50" spans="7:7" ht="16.5" customHeight="1">
      <c r="G50" s="47">
        <f>IF($D50="","",IF(COUNTIF('Config'!$E$6:$E$13,$D50)&gt;0,"Entrada",IF(COUNTIF('Config'!$G$6:$G$21,$D50)&gt;0,"Saída","Verificar")))</f>
        <v/>
      </c>
    </row>
    <row r="51" spans="7:7" ht="16.5" customHeight="1">
      <c r="G51" s="47">
        <f>IF($D51="","",IF(COUNTIF('Config'!$E$6:$E$13,$D51)&gt;0,"Entrada",IF(COUNTIF('Config'!$G$6:$G$21,$D51)&gt;0,"Saída","Verificar")))</f>
        <v/>
      </c>
    </row>
    <row r="52" spans="7:7" ht="16.5" customHeight="1">
      <c r="G52" s="47">
        <f>IF($D52="","",IF(COUNTIF('Config'!$E$6:$E$13,$D52)&gt;0,"Entrada",IF(COUNTIF('Config'!$G$6:$G$21,$D52)&gt;0,"Saída","Verificar")))</f>
        <v/>
      </c>
    </row>
    <row r="53" spans="7:7" ht="16.5" customHeight="1">
      <c r="G53" s="47">
        <f>IF($D53="","",IF(COUNTIF('Config'!$E$6:$E$13,$D53)&gt;0,"Entrada",IF(COUNTIF('Config'!$G$6:$G$21,$D53)&gt;0,"Saída","Verificar")))</f>
        <v/>
      </c>
    </row>
    <row r="54" spans="7:7" ht="16.5" customHeight="1">
      <c r="G54" s="47">
        <f>IF($D54="","",IF(COUNTIF('Config'!$E$6:$E$13,$D54)&gt;0,"Entrada",IF(COUNTIF('Config'!$G$6:$G$21,$D54)&gt;0,"Saída","Verificar")))</f>
        <v/>
      </c>
    </row>
    <row r="55" spans="7:7" ht="16.5" customHeight="1">
      <c r="G55" s="47">
        <f>IF($D55="","",IF(COUNTIF('Config'!$E$6:$E$13,$D55)&gt;0,"Entrada",IF(COUNTIF('Config'!$G$6:$G$21,$D55)&gt;0,"Saída","Verificar")))</f>
        <v/>
      </c>
    </row>
    <row r="56" spans="7:7" ht="16.5" customHeight="1">
      <c r="G56" s="47">
        <f>IF($D56="","",IF(COUNTIF('Config'!$E$6:$E$13,$D56)&gt;0,"Entrada",IF(COUNTIF('Config'!$G$6:$G$21,$D56)&gt;0,"Saída","Verificar")))</f>
        <v/>
      </c>
    </row>
    <row r="57" spans="7:7" ht="16.5" customHeight="1">
      <c r="G57" s="47">
        <f>IF($D57="","",IF(COUNTIF('Config'!$E$6:$E$13,$D57)&gt;0,"Entrada",IF(COUNTIF('Config'!$G$6:$G$21,$D57)&gt;0,"Saída","Verificar")))</f>
        <v/>
      </c>
    </row>
    <row r="58" spans="7:7" ht="16.5" customHeight="1">
      <c r="G58" s="47">
        <f>IF($D58="","",IF(COUNTIF('Config'!$E$6:$E$13,$D58)&gt;0,"Entrada",IF(COUNTIF('Config'!$G$6:$G$21,$D58)&gt;0,"Saída","Verificar")))</f>
        <v/>
      </c>
    </row>
    <row r="59" spans="7:7" ht="16.5" customHeight="1">
      <c r="G59" s="47">
        <f>IF($D59="","",IF(COUNTIF('Config'!$E$6:$E$13,$D59)&gt;0,"Entrada",IF(COUNTIF('Config'!$G$6:$G$21,$D59)&gt;0,"Saída","Verificar")))</f>
        <v/>
      </c>
    </row>
    <row r="60" spans="7:7" ht="16.5" customHeight="1">
      <c r="G60" s="47">
        <f>IF($D60="","",IF(COUNTIF('Config'!$E$6:$E$13,$D60)&gt;0,"Entrada",IF(COUNTIF('Config'!$G$6:$G$21,$D60)&gt;0,"Saída","Verificar")))</f>
        <v/>
      </c>
    </row>
    <row r="61" spans="7:7" ht="16.5" customHeight="1">
      <c r="G61" s="47">
        <f>IF($D61="","",IF(COUNTIF('Config'!$E$6:$E$13,$D61)&gt;0,"Entrada",IF(COUNTIF('Config'!$G$6:$G$21,$D61)&gt;0,"Saída","Verificar")))</f>
        <v/>
      </c>
    </row>
    <row r="62" spans="7:7" ht="16.5" customHeight="1">
      <c r="G62" s="47">
        <f>IF($D62="","",IF(COUNTIF('Config'!$E$6:$E$13,$D62)&gt;0,"Entrada",IF(COUNTIF('Config'!$G$6:$G$21,$D62)&gt;0,"Saída","Verificar")))</f>
        <v/>
      </c>
    </row>
    <row r="63" spans="7:7" ht="16.5" customHeight="1">
      <c r="G63" s="47">
        <f>IF($D63="","",IF(COUNTIF('Config'!$E$6:$E$13,$D63)&gt;0,"Entrada",IF(COUNTIF('Config'!$G$6:$G$21,$D63)&gt;0,"Saída","Verificar")))</f>
        <v/>
      </c>
    </row>
    <row r="64" spans="7:7" ht="16.5" customHeight="1">
      <c r="G64" s="47">
        <f>IF($D64="","",IF(COUNTIF('Config'!$E$6:$E$13,$D64)&gt;0,"Entrada",IF(COUNTIF('Config'!$G$6:$G$21,$D64)&gt;0,"Saída","Verificar")))</f>
        <v/>
      </c>
    </row>
    <row r="65" spans="7:7" ht="16.5" customHeight="1">
      <c r="G65" s="47">
        <f>IF($D65="","",IF(COUNTIF('Config'!$E$6:$E$13,$D65)&gt;0,"Entrada",IF(COUNTIF('Config'!$G$6:$G$21,$D65)&gt;0,"Saída","Verificar")))</f>
        <v/>
      </c>
    </row>
    <row r="66" spans="7:7" ht="16.5" customHeight="1">
      <c r="G66" s="47">
        <f>IF($D66="","",IF(COUNTIF('Config'!$E$6:$E$13,$D66)&gt;0,"Entrada",IF(COUNTIF('Config'!$G$6:$G$21,$D66)&gt;0,"Saída","Verificar")))</f>
        <v/>
      </c>
    </row>
    <row r="67" spans="7:7" ht="16.5" customHeight="1">
      <c r="G67" s="47">
        <f>IF($D67="","",IF(COUNTIF('Config'!$E$6:$E$13,$D67)&gt;0,"Entrada",IF(COUNTIF('Config'!$G$6:$G$21,$D67)&gt;0,"Saída","Verificar")))</f>
        <v/>
      </c>
    </row>
    <row r="68" spans="7:7" ht="16.5" customHeight="1">
      <c r="G68" s="47">
        <f>IF($D68="","",IF(COUNTIF('Config'!$E$6:$E$13,$D68)&gt;0,"Entrada",IF(COUNTIF('Config'!$G$6:$G$21,$D68)&gt;0,"Saída","Verificar")))</f>
        <v/>
      </c>
    </row>
    <row r="69" spans="7:7" ht="16.5" customHeight="1">
      <c r="G69" s="47">
        <f>IF($D69="","",IF(COUNTIF('Config'!$E$6:$E$13,$D69)&gt;0,"Entrada",IF(COUNTIF('Config'!$G$6:$G$21,$D69)&gt;0,"Saída","Verificar")))</f>
        <v/>
      </c>
    </row>
    <row r="70" spans="7:7" ht="16.5" customHeight="1">
      <c r="G70" s="47">
        <f>IF($D70="","",IF(COUNTIF('Config'!$E$6:$E$13,$D70)&gt;0,"Entrada",IF(COUNTIF('Config'!$G$6:$G$21,$D70)&gt;0,"Saída","Verificar")))</f>
        <v/>
      </c>
    </row>
    <row r="71" spans="7:7" ht="16.5" customHeight="1">
      <c r="G71" s="47">
        <f>IF($D71="","",IF(COUNTIF('Config'!$E$6:$E$13,$D71)&gt;0,"Entrada",IF(COUNTIF('Config'!$G$6:$G$21,$D71)&gt;0,"Saída","Verificar")))</f>
        <v/>
      </c>
    </row>
    <row r="72" spans="7:7" ht="16.5" customHeight="1">
      <c r="G72" s="47">
        <f>IF($D72="","",IF(COUNTIF('Config'!$E$6:$E$13,$D72)&gt;0,"Entrada",IF(COUNTIF('Config'!$G$6:$G$21,$D72)&gt;0,"Saída","Verificar")))</f>
        <v/>
      </c>
    </row>
    <row r="73" spans="7:7" ht="16.5" customHeight="1">
      <c r="G73" s="47">
        <f>IF($D73="","",IF(COUNTIF('Config'!$E$6:$E$13,$D73)&gt;0,"Entrada",IF(COUNTIF('Config'!$G$6:$G$21,$D73)&gt;0,"Saída","Verificar")))</f>
        <v/>
      </c>
    </row>
    <row r="74" spans="7:7" ht="16.5" customHeight="1">
      <c r="G74" s="47">
        <f>IF($D74="","",IF(COUNTIF('Config'!$E$6:$E$13,$D74)&gt;0,"Entrada",IF(COUNTIF('Config'!$G$6:$G$21,$D74)&gt;0,"Saída","Verificar")))</f>
        <v/>
      </c>
    </row>
    <row r="75" spans="7:7" ht="16.5" customHeight="1">
      <c r="G75" s="47">
        <f>IF($D75="","",IF(COUNTIF('Config'!$E$6:$E$13,$D75)&gt;0,"Entrada",IF(COUNTIF('Config'!$G$6:$G$21,$D75)&gt;0,"Saída","Verificar")))</f>
        <v/>
      </c>
    </row>
    <row r="76" spans="7:7" ht="16.5" customHeight="1">
      <c r="G76" s="47">
        <f>IF($D76="","",IF(COUNTIF('Config'!$E$6:$E$13,$D76)&gt;0,"Entrada",IF(COUNTIF('Config'!$G$6:$G$21,$D76)&gt;0,"Saída","Verificar")))</f>
        <v/>
      </c>
    </row>
    <row r="77" spans="7:7" ht="16.5" customHeight="1">
      <c r="G77" s="47">
        <f>IF($D77="","",IF(COUNTIF('Config'!$E$6:$E$13,$D77)&gt;0,"Entrada",IF(COUNTIF('Config'!$G$6:$G$21,$D77)&gt;0,"Saída","Verificar")))</f>
        <v/>
      </c>
    </row>
    <row r="78" spans="7:7" ht="16.5" customHeight="1">
      <c r="G78" s="47">
        <f>IF($D78="","",IF(COUNTIF('Config'!$E$6:$E$13,$D78)&gt;0,"Entrada",IF(COUNTIF('Config'!$G$6:$G$21,$D78)&gt;0,"Saída","Verificar")))</f>
        <v/>
      </c>
    </row>
    <row r="79" spans="7:7" ht="16.5" customHeight="1">
      <c r="G79" s="47">
        <f>IF($D79="","",IF(COUNTIF('Config'!$E$6:$E$13,$D79)&gt;0,"Entrada",IF(COUNTIF('Config'!$G$6:$G$21,$D79)&gt;0,"Saída","Verificar")))</f>
        <v/>
      </c>
    </row>
    <row r="80" spans="7:7" ht="16.5" customHeight="1">
      <c r="G80" s="47">
        <f>IF($D80="","",IF(COUNTIF('Config'!$E$6:$E$13,$D80)&gt;0,"Entrada",IF(COUNTIF('Config'!$G$6:$G$21,$D80)&gt;0,"Saída","Verificar")))</f>
        <v/>
      </c>
    </row>
    <row r="81" spans="7:7" ht="16.5" customHeight="1">
      <c r="G81" s="47">
        <f>IF($D81="","",IF(COUNTIF('Config'!$E$6:$E$13,$D81)&gt;0,"Entrada",IF(COUNTIF('Config'!$G$6:$G$21,$D81)&gt;0,"Saída","Verificar")))</f>
        <v/>
      </c>
    </row>
    <row r="82" spans="7:7" ht="16.5" customHeight="1">
      <c r="G82" s="47">
        <f>IF($D82="","",IF(COUNTIF('Config'!$E$6:$E$13,$D82)&gt;0,"Entrada",IF(COUNTIF('Config'!$G$6:$G$21,$D82)&gt;0,"Saída","Verificar")))</f>
        <v/>
      </c>
    </row>
    <row r="83" spans="7:7" ht="16.5" customHeight="1">
      <c r="G83" s="47">
        <f>IF($D83="","",IF(COUNTIF('Config'!$E$6:$E$13,$D83)&gt;0,"Entrada",IF(COUNTIF('Config'!$G$6:$G$21,$D83)&gt;0,"Saída","Verificar")))</f>
        <v/>
      </c>
    </row>
    <row r="84" spans="7:7" ht="16.5" customHeight="1">
      <c r="G84" s="47">
        <f>IF($D84="","",IF(COUNTIF('Config'!$E$6:$E$13,$D84)&gt;0,"Entrada",IF(COUNTIF('Config'!$G$6:$G$21,$D84)&gt;0,"Saída","Verificar")))</f>
        <v/>
      </c>
    </row>
    <row r="85" spans="7:7" ht="16.5" customHeight="1">
      <c r="G85" s="47">
        <f>IF($D85="","",IF(COUNTIF('Config'!$E$6:$E$13,$D85)&gt;0,"Entrada",IF(COUNTIF('Config'!$G$6:$G$21,$D85)&gt;0,"Saída","Verificar")))</f>
        <v/>
      </c>
    </row>
    <row r="86" spans="7:7" ht="16.5" customHeight="1">
      <c r="G86" s="47">
        <f>IF($D86="","",IF(COUNTIF('Config'!$E$6:$E$13,$D86)&gt;0,"Entrada",IF(COUNTIF('Config'!$G$6:$G$21,$D86)&gt;0,"Saída","Verificar")))</f>
        <v/>
      </c>
    </row>
    <row r="87" spans="7:7" ht="16.5" customHeight="1">
      <c r="G87" s="47">
        <f>IF($D87="","",IF(COUNTIF('Config'!$E$6:$E$13,$D87)&gt;0,"Entrada",IF(COUNTIF('Config'!$G$6:$G$21,$D87)&gt;0,"Saída","Verificar")))</f>
        <v/>
      </c>
    </row>
    <row r="88" spans="7:7" ht="16.5" customHeight="1">
      <c r="G88" s="47">
        <f>IF($D88="","",IF(COUNTIF('Config'!$E$6:$E$13,$D88)&gt;0,"Entrada",IF(COUNTIF('Config'!$G$6:$G$21,$D88)&gt;0,"Saída","Verificar")))</f>
        <v/>
      </c>
    </row>
    <row r="89" spans="7:7" ht="16.5" customHeight="1">
      <c r="G89" s="47">
        <f>IF($D89="","",IF(COUNTIF('Config'!$E$6:$E$13,$D89)&gt;0,"Entrada",IF(COUNTIF('Config'!$G$6:$G$21,$D89)&gt;0,"Saída","Verificar")))</f>
        <v/>
      </c>
    </row>
    <row r="90" spans="7:7" ht="16.5" customHeight="1">
      <c r="G90" s="47">
        <f>IF($D90="","",IF(COUNTIF('Config'!$E$6:$E$13,$D90)&gt;0,"Entrada",IF(COUNTIF('Config'!$G$6:$G$21,$D90)&gt;0,"Saída","Verificar")))</f>
        <v/>
      </c>
    </row>
    <row r="91" spans="7:7" ht="16.5" customHeight="1">
      <c r="G91" s="47">
        <f>IF($D91="","",IF(COUNTIF('Config'!$E$6:$E$13,$D91)&gt;0,"Entrada",IF(COUNTIF('Config'!$G$6:$G$21,$D91)&gt;0,"Saída","Verificar")))</f>
        <v/>
      </c>
    </row>
    <row r="92" spans="7:7" ht="16.5" customHeight="1">
      <c r="G92" s="47">
        <f>IF($D92="","",IF(COUNTIF('Config'!$E$6:$E$13,$D92)&gt;0,"Entrada",IF(COUNTIF('Config'!$G$6:$G$21,$D92)&gt;0,"Saída","Verificar")))</f>
        <v/>
      </c>
    </row>
    <row r="93" spans="7:7" ht="16.5" customHeight="1">
      <c r="G93" s="47">
        <f>IF($D93="","",IF(COUNTIF('Config'!$E$6:$E$13,$D93)&gt;0,"Entrada",IF(COUNTIF('Config'!$G$6:$G$21,$D93)&gt;0,"Saída","Verificar")))</f>
        <v/>
      </c>
    </row>
    <row r="94" spans="7:7" ht="16.5" customHeight="1">
      <c r="G94" s="47">
        <f>IF($D94="","",IF(COUNTIF('Config'!$E$6:$E$13,$D94)&gt;0,"Entrada",IF(COUNTIF('Config'!$G$6:$G$21,$D94)&gt;0,"Saída","Verificar")))</f>
        <v/>
      </c>
    </row>
    <row r="95" spans="7:7" ht="16.5" customHeight="1">
      <c r="G95" s="47">
        <f>IF($D95="","",IF(COUNTIF('Config'!$E$6:$E$13,$D95)&gt;0,"Entrada",IF(COUNTIF('Config'!$G$6:$G$21,$D95)&gt;0,"Saída","Verificar")))</f>
        <v/>
      </c>
    </row>
    <row r="96" spans="7:7" ht="16.5" customHeight="1">
      <c r="G96" s="47">
        <f>IF($D96="","",IF(COUNTIF('Config'!$E$6:$E$13,$D96)&gt;0,"Entrada",IF(COUNTIF('Config'!$G$6:$G$21,$D96)&gt;0,"Saída","Verificar")))</f>
        <v/>
      </c>
    </row>
    <row r="97" spans="7:7" ht="16.5" customHeight="1">
      <c r="G97" s="47">
        <f>IF($D97="","",IF(COUNTIF('Config'!$E$6:$E$13,$D97)&gt;0,"Entrada",IF(COUNTIF('Config'!$G$6:$G$21,$D97)&gt;0,"Saída","Verificar")))</f>
        <v/>
      </c>
    </row>
    <row r="98" spans="7:7" ht="16.5" customHeight="1">
      <c r="G98" s="47">
        <f>IF($D98="","",IF(COUNTIF('Config'!$E$6:$E$13,$D98)&gt;0,"Entrada",IF(COUNTIF('Config'!$G$6:$G$21,$D98)&gt;0,"Saída","Verificar")))</f>
        <v/>
      </c>
    </row>
    <row r="99" spans="7:7" ht="16.5" customHeight="1">
      <c r="G99" s="47">
        <f>IF($D99="","",IF(COUNTIF('Config'!$E$6:$E$13,$D99)&gt;0,"Entrada",IF(COUNTIF('Config'!$G$6:$G$21,$D99)&gt;0,"Saída","Verificar")))</f>
        <v/>
      </c>
    </row>
    <row r="100" spans="7:7" ht="16.5" customHeight="1">
      <c r="G100" s="47">
        <f>IF($D100="","",IF(COUNTIF('Config'!$E$6:$E$13,$D100)&gt;0,"Entrada",IF(COUNTIF('Config'!$G$6:$G$21,$D100)&gt;0,"Saída","Verificar")))</f>
        <v/>
      </c>
    </row>
    <row r="101" spans="7:7" ht="16.5" customHeight="1">
      <c r="G101" s="47">
        <f>IF($D101="","",IF(COUNTIF('Config'!$E$6:$E$13,$D101)&gt;0,"Entrada",IF(COUNTIF('Config'!$G$6:$G$21,$D101)&gt;0,"Saída","Verificar")))</f>
        <v/>
      </c>
    </row>
    <row r="102" spans="7:7" ht="16.5" customHeight="1">
      <c r="G102" s="47">
        <f>IF($D102="","",IF(COUNTIF('Config'!$E$6:$E$13,$D102)&gt;0,"Entrada",IF(COUNTIF('Config'!$G$6:$G$21,$D102)&gt;0,"Saída","Verificar")))</f>
        <v/>
      </c>
    </row>
    <row r="103" spans="7:7" ht="16.5" customHeight="1">
      <c r="G103" s="47">
        <f>IF($D103="","",IF(COUNTIF('Config'!$E$6:$E$13,$D103)&gt;0,"Entrada",IF(COUNTIF('Config'!$G$6:$G$21,$D103)&gt;0,"Saída","Verificar")))</f>
        <v/>
      </c>
    </row>
    <row r="104" spans="7:7" ht="16.5" customHeight="1">
      <c r="G104" s="47">
        <f>IF($D104="","",IF(COUNTIF('Config'!$E$6:$E$13,$D104)&gt;0,"Entrada",IF(COUNTIF('Config'!$G$6:$G$21,$D104)&gt;0,"Saída","Verificar")))</f>
        <v/>
      </c>
    </row>
    <row r="105" spans="7:7" ht="16.5" customHeight="1">
      <c r="G105" s="47">
        <f>IF($D105="","",IF(COUNTIF('Config'!$E$6:$E$13,$D105)&gt;0,"Entrada",IF(COUNTIF('Config'!$G$6:$G$21,$D105)&gt;0,"Saída","Verificar")))</f>
        <v/>
      </c>
    </row>
    <row r="106" spans="7:7" ht="16.5" customHeight="1">
      <c r="G106" s="47">
        <f>IF($D106="","",IF(COUNTIF('Config'!$E$6:$E$13,$D106)&gt;0,"Entrada",IF(COUNTIF('Config'!$G$6:$G$21,$D106)&gt;0,"Saída","Verificar")))</f>
        <v/>
      </c>
    </row>
    <row r="107" spans="7:7" ht="16.5" customHeight="1">
      <c r="G107" s="47">
        <f>IF($D107="","",IF(COUNTIF('Config'!$E$6:$E$13,$D107)&gt;0,"Entrada",IF(COUNTIF('Config'!$G$6:$G$21,$D107)&gt;0,"Saída","Verificar")))</f>
        <v/>
      </c>
    </row>
    <row r="108" spans="7:7" ht="16.5" customHeight="1">
      <c r="G108" s="47">
        <f>IF($D108="","",IF(COUNTIF('Config'!$E$6:$E$13,$D108)&gt;0,"Entrada",IF(COUNTIF('Config'!$G$6:$G$21,$D108)&gt;0,"Saída","Verificar")))</f>
        <v/>
      </c>
    </row>
    <row r="109" spans="7:7" ht="16.5" customHeight="1">
      <c r="G109" s="47">
        <f>IF($D109="","",IF(COUNTIF('Config'!$E$6:$E$13,$D109)&gt;0,"Entrada",IF(COUNTIF('Config'!$G$6:$G$21,$D109)&gt;0,"Saída","Verificar")))</f>
        <v/>
      </c>
    </row>
    <row r="110" spans="7:7" ht="16.5" customHeight="1">
      <c r="G110" s="47">
        <f>IF($D110="","",IF(COUNTIF('Config'!$E$6:$E$13,$D110)&gt;0,"Entrada",IF(COUNTIF('Config'!$G$6:$G$21,$D110)&gt;0,"Saída","Verificar")))</f>
        <v/>
      </c>
    </row>
    <row r="111" spans="7:7" ht="16.5" customHeight="1">
      <c r="G111" s="47">
        <f>IF($D111="","",IF(COUNTIF('Config'!$E$6:$E$13,$D111)&gt;0,"Entrada",IF(COUNTIF('Config'!$G$6:$G$21,$D111)&gt;0,"Saída","Verificar")))</f>
        <v/>
      </c>
    </row>
    <row r="112" spans="7:7" ht="16.5" customHeight="1">
      <c r="G112" s="47">
        <f>IF($D112="","",IF(COUNTIF('Config'!$E$6:$E$13,$D112)&gt;0,"Entrada",IF(COUNTIF('Config'!$G$6:$G$21,$D112)&gt;0,"Saída","Verificar")))</f>
        <v/>
      </c>
    </row>
    <row r="113" spans="7:7" ht="16.5" customHeight="1">
      <c r="G113" s="47">
        <f>IF($D113="","",IF(COUNTIF('Config'!$E$6:$E$13,$D113)&gt;0,"Entrada",IF(COUNTIF('Config'!$G$6:$G$21,$D113)&gt;0,"Saída","Verificar")))</f>
        <v/>
      </c>
    </row>
    <row r="114" spans="7:7" ht="16.5" customHeight="1">
      <c r="G114" s="47">
        <f>IF($D114="","",IF(COUNTIF('Config'!$E$6:$E$13,$D114)&gt;0,"Entrada",IF(COUNTIF('Config'!$G$6:$G$21,$D114)&gt;0,"Saída","Verificar")))</f>
        <v/>
      </c>
    </row>
    <row r="115" spans="7:7" ht="16.5" customHeight="1">
      <c r="G115" s="47">
        <f>IF($D115="","",IF(COUNTIF('Config'!$E$6:$E$13,$D115)&gt;0,"Entrada",IF(COUNTIF('Config'!$G$6:$G$21,$D115)&gt;0,"Saída","Verificar")))</f>
        <v/>
      </c>
    </row>
    <row r="116" spans="7:7" ht="16.5" customHeight="1">
      <c r="G116" s="47">
        <f>IF($D116="","",IF(COUNTIF('Config'!$E$6:$E$13,$D116)&gt;0,"Entrada",IF(COUNTIF('Config'!$G$6:$G$21,$D116)&gt;0,"Saída","Verificar")))</f>
        <v/>
      </c>
    </row>
    <row r="117" spans="7:7" ht="16.5" customHeight="1">
      <c r="G117" s="47">
        <f>IF($D117="","",IF(COUNTIF('Config'!$E$6:$E$13,$D117)&gt;0,"Entrada",IF(COUNTIF('Config'!$G$6:$G$21,$D117)&gt;0,"Saída","Verificar")))</f>
        <v/>
      </c>
    </row>
    <row r="118" spans="7:7" ht="16.5" customHeight="1">
      <c r="G118" s="47">
        <f>IF($D118="","",IF(COUNTIF('Config'!$E$6:$E$13,$D118)&gt;0,"Entrada",IF(COUNTIF('Config'!$G$6:$G$21,$D118)&gt;0,"Saída","Verificar")))</f>
        <v/>
      </c>
    </row>
    <row r="119" spans="7:7" ht="16.5" customHeight="1">
      <c r="G119" s="47">
        <f>IF($D119="","",IF(COUNTIF('Config'!$E$6:$E$13,$D119)&gt;0,"Entrada",IF(COUNTIF('Config'!$G$6:$G$21,$D119)&gt;0,"Saída","Verificar")))</f>
        <v/>
      </c>
    </row>
    <row r="120" spans="7:7" ht="16.5" customHeight="1">
      <c r="G120" s="47">
        <f>IF($D120="","",IF(COUNTIF('Config'!$E$6:$E$13,$D120)&gt;0,"Entrada",IF(COUNTIF('Config'!$G$6:$G$21,$D120)&gt;0,"Saída","Verificar")))</f>
        <v/>
      </c>
    </row>
    <row r="121" spans="7:7" ht="16.5" customHeight="1">
      <c r="G121" s="47">
        <f>IF($D121="","",IF(COUNTIF('Config'!$E$6:$E$13,$D121)&gt;0,"Entrada",IF(COUNTIF('Config'!$G$6:$G$21,$D121)&gt;0,"Saída","Verificar")))</f>
        <v/>
      </c>
    </row>
    <row r="122" spans="7:7" ht="16.5" customHeight="1">
      <c r="G122" s="47">
        <f>IF($D122="","",IF(COUNTIF('Config'!$E$6:$E$13,$D122)&gt;0,"Entrada",IF(COUNTIF('Config'!$G$6:$G$21,$D122)&gt;0,"Saída","Verificar")))</f>
        <v/>
      </c>
    </row>
    <row r="123" spans="7:7" ht="16.5" customHeight="1">
      <c r="G123" s="47">
        <f>IF($D123="","",IF(COUNTIF('Config'!$E$6:$E$13,$D123)&gt;0,"Entrada",IF(COUNTIF('Config'!$G$6:$G$21,$D123)&gt;0,"Saída","Verificar")))</f>
        <v/>
      </c>
    </row>
    <row r="124" spans="7:7" ht="16.5" customHeight="1">
      <c r="G124" s="47">
        <f>IF($D124="","",IF(COUNTIF('Config'!$E$6:$E$13,$D124)&gt;0,"Entrada",IF(COUNTIF('Config'!$G$6:$G$21,$D124)&gt;0,"Saída","Verificar")))</f>
        <v/>
      </c>
    </row>
    <row r="125" spans="7:7" ht="16.5" customHeight="1">
      <c r="G125" s="47">
        <f>IF($D125="","",IF(COUNTIF('Config'!$E$6:$E$13,$D125)&gt;0,"Entrada",IF(COUNTIF('Config'!$G$6:$G$21,$D125)&gt;0,"Saída","Verificar")))</f>
        <v/>
      </c>
    </row>
    <row r="126" spans="7:7" ht="16.5" customHeight="1">
      <c r="G126" s="47">
        <f>IF($D126="","",IF(COUNTIF('Config'!$E$6:$E$13,$D126)&gt;0,"Entrada",IF(COUNTIF('Config'!$G$6:$G$21,$D126)&gt;0,"Saída","Verificar")))</f>
        <v/>
      </c>
    </row>
    <row r="127" spans="7:7" ht="16.5" customHeight="1">
      <c r="G127" s="47">
        <f>IF($D127="","",IF(COUNTIF('Config'!$E$6:$E$13,$D127)&gt;0,"Entrada",IF(COUNTIF('Config'!$G$6:$G$21,$D127)&gt;0,"Saída","Verificar")))</f>
        <v/>
      </c>
    </row>
    <row r="128" spans="7:7" ht="16.5" customHeight="1">
      <c r="G128" s="47">
        <f>IF($D128="","",IF(COUNTIF('Config'!$E$6:$E$13,$D128)&gt;0,"Entrada",IF(COUNTIF('Config'!$G$6:$G$21,$D128)&gt;0,"Saída","Verificar")))</f>
        <v/>
      </c>
    </row>
    <row r="129" spans="7:7" ht="16.5" customHeight="1">
      <c r="G129" s="47">
        <f>IF($D129="","",IF(COUNTIF('Config'!$E$6:$E$13,$D129)&gt;0,"Entrada",IF(COUNTIF('Config'!$G$6:$G$21,$D129)&gt;0,"Saída","Verificar")))</f>
        <v/>
      </c>
    </row>
    <row r="130" spans="7:7" ht="16.5" customHeight="1">
      <c r="G130" s="47">
        <f>IF($D130="","",IF(COUNTIF('Config'!$E$6:$E$13,$D130)&gt;0,"Entrada",IF(COUNTIF('Config'!$G$6:$G$21,$D130)&gt;0,"Saída","Verificar")))</f>
        <v/>
      </c>
    </row>
    <row r="131" spans="7:7" ht="16.5" customHeight="1">
      <c r="G131" s="47">
        <f>IF($D131="","",IF(COUNTIF('Config'!$E$6:$E$13,$D131)&gt;0,"Entrada",IF(COUNTIF('Config'!$G$6:$G$21,$D131)&gt;0,"Saída","Verificar")))</f>
        <v/>
      </c>
    </row>
    <row r="132" spans="7:7" ht="16.5" customHeight="1">
      <c r="G132" s="47">
        <f>IF($D132="","",IF(COUNTIF('Config'!$E$6:$E$13,$D132)&gt;0,"Entrada",IF(COUNTIF('Config'!$G$6:$G$21,$D132)&gt;0,"Saída","Verificar")))</f>
        <v/>
      </c>
    </row>
    <row r="133" spans="7:7" ht="16.5" customHeight="1">
      <c r="G133" s="47">
        <f>IF($D133="","",IF(COUNTIF('Config'!$E$6:$E$13,$D133)&gt;0,"Entrada",IF(COUNTIF('Config'!$G$6:$G$21,$D133)&gt;0,"Saída","Verificar")))</f>
        <v/>
      </c>
    </row>
    <row r="134" spans="7:7" ht="16.5" customHeight="1">
      <c r="G134" s="47">
        <f>IF($D134="","",IF(COUNTIF('Config'!$E$6:$E$13,$D134)&gt;0,"Entrada",IF(COUNTIF('Config'!$G$6:$G$21,$D134)&gt;0,"Saída","Verificar")))</f>
        <v/>
      </c>
    </row>
    <row r="135" spans="7:7" ht="16.5" customHeight="1">
      <c r="G135" s="47">
        <f>IF($D135="","",IF(COUNTIF('Config'!$E$6:$E$13,$D135)&gt;0,"Entrada",IF(COUNTIF('Config'!$G$6:$G$21,$D135)&gt;0,"Saída","Verificar")))</f>
        <v/>
      </c>
    </row>
    <row r="136" spans="7:7" ht="16.5" customHeight="1">
      <c r="G136" s="47">
        <f>IF($D136="","",IF(COUNTIF('Config'!$E$6:$E$13,$D136)&gt;0,"Entrada",IF(COUNTIF('Config'!$G$6:$G$21,$D136)&gt;0,"Saída","Verificar")))</f>
        <v/>
      </c>
    </row>
    <row r="137" spans="7:7" ht="16.5" customHeight="1">
      <c r="G137" s="47">
        <f>IF($D137="","",IF(COUNTIF('Config'!$E$6:$E$13,$D137)&gt;0,"Entrada",IF(COUNTIF('Config'!$G$6:$G$21,$D137)&gt;0,"Saída","Verificar")))</f>
        <v/>
      </c>
    </row>
    <row r="138" spans="7:7" ht="16.5" customHeight="1">
      <c r="G138" s="47">
        <f>IF($D138="","",IF(COUNTIF('Config'!$E$6:$E$13,$D138)&gt;0,"Entrada",IF(COUNTIF('Config'!$G$6:$G$21,$D138)&gt;0,"Saída","Verificar")))</f>
        <v/>
      </c>
    </row>
    <row r="139" spans="7:7" ht="16.5" customHeight="1">
      <c r="G139" s="47">
        <f>IF($D139="","",IF(COUNTIF('Config'!$E$6:$E$13,$D139)&gt;0,"Entrada",IF(COUNTIF('Config'!$G$6:$G$21,$D139)&gt;0,"Saída","Verificar")))</f>
        <v/>
      </c>
    </row>
    <row r="140" spans="7:7" ht="16.5" customHeight="1">
      <c r="G140" s="47">
        <f>IF($D140="","",IF(COUNTIF('Config'!$E$6:$E$13,$D140)&gt;0,"Entrada",IF(COUNTIF('Config'!$G$6:$G$21,$D140)&gt;0,"Saída","Verificar")))</f>
        <v/>
      </c>
    </row>
    <row r="141" spans="7:7" ht="16.5" customHeight="1">
      <c r="G141" s="47">
        <f>IF($D141="","",IF(COUNTIF('Config'!$E$6:$E$13,$D141)&gt;0,"Entrada",IF(COUNTIF('Config'!$G$6:$G$21,$D141)&gt;0,"Saída","Verificar")))</f>
        <v/>
      </c>
    </row>
    <row r="142" spans="7:7" ht="16.5" customHeight="1">
      <c r="G142" s="47">
        <f>IF($D142="","",IF(COUNTIF('Config'!$E$6:$E$13,$D142)&gt;0,"Entrada",IF(COUNTIF('Config'!$G$6:$G$21,$D142)&gt;0,"Saída","Verificar")))</f>
        <v/>
      </c>
    </row>
    <row r="143" spans="7:7" ht="16.5" customHeight="1">
      <c r="G143" s="47">
        <f>IF($D143="","",IF(COUNTIF('Config'!$E$6:$E$13,$D143)&gt;0,"Entrada",IF(COUNTIF('Config'!$G$6:$G$21,$D143)&gt;0,"Saída","Verificar")))</f>
        <v/>
      </c>
    </row>
    <row r="144" spans="7:7" ht="16.5" customHeight="1">
      <c r="G144" s="47">
        <f>IF($D144="","",IF(COUNTIF('Config'!$E$6:$E$13,$D144)&gt;0,"Entrada",IF(COUNTIF('Config'!$G$6:$G$21,$D144)&gt;0,"Saída","Verificar")))</f>
        <v/>
      </c>
    </row>
    <row r="145" spans="7:7" ht="16.5" customHeight="1">
      <c r="G145" s="47">
        <f>IF($D145="","",IF(COUNTIF('Config'!$E$6:$E$13,$D145)&gt;0,"Entrada",IF(COUNTIF('Config'!$G$6:$G$21,$D145)&gt;0,"Saída","Verificar")))</f>
        <v/>
      </c>
    </row>
    <row r="146" spans="7:7" ht="16.5" customHeight="1">
      <c r="G146" s="47">
        <f>IF($D146="","",IF(COUNTIF('Config'!$E$6:$E$13,$D146)&gt;0,"Entrada",IF(COUNTIF('Config'!$G$6:$G$21,$D146)&gt;0,"Saída","Verificar")))</f>
        <v/>
      </c>
    </row>
    <row r="147" spans="7:7" ht="16.5" customHeight="1">
      <c r="G147" s="47">
        <f>IF($D147="","",IF(COUNTIF('Config'!$E$6:$E$13,$D147)&gt;0,"Entrada",IF(COUNTIF('Config'!$G$6:$G$21,$D147)&gt;0,"Saída","Verificar")))</f>
        <v/>
      </c>
    </row>
    <row r="148" spans="7:7" ht="16.5" customHeight="1">
      <c r="G148" s="47">
        <f>IF($D148="","",IF(COUNTIF('Config'!$E$6:$E$13,$D148)&gt;0,"Entrada",IF(COUNTIF('Config'!$G$6:$G$21,$D148)&gt;0,"Saída","Verificar")))</f>
        <v/>
      </c>
    </row>
    <row r="149" spans="7:7" ht="16.5" customHeight="1">
      <c r="G149" s="47">
        <f>IF($D149="","",IF(COUNTIF('Config'!$E$6:$E$13,$D149)&gt;0,"Entrada",IF(COUNTIF('Config'!$G$6:$G$21,$D149)&gt;0,"Saída","Verificar")))</f>
        <v/>
      </c>
    </row>
    <row r="150" spans="7:7" ht="16.5" customHeight="1">
      <c r="G150" s="47">
        <f>IF($D150="","",IF(COUNTIF('Config'!$E$6:$E$13,$D150)&gt;0,"Entrada",IF(COUNTIF('Config'!$G$6:$G$21,$D150)&gt;0,"Saída","Verificar")))</f>
        <v/>
      </c>
    </row>
    <row r="151" spans="7:7" ht="16.5" customHeight="1">
      <c r="G151" s="47">
        <f>IF($D151="","",IF(COUNTIF('Config'!$E$6:$E$13,$D151)&gt;0,"Entrada",IF(COUNTIF('Config'!$G$6:$G$21,$D151)&gt;0,"Saída","Verificar")))</f>
        <v/>
      </c>
    </row>
    <row r="152" spans="7:7" ht="16.5" customHeight="1">
      <c r="G152" s="47">
        <f>IF($D152="","",IF(COUNTIF('Config'!$E$6:$E$13,$D152)&gt;0,"Entrada",IF(COUNTIF('Config'!$G$6:$G$21,$D152)&gt;0,"Saída","Verificar")))</f>
        <v/>
      </c>
    </row>
    <row r="153" spans="7:7" ht="16.5" customHeight="1">
      <c r="G153" s="47">
        <f>IF($D153="","",IF(COUNTIF('Config'!$E$6:$E$13,$D153)&gt;0,"Entrada",IF(COUNTIF('Config'!$G$6:$G$21,$D153)&gt;0,"Saída","Verificar")))</f>
        <v/>
      </c>
    </row>
    <row r="154" spans="7:7" ht="16.5" customHeight="1">
      <c r="G154" s="47">
        <f>IF($D154="","",IF(COUNTIF('Config'!$E$6:$E$13,$D154)&gt;0,"Entrada",IF(COUNTIF('Config'!$G$6:$G$21,$D154)&gt;0,"Saída","Verificar")))</f>
        <v/>
      </c>
    </row>
    <row r="155" spans="7:7" ht="16.5" customHeight="1">
      <c r="G155" s="47">
        <f>IF($D155="","",IF(COUNTIF('Config'!$E$6:$E$13,$D155)&gt;0,"Entrada",IF(COUNTIF('Config'!$G$6:$G$21,$D155)&gt;0,"Saída","Verificar")))</f>
        <v/>
      </c>
    </row>
    <row r="156" spans="7:7" ht="16.5" customHeight="1">
      <c r="G156" s="47">
        <f>IF($D156="","",IF(COUNTIF('Config'!$E$6:$E$13,$D156)&gt;0,"Entrada",IF(COUNTIF('Config'!$G$6:$G$21,$D156)&gt;0,"Saída","Verificar")))</f>
        <v/>
      </c>
    </row>
    <row r="157" spans="7:7" ht="16.5" customHeight="1">
      <c r="G157" s="47">
        <f>IF($D157="","",IF(COUNTIF('Config'!$E$6:$E$13,$D157)&gt;0,"Entrada",IF(COUNTIF('Config'!$G$6:$G$21,$D157)&gt;0,"Saída","Verificar")))</f>
        <v/>
      </c>
    </row>
    <row r="158" spans="7:7" ht="16.5" customHeight="1">
      <c r="G158" s="47">
        <f>IF($D158="","",IF(COUNTIF('Config'!$E$6:$E$13,$D158)&gt;0,"Entrada",IF(COUNTIF('Config'!$G$6:$G$21,$D158)&gt;0,"Saída","Verificar")))</f>
        <v/>
      </c>
    </row>
    <row r="159" spans="7:7" ht="16.5" customHeight="1">
      <c r="G159" s="47">
        <f>IF($D159="","",IF(COUNTIF('Config'!$E$6:$E$13,$D159)&gt;0,"Entrada",IF(COUNTIF('Config'!$G$6:$G$21,$D159)&gt;0,"Saída","Verificar")))</f>
        <v/>
      </c>
    </row>
    <row r="160" spans="7:7" ht="16.5" customHeight="1">
      <c r="G160" s="47">
        <f>IF($D160="","",IF(COUNTIF('Config'!$E$6:$E$13,$D160)&gt;0,"Entrada",IF(COUNTIF('Config'!$G$6:$G$21,$D160)&gt;0,"Saída","Verificar")))</f>
        <v/>
      </c>
    </row>
    <row r="161" spans="7:7" ht="16.5" customHeight="1">
      <c r="G161" s="47">
        <f>IF($D161="","",IF(COUNTIF('Config'!$E$6:$E$13,$D161)&gt;0,"Entrada",IF(COUNTIF('Config'!$G$6:$G$21,$D161)&gt;0,"Saída","Verificar")))</f>
        <v/>
      </c>
    </row>
    <row r="162" spans="7:7" ht="16.5" customHeight="1">
      <c r="G162" s="47">
        <f>IF($D162="","",IF(COUNTIF('Config'!$E$6:$E$13,$D162)&gt;0,"Entrada",IF(COUNTIF('Config'!$G$6:$G$21,$D162)&gt;0,"Saída","Verificar")))</f>
        <v/>
      </c>
    </row>
    <row r="163" spans="7:7" ht="16.5" customHeight="1">
      <c r="G163" s="47">
        <f>IF($D163="","",IF(COUNTIF('Config'!$E$6:$E$13,$D163)&gt;0,"Entrada",IF(COUNTIF('Config'!$G$6:$G$21,$D163)&gt;0,"Saída","Verificar")))</f>
        <v/>
      </c>
    </row>
    <row r="164" spans="7:7" ht="16.5" customHeight="1">
      <c r="G164" s="47">
        <f>IF($D164="","",IF(COUNTIF('Config'!$E$6:$E$13,$D164)&gt;0,"Entrada",IF(COUNTIF('Config'!$G$6:$G$21,$D164)&gt;0,"Saída","Verificar")))</f>
        <v/>
      </c>
    </row>
    <row r="165" spans="7:7" ht="16.5" customHeight="1">
      <c r="G165" s="47">
        <f>IF($D165="","",IF(COUNTIF('Config'!$E$6:$E$13,$D165)&gt;0,"Entrada",IF(COUNTIF('Config'!$G$6:$G$21,$D165)&gt;0,"Saída","Verificar")))</f>
        <v/>
      </c>
    </row>
    <row r="166" spans="7:7" ht="16.5" customHeight="1">
      <c r="G166" s="47">
        <f>IF($D166="","",IF(COUNTIF('Config'!$E$6:$E$13,$D166)&gt;0,"Entrada",IF(COUNTIF('Config'!$G$6:$G$21,$D166)&gt;0,"Saída","Verificar")))</f>
        <v/>
      </c>
    </row>
    <row r="167" spans="7:7" ht="16.5" customHeight="1">
      <c r="G167" s="47">
        <f>IF($D167="","",IF(COUNTIF('Config'!$E$6:$E$13,$D167)&gt;0,"Entrada",IF(COUNTIF('Config'!$G$6:$G$21,$D167)&gt;0,"Saída","Verificar")))</f>
        <v/>
      </c>
    </row>
    <row r="168" spans="7:7" ht="16.5" customHeight="1">
      <c r="G168" s="47">
        <f>IF($D168="","",IF(COUNTIF('Config'!$E$6:$E$13,$D168)&gt;0,"Entrada",IF(COUNTIF('Config'!$G$6:$G$21,$D168)&gt;0,"Saída","Verificar")))</f>
        <v/>
      </c>
    </row>
    <row r="169" spans="7:7" ht="16.5" customHeight="1">
      <c r="G169" s="47">
        <f>IF($D169="","",IF(COUNTIF('Config'!$E$6:$E$13,$D169)&gt;0,"Entrada",IF(COUNTIF('Config'!$G$6:$G$21,$D169)&gt;0,"Saída","Verificar")))</f>
        <v/>
      </c>
    </row>
    <row r="170" spans="7:7" ht="16.5" customHeight="1">
      <c r="G170" s="47">
        <f>IF($D170="","",IF(COUNTIF('Config'!$E$6:$E$13,$D170)&gt;0,"Entrada",IF(COUNTIF('Config'!$G$6:$G$21,$D170)&gt;0,"Saída","Verificar")))</f>
        <v/>
      </c>
    </row>
    <row r="171" spans="7:7" ht="16.5" customHeight="1">
      <c r="G171" s="47">
        <f>IF($D171="","",IF(COUNTIF('Config'!$E$6:$E$13,$D171)&gt;0,"Entrada",IF(COUNTIF('Config'!$G$6:$G$21,$D171)&gt;0,"Saída","Verificar")))</f>
        <v/>
      </c>
    </row>
    <row r="172" spans="7:7" ht="16.5" customHeight="1">
      <c r="G172" s="47">
        <f>IF($D172="","",IF(COUNTIF('Config'!$E$6:$E$13,$D172)&gt;0,"Entrada",IF(COUNTIF('Config'!$G$6:$G$21,$D172)&gt;0,"Saída","Verificar")))</f>
        <v/>
      </c>
    </row>
    <row r="173" spans="7:7" ht="16.5" customHeight="1">
      <c r="G173" s="47">
        <f>IF($D173="","",IF(COUNTIF('Config'!$E$6:$E$13,$D173)&gt;0,"Entrada",IF(COUNTIF('Config'!$G$6:$G$21,$D173)&gt;0,"Saída","Verificar")))</f>
        <v/>
      </c>
    </row>
    <row r="174" spans="7:7" ht="16.5" customHeight="1">
      <c r="G174" s="47">
        <f>IF($D174="","",IF(COUNTIF('Config'!$E$6:$E$13,$D174)&gt;0,"Entrada",IF(COUNTIF('Config'!$G$6:$G$21,$D174)&gt;0,"Saída","Verificar")))</f>
        <v/>
      </c>
    </row>
    <row r="175" spans="7:7" ht="16.5" customHeight="1">
      <c r="G175" s="47">
        <f>IF($D175="","",IF(COUNTIF('Config'!$E$6:$E$13,$D175)&gt;0,"Entrada",IF(COUNTIF('Config'!$G$6:$G$21,$D175)&gt;0,"Saída","Verificar")))</f>
        <v/>
      </c>
    </row>
    <row r="176" spans="7:7" ht="16.5" customHeight="1">
      <c r="G176" s="47">
        <f>IF($D176="","",IF(COUNTIF('Config'!$E$6:$E$13,$D176)&gt;0,"Entrada",IF(COUNTIF('Config'!$G$6:$G$21,$D176)&gt;0,"Saída","Verificar")))</f>
        <v/>
      </c>
    </row>
    <row r="177" spans="7:7" ht="16.5" customHeight="1">
      <c r="G177" s="47">
        <f>IF($D177="","",IF(COUNTIF('Config'!$E$6:$E$13,$D177)&gt;0,"Entrada",IF(COUNTIF('Config'!$G$6:$G$21,$D177)&gt;0,"Saída","Verificar")))</f>
        <v/>
      </c>
    </row>
    <row r="178" spans="7:7" ht="16.5" customHeight="1">
      <c r="G178" s="47">
        <f>IF($D178="","",IF(COUNTIF('Config'!$E$6:$E$13,$D178)&gt;0,"Entrada",IF(COUNTIF('Config'!$G$6:$G$21,$D178)&gt;0,"Saída","Verificar")))</f>
        <v/>
      </c>
    </row>
    <row r="179" spans="7:7" ht="16.5" customHeight="1">
      <c r="G179" s="47">
        <f>IF($D179="","",IF(COUNTIF('Config'!$E$6:$E$13,$D179)&gt;0,"Entrada",IF(COUNTIF('Config'!$G$6:$G$21,$D179)&gt;0,"Saída","Verificar")))</f>
        <v/>
      </c>
    </row>
    <row r="180" spans="7:7" ht="16.5" customHeight="1">
      <c r="G180" s="47">
        <f>IF($D180="","",IF(COUNTIF('Config'!$E$6:$E$13,$D180)&gt;0,"Entrada",IF(COUNTIF('Config'!$G$6:$G$21,$D180)&gt;0,"Saída","Verificar")))</f>
        <v/>
      </c>
    </row>
    <row r="181" spans="7:7" ht="16.5" customHeight="1">
      <c r="G181" s="47">
        <f>IF($D181="","",IF(COUNTIF('Config'!$E$6:$E$13,$D181)&gt;0,"Entrada",IF(COUNTIF('Config'!$G$6:$G$21,$D181)&gt;0,"Saída","Verificar")))</f>
        <v/>
      </c>
    </row>
    <row r="182" spans="7:7" ht="16.5" customHeight="1">
      <c r="G182" s="47">
        <f>IF($D182="","",IF(COUNTIF('Config'!$E$6:$E$13,$D182)&gt;0,"Entrada",IF(COUNTIF('Config'!$G$6:$G$21,$D182)&gt;0,"Saída","Verificar")))</f>
        <v/>
      </c>
    </row>
    <row r="183" spans="7:7" ht="16.5" customHeight="1">
      <c r="G183" s="47">
        <f>IF($D183="","",IF(COUNTIF('Config'!$E$6:$E$13,$D183)&gt;0,"Entrada",IF(COUNTIF('Config'!$G$6:$G$21,$D183)&gt;0,"Saída","Verificar")))</f>
        <v/>
      </c>
    </row>
    <row r="184" spans="7:7" ht="16.5" customHeight="1">
      <c r="G184" s="47">
        <f>IF($D184="","",IF(COUNTIF('Config'!$E$6:$E$13,$D184)&gt;0,"Entrada",IF(COUNTIF('Config'!$G$6:$G$21,$D184)&gt;0,"Saída","Verificar")))</f>
        <v/>
      </c>
    </row>
    <row r="185" spans="7:7" ht="16.5" customHeight="1">
      <c r="G185" s="47">
        <f>IF($D185="","",IF(COUNTIF('Config'!$E$6:$E$13,$D185)&gt;0,"Entrada",IF(COUNTIF('Config'!$G$6:$G$21,$D185)&gt;0,"Saída","Verificar")))</f>
        <v/>
      </c>
    </row>
    <row r="186" spans="7:7" ht="16.5" customHeight="1">
      <c r="G186" s="47">
        <f>IF($D186="","",IF(COUNTIF('Config'!$E$6:$E$13,$D186)&gt;0,"Entrada",IF(COUNTIF('Config'!$G$6:$G$21,$D186)&gt;0,"Saída","Verificar")))</f>
        <v/>
      </c>
    </row>
    <row r="187" spans="7:7" ht="16.5" customHeight="1">
      <c r="G187" s="47">
        <f>IF($D187="","",IF(COUNTIF('Config'!$E$6:$E$13,$D187)&gt;0,"Entrada",IF(COUNTIF('Config'!$G$6:$G$21,$D187)&gt;0,"Saída","Verificar")))</f>
        <v/>
      </c>
    </row>
    <row r="188" spans="7:7" ht="16.5" customHeight="1">
      <c r="G188" s="47">
        <f>IF($D188="","",IF(COUNTIF('Config'!$E$6:$E$13,$D188)&gt;0,"Entrada",IF(COUNTIF('Config'!$G$6:$G$21,$D188)&gt;0,"Saída","Verificar")))</f>
        <v/>
      </c>
    </row>
    <row r="189" spans="7:7" ht="16.5" customHeight="1">
      <c r="G189" s="47">
        <f>IF($D189="","",IF(COUNTIF('Config'!$E$6:$E$13,$D189)&gt;0,"Entrada",IF(COUNTIF('Config'!$G$6:$G$21,$D189)&gt;0,"Saída","Verificar")))</f>
        <v/>
      </c>
    </row>
    <row r="190" spans="7:7" ht="16.5" customHeight="1">
      <c r="G190" s="47">
        <f>IF($D190="","",IF(COUNTIF('Config'!$E$6:$E$13,$D190)&gt;0,"Entrada",IF(COUNTIF('Config'!$G$6:$G$21,$D190)&gt;0,"Saída","Verificar")))</f>
        <v/>
      </c>
    </row>
    <row r="191" spans="7:7" ht="16.5" customHeight="1">
      <c r="G191" s="47">
        <f>IF($D191="","",IF(COUNTIF('Config'!$E$6:$E$13,$D191)&gt;0,"Entrada",IF(COUNTIF('Config'!$G$6:$G$21,$D191)&gt;0,"Saída","Verificar")))</f>
        <v/>
      </c>
    </row>
    <row r="192" spans="7:7" ht="16.5" customHeight="1">
      <c r="G192" s="47">
        <f>IF($D192="","",IF(COUNTIF('Config'!$E$6:$E$13,$D192)&gt;0,"Entrada",IF(COUNTIF('Config'!$G$6:$G$21,$D192)&gt;0,"Saída","Verificar")))</f>
        <v/>
      </c>
    </row>
    <row r="193" spans="7:7" ht="16.5" customHeight="1">
      <c r="G193" s="47">
        <f>IF($D193="","",IF(COUNTIF('Config'!$E$6:$E$13,$D193)&gt;0,"Entrada",IF(COUNTIF('Config'!$G$6:$G$21,$D193)&gt;0,"Saída","Verificar")))</f>
        <v/>
      </c>
    </row>
    <row r="194" spans="7:7" ht="16.5" customHeight="1">
      <c r="G194" s="47">
        <f>IF($D194="","",IF(COUNTIF('Config'!$E$6:$E$13,$D194)&gt;0,"Entrada",IF(COUNTIF('Config'!$G$6:$G$21,$D194)&gt;0,"Saída","Verificar")))</f>
        <v/>
      </c>
    </row>
    <row r="195" spans="7:7" ht="16.5" customHeight="1">
      <c r="G195" s="47">
        <f>IF($D195="","",IF(COUNTIF('Config'!$E$6:$E$13,$D195)&gt;0,"Entrada",IF(COUNTIF('Config'!$G$6:$G$21,$D195)&gt;0,"Saída","Verificar")))</f>
        <v/>
      </c>
    </row>
    <row r="196" spans="7:7" ht="16.5" customHeight="1">
      <c r="G196" s="47">
        <f>IF($D196="","",IF(COUNTIF('Config'!$E$6:$E$13,$D196)&gt;0,"Entrada",IF(COUNTIF('Config'!$G$6:$G$21,$D196)&gt;0,"Saída","Verificar")))</f>
        <v/>
      </c>
    </row>
    <row r="197" spans="7:7" ht="16.5" customHeight="1">
      <c r="G197" s="47">
        <f>IF($D197="","",IF(COUNTIF('Config'!$E$6:$E$13,$D197)&gt;0,"Entrada",IF(COUNTIF('Config'!$G$6:$G$21,$D197)&gt;0,"Saída","Verificar")))</f>
        <v/>
      </c>
    </row>
    <row r="198" spans="7:7" ht="16.5" customHeight="1">
      <c r="G198" s="47">
        <f>IF($D198="","",IF(COUNTIF('Config'!$E$6:$E$13,$D198)&gt;0,"Entrada",IF(COUNTIF('Config'!$G$6:$G$21,$D198)&gt;0,"Saída","Verificar")))</f>
        <v/>
      </c>
    </row>
    <row r="199" spans="7:7" ht="16.5" customHeight="1">
      <c r="G199" s="47">
        <f>IF($D199="","",IF(COUNTIF('Config'!$E$6:$E$13,$D199)&gt;0,"Entrada",IF(COUNTIF('Config'!$G$6:$G$21,$D199)&gt;0,"Saída","Verificar")))</f>
        <v/>
      </c>
    </row>
    <row r="200" spans="7:7" ht="16.5" customHeight="1">
      <c r="G200" s="47">
        <f>IF($D200="","",IF(COUNTIF('Config'!$E$6:$E$13,$D200)&gt;0,"Entrada",IF(COUNTIF('Config'!$G$6:$G$21,$D200)&gt;0,"Saída","Verificar")))</f>
        <v/>
      </c>
    </row>
    <row r="201" spans="7:7" ht="16.5" customHeight="1">
      <c r="G201" s="47">
        <f>IF($D201="","",IF(COUNTIF('Config'!$E$6:$E$13,$D201)&gt;0,"Entrada",IF(COUNTIF('Config'!$G$6:$G$21,$D201)&gt;0,"Saída","Verificar")))</f>
        <v/>
      </c>
    </row>
    <row r="202" spans="7:7" ht="16.5" customHeight="1">
      <c r="G202" s="47">
        <f>IF($D202="","",IF(COUNTIF('Config'!$E$6:$E$13,$D202)&gt;0,"Entrada",IF(COUNTIF('Config'!$G$6:$G$21,$D202)&gt;0,"Saída","Verificar")))</f>
        <v/>
      </c>
    </row>
    <row r="203" spans="7:7" ht="16.5" customHeight="1">
      <c r="G203" s="47">
        <f>IF($D203="","",IF(COUNTIF('Config'!$E$6:$E$13,$D203)&gt;0,"Entrada",IF(COUNTIF('Config'!$G$6:$G$21,$D203)&gt;0,"Saída","Verificar")))</f>
        <v/>
      </c>
    </row>
    <row r="204" spans="7:7" ht="16.5" customHeight="1">
      <c r="G204" s="47">
        <f>IF($D204="","",IF(COUNTIF('Config'!$E$6:$E$13,$D204)&gt;0,"Entrada",IF(COUNTIF('Config'!$G$6:$G$21,$D204)&gt;0,"Saída","Verificar")))</f>
        <v/>
      </c>
    </row>
    <row r="205" spans="7:7" ht="16.5" customHeight="1">
      <c r="G205" s="47">
        <f>IF($D205="","",IF(COUNTIF('Config'!$E$6:$E$13,$D205)&gt;0,"Entrada",IF(COUNTIF('Config'!$G$6:$G$21,$D205)&gt;0,"Saída","Verificar")))</f>
        <v/>
      </c>
    </row>
    <row r="206" spans="7:7" ht="16.5" customHeight="1">
      <c r="G206" s="47">
        <f>IF($D206="","",IF(COUNTIF('Config'!$E$6:$E$13,$D206)&gt;0,"Entrada",IF(COUNTIF('Config'!$G$6:$G$21,$D206)&gt;0,"Saída","Verificar")))</f>
        <v/>
      </c>
    </row>
    <row r="207" spans="7:7" ht="16.5" customHeight="1">
      <c r="G207" s="47">
        <f>IF($D207="","",IF(COUNTIF('Config'!$E$6:$E$13,$D207)&gt;0,"Entrada",IF(COUNTIF('Config'!$G$6:$G$21,$D207)&gt;0,"Saída","Verificar")))</f>
        <v/>
      </c>
    </row>
    <row r="208" spans="7:7" ht="16.5" customHeight="1">
      <c r="G208" s="47">
        <f>IF($D208="","",IF(COUNTIF('Config'!$E$6:$E$13,$D208)&gt;0,"Entrada",IF(COUNTIF('Config'!$G$6:$G$21,$D208)&gt;0,"Saída","Verificar")))</f>
        <v/>
      </c>
    </row>
    <row r="209" spans="7:7" ht="16.5" customHeight="1">
      <c r="G209" s="47">
        <f>IF($D209="","",IF(COUNTIF('Config'!$E$6:$E$13,$D209)&gt;0,"Entrada",IF(COUNTIF('Config'!$G$6:$G$21,$D209)&gt;0,"Saída","Verificar")))</f>
        <v/>
      </c>
    </row>
    <row r="210" spans="7:7" ht="16.5" customHeight="1">
      <c r="G210" s="47">
        <f>IF($D210="","",IF(COUNTIF('Config'!$E$6:$E$13,$D210)&gt;0,"Entrada",IF(COUNTIF('Config'!$G$6:$G$21,$D210)&gt;0,"Saída","Verificar")))</f>
        <v/>
      </c>
    </row>
    <row r="211" spans="7:7" ht="16.5" customHeight="1">
      <c r="G211" s="47">
        <f>IF($D211="","",IF(COUNTIF('Config'!$E$6:$E$13,$D211)&gt;0,"Entrada",IF(COUNTIF('Config'!$G$6:$G$21,$D211)&gt;0,"Saída","Verificar")))</f>
        <v/>
      </c>
    </row>
    <row r="212" spans="7:7" ht="16.5" customHeight="1">
      <c r="G212" s="47">
        <f>IF($D212="","",IF(COUNTIF('Config'!$E$6:$E$13,$D212)&gt;0,"Entrada",IF(COUNTIF('Config'!$G$6:$G$21,$D212)&gt;0,"Saída","Verificar")))</f>
        <v/>
      </c>
    </row>
    <row r="213" spans="7:7" ht="16.5" customHeight="1">
      <c r="G213" s="47">
        <f>IF($D213="","",IF(COUNTIF('Config'!$E$6:$E$13,$D213)&gt;0,"Entrada",IF(COUNTIF('Config'!$G$6:$G$21,$D213)&gt;0,"Saída","Verificar")))</f>
        <v/>
      </c>
    </row>
    <row r="214" spans="7:7" ht="16.5" customHeight="1">
      <c r="G214" s="47">
        <f>IF($D214="","",IF(COUNTIF('Config'!$E$6:$E$13,$D214)&gt;0,"Entrada",IF(COUNTIF('Config'!$G$6:$G$21,$D214)&gt;0,"Saída","Verificar")))</f>
        <v/>
      </c>
    </row>
    <row r="215" spans="7:7" ht="16.5" customHeight="1">
      <c r="G215" s="47">
        <f>IF($D215="","",IF(COUNTIF('Config'!$E$6:$E$13,$D215)&gt;0,"Entrada",IF(COUNTIF('Config'!$G$6:$G$21,$D215)&gt;0,"Saída","Verificar")))</f>
        <v/>
      </c>
    </row>
    <row r="216" spans="7:7" ht="16.5" customHeight="1">
      <c r="G216" s="47">
        <f>IF($D216="","",IF(COUNTIF('Config'!$E$6:$E$13,$D216)&gt;0,"Entrada",IF(COUNTIF('Config'!$G$6:$G$21,$D216)&gt;0,"Saída","Verificar")))</f>
        <v/>
      </c>
    </row>
    <row r="217" spans="7:7" ht="16.5" customHeight="1">
      <c r="G217" s="47">
        <f>IF($D217="","",IF(COUNTIF('Config'!$E$6:$E$13,$D217)&gt;0,"Entrada",IF(COUNTIF('Config'!$G$6:$G$21,$D217)&gt;0,"Saída","Verificar")))</f>
        <v/>
      </c>
    </row>
    <row r="218" spans="7:7" ht="16.5" customHeight="1">
      <c r="G218" s="47">
        <f>IF($D218="","",IF(COUNTIF('Config'!$E$6:$E$13,$D218)&gt;0,"Entrada",IF(COUNTIF('Config'!$G$6:$G$21,$D218)&gt;0,"Saída","Verificar")))</f>
        <v/>
      </c>
    </row>
    <row r="219" spans="7:7" ht="16.5" customHeight="1">
      <c r="G219" s="47">
        <f>IF($D219="","",IF(COUNTIF('Config'!$E$6:$E$13,$D219)&gt;0,"Entrada",IF(COUNTIF('Config'!$G$6:$G$21,$D219)&gt;0,"Saída","Verificar")))</f>
        <v/>
      </c>
    </row>
    <row r="220" spans="7:7" ht="16.5" customHeight="1">
      <c r="G220" s="47">
        <f>IF($D220="","",IF(COUNTIF('Config'!$E$6:$E$13,$D220)&gt;0,"Entrada",IF(COUNTIF('Config'!$G$6:$G$21,$D220)&gt;0,"Saída","Verificar")))</f>
        <v/>
      </c>
    </row>
    <row r="221" spans="7:7" ht="16.5" customHeight="1">
      <c r="G221" s="47">
        <f>IF($D221="","",IF(COUNTIF('Config'!$E$6:$E$13,$D221)&gt;0,"Entrada",IF(COUNTIF('Config'!$G$6:$G$21,$D221)&gt;0,"Saída","Verificar")))</f>
        <v/>
      </c>
    </row>
    <row r="222" spans="7:7" ht="16.5" customHeight="1">
      <c r="G222" s="47">
        <f>IF($D222="","",IF(COUNTIF('Config'!$E$6:$E$13,$D222)&gt;0,"Entrada",IF(COUNTIF('Config'!$G$6:$G$21,$D222)&gt;0,"Saída","Verificar")))</f>
        <v/>
      </c>
    </row>
    <row r="223" spans="7:7" ht="16.5" customHeight="1">
      <c r="G223" s="47">
        <f>IF($D223="","",IF(COUNTIF('Config'!$E$6:$E$13,$D223)&gt;0,"Entrada",IF(COUNTIF('Config'!$G$6:$G$21,$D223)&gt;0,"Saída","Verificar")))</f>
        <v/>
      </c>
    </row>
    <row r="224" spans="7:7" ht="16.5" customHeight="1">
      <c r="G224" s="47">
        <f>IF($D224="","",IF(COUNTIF('Config'!$E$6:$E$13,$D224)&gt;0,"Entrada",IF(COUNTIF('Config'!$G$6:$G$21,$D224)&gt;0,"Saída","Verificar")))</f>
        <v/>
      </c>
    </row>
    <row r="225" spans="7:7" ht="16.5" customHeight="1">
      <c r="G225" s="47">
        <f>IF($D225="","",IF(COUNTIF('Config'!$E$6:$E$13,$D225)&gt;0,"Entrada",IF(COUNTIF('Config'!$G$6:$G$21,$D225)&gt;0,"Saída","Verificar")))</f>
        <v/>
      </c>
    </row>
    <row r="226" spans="7:7" ht="16.5" customHeight="1">
      <c r="G226" s="47">
        <f>IF($D226="","",IF(COUNTIF('Config'!$E$6:$E$13,$D226)&gt;0,"Entrada",IF(COUNTIF('Config'!$G$6:$G$21,$D226)&gt;0,"Saída","Verificar")))</f>
        <v/>
      </c>
    </row>
    <row r="227" spans="7:7" ht="16.5" customHeight="1">
      <c r="G227" s="47">
        <f>IF($D227="","",IF(COUNTIF('Config'!$E$6:$E$13,$D227)&gt;0,"Entrada",IF(COUNTIF('Config'!$G$6:$G$21,$D227)&gt;0,"Saída","Verificar")))</f>
        <v/>
      </c>
    </row>
    <row r="228" spans="7:7" ht="16.5" customHeight="1">
      <c r="G228" s="47">
        <f>IF($D228="","",IF(COUNTIF('Config'!$E$6:$E$13,$D228)&gt;0,"Entrada",IF(COUNTIF('Config'!$G$6:$G$21,$D228)&gt;0,"Saída","Verificar")))</f>
        <v/>
      </c>
    </row>
    <row r="229" spans="7:7" ht="16.5" customHeight="1">
      <c r="G229" s="47">
        <f>IF($D229="","",IF(COUNTIF('Config'!$E$6:$E$13,$D229)&gt;0,"Entrada",IF(COUNTIF('Config'!$G$6:$G$21,$D229)&gt;0,"Saída","Verificar")))</f>
        <v/>
      </c>
    </row>
    <row r="230" spans="7:7" ht="16.5" customHeight="1">
      <c r="G230" s="47">
        <f>IF($D230="","",IF(COUNTIF('Config'!$E$6:$E$13,$D230)&gt;0,"Entrada",IF(COUNTIF('Config'!$G$6:$G$21,$D230)&gt;0,"Saída","Verificar")))</f>
        <v/>
      </c>
    </row>
    <row r="231" spans="7:7" ht="16.5" customHeight="1">
      <c r="G231" s="47">
        <f>IF($D231="","",IF(COUNTIF('Config'!$E$6:$E$13,$D231)&gt;0,"Entrada",IF(COUNTIF('Config'!$G$6:$G$21,$D231)&gt;0,"Saída","Verificar")))</f>
        <v/>
      </c>
    </row>
    <row r="232" spans="7:7" ht="16.5" customHeight="1">
      <c r="G232" s="47">
        <f>IF($D232="","",IF(COUNTIF('Config'!$E$6:$E$13,$D232)&gt;0,"Entrada",IF(COUNTIF('Config'!$G$6:$G$21,$D232)&gt;0,"Saída","Verificar")))</f>
        <v/>
      </c>
    </row>
    <row r="233" spans="7:7" ht="16.5" customHeight="1">
      <c r="G233" s="47">
        <f>IF($D233="","",IF(COUNTIF('Config'!$E$6:$E$13,$D233)&gt;0,"Entrada",IF(COUNTIF('Config'!$G$6:$G$21,$D233)&gt;0,"Saída","Verificar")))</f>
        <v/>
      </c>
    </row>
    <row r="234" spans="7:7" ht="16.5" customHeight="1">
      <c r="G234" s="47">
        <f>IF($D234="","",IF(COUNTIF('Config'!$E$6:$E$13,$D234)&gt;0,"Entrada",IF(COUNTIF('Config'!$G$6:$G$21,$D234)&gt;0,"Saída","Verificar")))</f>
        <v/>
      </c>
    </row>
    <row r="235" spans="7:7" ht="16.5" customHeight="1">
      <c r="G235" s="47">
        <f>IF($D235="","",IF(COUNTIF('Config'!$E$6:$E$13,$D235)&gt;0,"Entrada",IF(COUNTIF('Config'!$G$6:$G$21,$D235)&gt;0,"Saída","Verificar")))</f>
        <v/>
      </c>
    </row>
    <row r="236" spans="7:7" ht="16.5" customHeight="1">
      <c r="G236" s="47">
        <f>IF($D236="","",IF(COUNTIF('Config'!$E$6:$E$13,$D236)&gt;0,"Entrada",IF(COUNTIF('Config'!$G$6:$G$21,$D236)&gt;0,"Saída","Verificar")))</f>
        <v/>
      </c>
    </row>
    <row r="237" spans="7:7" ht="16.5" customHeight="1">
      <c r="G237" s="47">
        <f>IF($D237="","",IF(COUNTIF('Config'!$E$6:$E$13,$D237)&gt;0,"Entrada",IF(COUNTIF('Config'!$G$6:$G$21,$D237)&gt;0,"Saída","Verificar")))</f>
        <v/>
      </c>
    </row>
    <row r="238" spans="7:7" ht="16.5" customHeight="1">
      <c r="G238" s="47">
        <f>IF($D238="","",IF(COUNTIF('Config'!$E$6:$E$13,$D238)&gt;0,"Entrada",IF(COUNTIF('Config'!$G$6:$G$21,$D238)&gt;0,"Saída","Verificar")))</f>
        <v/>
      </c>
    </row>
    <row r="239" spans="7:7" ht="16.5" customHeight="1">
      <c r="G239" s="47">
        <f>IF($D239="","",IF(COUNTIF('Config'!$E$6:$E$13,$D239)&gt;0,"Entrada",IF(COUNTIF('Config'!$G$6:$G$21,$D239)&gt;0,"Saída","Verificar")))</f>
        <v/>
      </c>
    </row>
    <row r="240" spans="7:7" ht="16.5" customHeight="1">
      <c r="G240" s="47">
        <f>IF($D240="","",IF(COUNTIF('Config'!$E$6:$E$13,$D240)&gt;0,"Entrada",IF(COUNTIF('Config'!$G$6:$G$21,$D240)&gt;0,"Saída","Verificar")))</f>
        <v/>
      </c>
    </row>
    <row r="241" spans="7:7" ht="16.5" customHeight="1">
      <c r="G241" s="47">
        <f>IF($D241="","",IF(COUNTIF('Config'!$E$6:$E$13,$D241)&gt;0,"Entrada",IF(COUNTIF('Config'!$G$6:$G$21,$D241)&gt;0,"Saída","Verificar")))</f>
        <v/>
      </c>
    </row>
    <row r="242" spans="7:7" ht="16.5" customHeight="1">
      <c r="G242" s="47">
        <f>IF($D242="","",IF(COUNTIF('Config'!$E$6:$E$13,$D242)&gt;0,"Entrada",IF(COUNTIF('Config'!$G$6:$G$21,$D242)&gt;0,"Saída","Verificar")))</f>
        <v/>
      </c>
    </row>
    <row r="243" spans="7:7" ht="16.5" customHeight="1">
      <c r="G243" s="47">
        <f>IF($D243="","",IF(COUNTIF('Config'!$E$6:$E$13,$D243)&gt;0,"Entrada",IF(COUNTIF('Config'!$G$6:$G$21,$D243)&gt;0,"Saída","Verificar")))</f>
        <v/>
      </c>
    </row>
    <row r="244" spans="7:7" ht="16.5" customHeight="1">
      <c r="G244" s="47">
        <f>IF($D244="","",IF(COUNTIF('Config'!$E$6:$E$13,$D244)&gt;0,"Entrada",IF(COUNTIF('Config'!$G$6:$G$21,$D244)&gt;0,"Saída","Verificar")))</f>
        <v/>
      </c>
    </row>
    <row r="245" spans="7:7" ht="16.5" customHeight="1">
      <c r="G245" s="47">
        <f>IF($D245="","",IF(COUNTIF('Config'!$E$6:$E$13,$D245)&gt;0,"Entrada",IF(COUNTIF('Config'!$G$6:$G$21,$D245)&gt;0,"Saída","Verificar")))</f>
        <v/>
      </c>
    </row>
    <row r="246" spans="7:7" ht="16.5" customHeight="1">
      <c r="G246" s="47">
        <f>IF($D246="","",IF(COUNTIF('Config'!$E$6:$E$13,$D246)&gt;0,"Entrada",IF(COUNTIF('Config'!$G$6:$G$21,$D246)&gt;0,"Saída","Verificar")))</f>
        <v/>
      </c>
    </row>
    <row r="247" spans="7:7" ht="16.5" customHeight="1">
      <c r="G247" s="47">
        <f>IF($D247="","",IF(COUNTIF('Config'!$E$6:$E$13,$D247)&gt;0,"Entrada",IF(COUNTIF('Config'!$G$6:$G$21,$D247)&gt;0,"Saída","Verificar")))</f>
        <v/>
      </c>
    </row>
    <row r="248" spans="7:7" ht="16.5" customHeight="1">
      <c r="G248" s="47">
        <f>IF($D248="","",IF(COUNTIF('Config'!$E$6:$E$13,$D248)&gt;0,"Entrada",IF(COUNTIF('Config'!$G$6:$G$21,$D248)&gt;0,"Saída","Verificar")))</f>
        <v/>
      </c>
    </row>
    <row r="249" spans="7:7" ht="16.5" customHeight="1">
      <c r="G249" s="47">
        <f>IF($D249="","",IF(COUNTIF('Config'!$E$6:$E$13,$D249)&gt;0,"Entrada",IF(COUNTIF('Config'!$G$6:$G$21,$D249)&gt;0,"Saída","Verificar")))</f>
        <v/>
      </c>
    </row>
    <row r="250" spans="7:7" ht="16.5" customHeight="1">
      <c r="G250" s="47">
        <f>IF($D250="","",IF(COUNTIF('Config'!$E$6:$E$13,$D250)&gt;0,"Entrada",IF(COUNTIF('Config'!$G$6:$G$21,$D250)&gt;0,"Saída","Verificar")))</f>
        <v/>
      </c>
    </row>
    <row r="251" spans="7:7" ht="16.5" customHeight="1">
      <c r="G251" s="47">
        <f>IF($D251="","",IF(COUNTIF('Config'!$E$6:$E$13,$D251)&gt;0,"Entrada",IF(COUNTIF('Config'!$G$6:$G$21,$D251)&gt;0,"Saída","Verificar")))</f>
        <v/>
      </c>
    </row>
    <row r="252" spans="7:7" ht="16.5" customHeight="1">
      <c r="G252" s="47">
        <f>IF($D252="","",IF(COUNTIF('Config'!$E$6:$E$13,$D252)&gt;0,"Entrada",IF(COUNTIF('Config'!$G$6:$G$21,$D252)&gt;0,"Saída","Verificar")))</f>
        <v/>
      </c>
    </row>
    <row r="253" spans="7:7" ht="16.5" customHeight="1">
      <c r="G253" s="47">
        <f>IF($D253="","",IF(COUNTIF('Config'!$E$6:$E$13,$D253)&gt;0,"Entrada",IF(COUNTIF('Config'!$G$6:$G$21,$D253)&gt;0,"Saída","Verificar")))</f>
        <v/>
      </c>
    </row>
    <row r="254" spans="7:7" ht="16.5" customHeight="1">
      <c r="G254" s="47">
        <f>IF($D254="","",IF(COUNTIF('Config'!$E$6:$E$13,$D254)&gt;0,"Entrada",IF(COUNTIF('Config'!$G$6:$G$21,$D254)&gt;0,"Saída","Verificar")))</f>
        <v/>
      </c>
    </row>
    <row r="255" spans="7:7" ht="16.5" customHeight="1">
      <c r="G255" s="47">
        <f>IF($D255="","",IF(COUNTIF('Config'!$E$6:$E$13,$D255)&gt;0,"Entrada",IF(COUNTIF('Config'!$G$6:$G$21,$D255)&gt;0,"Saída","Verificar")))</f>
        <v/>
      </c>
    </row>
    <row r="256" spans="7:7" ht="16.5" customHeight="1">
      <c r="G256" s="47">
        <f>IF($D256="","",IF(COUNTIF('Config'!$E$6:$E$13,$D256)&gt;0,"Entrada",IF(COUNTIF('Config'!$G$6:$G$21,$D256)&gt;0,"Saída","Verificar")))</f>
        <v/>
      </c>
    </row>
    <row r="257" spans="7:7" ht="16.5" customHeight="1">
      <c r="G257" s="47">
        <f>IF($D257="","",IF(COUNTIF('Config'!$E$6:$E$13,$D257)&gt;0,"Entrada",IF(COUNTIF('Config'!$G$6:$G$21,$D257)&gt;0,"Saída","Verificar")))</f>
        <v/>
      </c>
    </row>
    <row r="258" spans="7:7" ht="16.5" customHeight="1">
      <c r="G258" s="47">
        <f>IF($D258="","",IF(COUNTIF('Config'!$E$6:$E$13,$D258)&gt;0,"Entrada",IF(COUNTIF('Config'!$G$6:$G$21,$D258)&gt;0,"Saída","Verificar")))</f>
        <v/>
      </c>
    </row>
    <row r="259" spans="7:7" ht="16.5" customHeight="1">
      <c r="G259" s="47">
        <f>IF($D259="","",IF(COUNTIF('Config'!$E$6:$E$13,$D259)&gt;0,"Entrada",IF(COUNTIF('Config'!$G$6:$G$21,$D259)&gt;0,"Saída","Verificar")))</f>
        <v/>
      </c>
    </row>
    <row r="260" spans="7:7" ht="16.5" customHeight="1">
      <c r="G260" s="47">
        <f>IF($D260="","",IF(COUNTIF('Config'!$E$6:$E$13,$D260)&gt;0,"Entrada",IF(COUNTIF('Config'!$G$6:$G$21,$D260)&gt;0,"Saída","Verificar")))</f>
        <v/>
      </c>
    </row>
    <row r="261" spans="7:7" ht="16.5" customHeight="1">
      <c r="G261" s="47">
        <f>IF($D261="","",IF(COUNTIF('Config'!$E$6:$E$13,$D261)&gt;0,"Entrada",IF(COUNTIF('Config'!$G$6:$G$21,$D261)&gt;0,"Saída","Verificar")))</f>
        <v/>
      </c>
    </row>
    <row r="262" spans="7:7" ht="16.5" customHeight="1">
      <c r="G262" s="47">
        <f>IF($D262="","",IF(COUNTIF('Config'!$E$6:$E$13,$D262)&gt;0,"Entrada",IF(COUNTIF('Config'!$G$6:$G$21,$D262)&gt;0,"Saída","Verificar")))</f>
        <v/>
      </c>
    </row>
    <row r="263" spans="7:7" ht="16.5" customHeight="1">
      <c r="G263" s="47">
        <f>IF($D263="","",IF(COUNTIF('Config'!$E$6:$E$13,$D263)&gt;0,"Entrada",IF(COUNTIF('Config'!$G$6:$G$21,$D263)&gt;0,"Saída","Verificar")))</f>
        <v/>
      </c>
    </row>
    <row r="264" spans="7:7" ht="16.5" customHeight="1">
      <c r="G264" s="47">
        <f>IF($D264="","",IF(COUNTIF('Config'!$E$6:$E$13,$D264)&gt;0,"Entrada",IF(COUNTIF('Config'!$G$6:$G$21,$D264)&gt;0,"Saída","Verificar")))</f>
        <v/>
      </c>
    </row>
    <row r="265" spans="7:7" ht="16.5" customHeight="1">
      <c r="G265" s="47">
        <f>IF($D265="","",IF(COUNTIF('Config'!$E$6:$E$13,$D265)&gt;0,"Entrada",IF(COUNTIF('Config'!$G$6:$G$21,$D265)&gt;0,"Saída","Verificar")))</f>
        <v/>
      </c>
    </row>
    <row r="266" spans="7:7" ht="16.5" customHeight="1">
      <c r="G266" s="47">
        <f>IF($D266="","",IF(COUNTIF('Config'!$E$6:$E$13,$D266)&gt;0,"Entrada",IF(COUNTIF('Config'!$G$6:$G$21,$D266)&gt;0,"Saída","Verificar")))</f>
        <v/>
      </c>
    </row>
    <row r="267" spans="7:7" ht="16.5" customHeight="1">
      <c r="G267" s="47">
        <f>IF($D267="","",IF(COUNTIF('Config'!$E$6:$E$13,$D267)&gt;0,"Entrada",IF(COUNTIF('Config'!$G$6:$G$21,$D267)&gt;0,"Saída","Verificar")))</f>
        <v/>
      </c>
    </row>
    <row r="268" spans="7:7" ht="16.5" customHeight="1">
      <c r="G268" s="47">
        <f>IF($D268="","",IF(COUNTIF('Config'!$E$6:$E$13,$D268)&gt;0,"Entrada",IF(COUNTIF('Config'!$G$6:$G$21,$D268)&gt;0,"Saída","Verificar")))</f>
        <v/>
      </c>
    </row>
    <row r="269" spans="7:7" ht="16.5" customHeight="1">
      <c r="G269" s="47">
        <f>IF($D269="","",IF(COUNTIF('Config'!$E$6:$E$13,$D269)&gt;0,"Entrada",IF(COUNTIF('Config'!$G$6:$G$21,$D269)&gt;0,"Saída","Verificar")))</f>
        <v/>
      </c>
    </row>
    <row r="270" spans="7:7" ht="16.5" customHeight="1">
      <c r="G270" s="47">
        <f>IF($D270="","",IF(COUNTIF('Config'!$E$6:$E$13,$D270)&gt;0,"Entrada",IF(COUNTIF('Config'!$G$6:$G$21,$D270)&gt;0,"Saída","Verificar")))</f>
        <v/>
      </c>
    </row>
    <row r="271" spans="7:7" ht="16.5" customHeight="1">
      <c r="G271" s="47">
        <f>IF($D271="","",IF(COUNTIF('Config'!$E$6:$E$13,$D271)&gt;0,"Entrada",IF(COUNTIF('Config'!$G$6:$G$21,$D271)&gt;0,"Saída","Verificar")))</f>
        <v/>
      </c>
    </row>
    <row r="272" spans="7:7" ht="16.5" customHeight="1">
      <c r="G272" s="47">
        <f>IF($D272="","",IF(COUNTIF('Config'!$E$6:$E$13,$D272)&gt;0,"Entrada",IF(COUNTIF('Config'!$G$6:$G$21,$D272)&gt;0,"Saída","Verificar")))</f>
        <v/>
      </c>
    </row>
    <row r="273" spans="7:7" ht="16.5" customHeight="1">
      <c r="G273" s="47">
        <f>IF($D273="","",IF(COUNTIF('Config'!$E$6:$E$13,$D273)&gt;0,"Entrada",IF(COUNTIF('Config'!$G$6:$G$21,$D273)&gt;0,"Saída","Verificar")))</f>
        <v/>
      </c>
    </row>
    <row r="274" spans="7:7" ht="16.5" customHeight="1">
      <c r="G274" s="47">
        <f>IF($D274="","",IF(COUNTIF('Config'!$E$6:$E$13,$D274)&gt;0,"Entrada",IF(COUNTIF('Config'!$G$6:$G$21,$D274)&gt;0,"Saída","Verificar")))</f>
        <v/>
      </c>
    </row>
    <row r="275" spans="7:7" ht="16.5" customHeight="1">
      <c r="G275" s="47">
        <f>IF($D275="","",IF(COUNTIF('Config'!$E$6:$E$13,$D275)&gt;0,"Entrada",IF(COUNTIF('Config'!$G$6:$G$21,$D275)&gt;0,"Saída","Verificar")))</f>
        <v/>
      </c>
    </row>
    <row r="276" spans="7:7" ht="16.5" customHeight="1">
      <c r="G276" s="47">
        <f>IF($D276="","",IF(COUNTIF('Config'!$E$6:$E$13,$D276)&gt;0,"Entrada",IF(COUNTIF('Config'!$G$6:$G$21,$D276)&gt;0,"Saída","Verificar")))</f>
        <v/>
      </c>
    </row>
    <row r="277" spans="7:7" ht="16.5" customHeight="1">
      <c r="G277" s="47">
        <f>IF($D277="","",IF(COUNTIF('Config'!$E$6:$E$13,$D277)&gt;0,"Entrada",IF(COUNTIF('Config'!$G$6:$G$21,$D277)&gt;0,"Saída","Verificar")))</f>
        <v/>
      </c>
    </row>
    <row r="278" spans="7:7" ht="16.5" customHeight="1">
      <c r="G278" s="47">
        <f>IF($D278="","",IF(COUNTIF('Config'!$E$6:$E$13,$D278)&gt;0,"Entrada",IF(COUNTIF('Config'!$G$6:$G$21,$D278)&gt;0,"Saída","Verificar")))</f>
        <v/>
      </c>
    </row>
    <row r="279" spans="7:7" ht="16.5" customHeight="1">
      <c r="G279" s="47">
        <f>IF($D279="","",IF(COUNTIF('Config'!$E$6:$E$13,$D279)&gt;0,"Entrada",IF(COUNTIF('Config'!$G$6:$G$21,$D279)&gt;0,"Saída","Verificar")))</f>
        <v/>
      </c>
    </row>
    <row r="280" spans="7:7" ht="16.5" customHeight="1">
      <c r="G280" s="47">
        <f>IF($D280="","",IF(COUNTIF('Config'!$E$6:$E$13,$D280)&gt;0,"Entrada",IF(COUNTIF('Config'!$G$6:$G$21,$D280)&gt;0,"Saída","Verificar")))</f>
        <v/>
      </c>
    </row>
    <row r="281" spans="7:7" ht="16.5" customHeight="1">
      <c r="G281" s="47">
        <f>IF($D281="","",IF(COUNTIF('Config'!$E$6:$E$13,$D281)&gt;0,"Entrada",IF(COUNTIF('Config'!$G$6:$G$21,$D281)&gt;0,"Saída","Verificar")))</f>
        <v/>
      </c>
    </row>
    <row r="282" spans="7:7" ht="16.5" customHeight="1">
      <c r="G282" s="47">
        <f>IF($D282="","",IF(COUNTIF('Config'!$E$6:$E$13,$D282)&gt;0,"Entrada",IF(COUNTIF('Config'!$G$6:$G$21,$D282)&gt;0,"Saída","Verificar")))</f>
        <v/>
      </c>
    </row>
    <row r="283" spans="7:7" ht="16.5" customHeight="1">
      <c r="G283" s="47">
        <f>IF($D283="","",IF(COUNTIF('Config'!$E$6:$E$13,$D283)&gt;0,"Entrada",IF(COUNTIF('Config'!$G$6:$G$21,$D283)&gt;0,"Saída","Verificar")))</f>
        <v/>
      </c>
    </row>
    <row r="284" spans="7:7" ht="16.5" customHeight="1">
      <c r="G284" s="47">
        <f>IF($D284="","",IF(COUNTIF('Config'!$E$6:$E$13,$D284)&gt;0,"Entrada",IF(COUNTIF('Config'!$G$6:$G$21,$D284)&gt;0,"Saída","Verificar")))</f>
        <v/>
      </c>
    </row>
    <row r="285" spans="7:7" ht="16.5" customHeight="1">
      <c r="G285" s="47">
        <f>IF($D285="","",IF(COUNTIF('Config'!$E$6:$E$13,$D285)&gt;0,"Entrada",IF(COUNTIF('Config'!$G$6:$G$21,$D285)&gt;0,"Saída","Verificar")))</f>
        <v/>
      </c>
    </row>
    <row r="286" spans="7:7" ht="16.5" customHeight="1">
      <c r="G286" s="47">
        <f>IF($D286="","",IF(COUNTIF('Config'!$E$6:$E$13,$D286)&gt;0,"Entrada",IF(COUNTIF('Config'!$G$6:$G$21,$D286)&gt;0,"Saída","Verificar")))</f>
        <v/>
      </c>
    </row>
    <row r="287" spans="7:7" ht="16.5" customHeight="1">
      <c r="G287" s="47">
        <f>IF($D287="","",IF(COUNTIF('Config'!$E$6:$E$13,$D287)&gt;0,"Entrada",IF(COUNTIF('Config'!$G$6:$G$21,$D287)&gt;0,"Saída","Verificar")))</f>
        <v/>
      </c>
    </row>
    <row r="288" spans="7:7" ht="16.5" customHeight="1">
      <c r="G288" s="47">
        <f>IF($D288="","",IF(COUNTIF('Config'!$E$6:$E$13,$D288)&gt;0,"Entrada",IF(COUNTIF('Config'!$G$6:$G$21,$D288)&gt;0,"Saída","Verificar")))</f>
        <v/>
      </c>
    </row>
    <row r="289" spans="7:7" ht="16.5" customHeight="1">
      <c r="G289" s="47">
        <f>IF($D289="","",IF(COUNTIF('Config'!$E$6:$E$13,$D289)&gt;0,"Entrada",IF(COUNTIF('Config'!$G$6:$G$21,$D289)&gt;0,"Saída","Verificar")))</f>
        <v/>
      </c>
    </row>
    <row r="290" spans="7:7" ht="16.5" customHeight="1">
      <c r="G290" s="47">
        <f>IF($D290="","",IF(COUNTIF('Config'!$E$6:$E$13,$D290)&gt;0,"Entrada",IF(COUNTIF('Config'!$G$6:$G$21,$D290)&gt;0,"Saída","Verificar")))</f>
        <v/>
      </c>
    </row>
    <row r="291" spans="7:7" ht="16.5" customHeight="1">
      <c r="G291" s="47">
        <f>IF($D291="","",IF(COUNTIF('Config'!$E$6:$E$13,$D291)&gt;0,"Entrada",IF(COUNTIF('Config'!$G$6:$G$21,$D291)&gt;0,"Saída","Verificar")))</f>
        <v/>
      </c>
    </row>
    <row r="292" spans="7:7" ht="16.5" customHeight="1">
      <c r="G292" s="47">
        <f>IF($D292="","",IF(COUNTIF('Config'!$E$6:$E$13,$D292)&gt;0,"Entrada",IF(COUNTIF('Config'!$G$6:$G$21,$D292)&gt;0,"Saída","Verificar")))</f>
        <v/>
      </c>
    </row>
    <row r="293" spans="7:7" ht="16.5" customHeight="1">
      <c r="G293" s="47">
        <f>IF($D293="","",IF(COUNTIF('Config'!$E$6:$E$13,$D293)&gt;0,"Entrada",IF(COUNTIF('Config'!$G$6:$G$21,$D293)&gt;0,"Saída","Verificar")))</f>
        <v/>
      </c>
    </row>
    <row r="294" spans="7:7" ht="16.5" customHeight="1">
      <c r="G294" s="47">
        <f>IF($D294="","",IF(COUNTIF('Config'!$E$6:$E$13,$D294)&gt;0,"Entrada",IF(COUNTIF('Config'!$G$6:$G$21,$D294)&gt;0,"Saída","Verificar")))</f>
        <v/>
      </c>
    </row>
    <row r="295" spans="7:7" ht="16.5" customHeight="1">
      <c r="G295" s="47">
        <f>IF($D295="","",IF(COUNTIF('Config'!$E$6:$E$13,$D295)&gt;0,"Entrada",IF(COUNTIF('Config'!$G$6:$G$21,$D295)&gt;0,"Saída","Verificar")))</f>
        <v/>
      </c>
    </row>
    <row r="296" spans="7:7" ht="16.5" customHeight="1">
      <c r="G296" s="47">
        <f>IF($D296="","",IF(COUNTIF('Config'!$E$6:$E$13,$D296)&gt;0,"Entrada",IF(COUNTIF('Config'!$G$6:$G$21,$D296)&gt;0,"Saída","Verificar")))</f>
        <v/>
      </c>
    </row>
    <row r="297" spans="7:7" ht="16.5" customHeight="1">
      <c r="G297" s="47">
        <f>IF($D297="","",IF(COUNTIF('Config'!$E$6:$E$13,$D297)&gt;0,"Entrada",IF(COUNTIF('Config'!$G$6:$G$21,$D297)&gt;0,"Saída","Verificar")))</f>
        <v/>
      </c>
    </row>
    <row r="298" spans="7:7" ht="16.5" customHeight="1">
      <c r="G298" s="47">
        <f>IF($D298="","",IF(COUNTIF('Config'!$E$6:$E$13,$D298)&gt;0,"Entrada",IF(COUNTIF('Config'!$G$6:$G$21,$D298)&gt;0,"Saída","Verificar")))</f>
        <v/>
      </c>
    </row>
    <row r="299" spans="7:7" ht="16.5" customHeight="1">
      <c r="G299" s="47">
        <f>IF($D299="","",IF(COUNTIF('Config'!$E$6:$E$13,$D299)&gt;0,"Entrada",IF(COUNTIF('Config'!$G$6:$G$21,$D299)&gt;0,"Saída","Verificar")))</f>
        <v/>
      </c>
    </row>
    <row r="300" spans="7:7" ht="16.5" customHeight="1">
      <c r="G300" s="47">
        <f>IF($D300="","",IF(COUNTIF('Config'!$E$6:$E$13,$D300)&gt;0,"Entrada",IF(COUNTIF('Config'!$G$6:$G$21,$D300)&gt;0,"Saída","Verificar")))</f>
        <v/>
      </c>
    </row>
    <row r="301" spans="7:7" ht="16.5" customHeight="1">
      <c r="G301" s="47">
        <f>IF($D301="","",IF(COUNTIF('Config'!$E$6:$E$13,$D301)&gt;0,"Entrada",IF(COUNTIF('Config'!$G$6:$G$21,$D301)&gt;0,"Saída","Verificar")))</f>
        <v/>
      </c>
    </row>
    <row r="302" spans="7:7" ht="16.5" customHeight="1">
      <c r="G302" s="47">
        <f>IF($D302="","",IF(COUNTIF('Config'!$E$6:$E$13,$D302)&gt;0,"Entrada",IF(COUNTIF('Config'!$G$6:$G$21,$D302)&gt;0,"Saída","Verificar")))</f>
        <v/>
      </c>
    </row>
    <row r="303" spans="7:7" ht="16.5" customHeight="1">
      <c r="G303" s="47">
        <f>IF($D303="","",IF(COUNTIF('Config'!$E$6:$E$13,$D303)&gt;0,"Entrada",IF(COUNTIF('Config'!$G$6:$G$21,$D303)&gt;0,"Saída","Verificar")))</f>
        <v/>
      </c>
    </row>
    <row r="304" spans="7:7" ht="16.5" customHeight="1">
      <c r="G304" s="47">
        <f>IF($D304="","",IF(COUNTIF('Config'!$E$6:$E$13,$D304)&gt;0,"Entrada",IF(COUNTIF('Config'!$G$6:$G$21,$D304)&gt;0,"Saída","Verificar")))</f>
        <v/>
      </c>
    </row>
    <row r="305" spans="7:7" ht="16.5" customHeight="1">
      <c r="G305" s="47">
        <f>IF($D305="","",IF(COUNTIF('Config'!$E$6:$E$13,$D305)&gt;0,"Entrada",IF(COUNTIF('Config'!$G$6:$G$21,$D305)&gt;0,"Saída","Verificar")))</f>
        <v/>
      </c>
    </row>
    <row r="306" spans="7:7" ht="16.5" customHeight="1">
      <c r="G306" s="47">
        <f>IF($D306="","",IF(COUNTIF('Config'!$E$6:$E$13,$D306)&gt;0,"Entrada",IF(COUNTIF('Config'!$G$6:$G$21,$D306)&gt;0,"Saída","Verificar")))</f>
        <v/>
      </c>
    </row>
    <row r="307" spans="7:7" ht="16.5" customHeight="1">
      <c r="G307" s="47">
        <f>IF($D307="","",IF(COUNTIF('Config'!$E$6:$E$13,$D307)&gt;0,"Entrada",IF(COUNTIF('Config'!$G$6:$G$21,$D307)&gt;0,"Saída","Verificar")))</f>
        <v/>
      </c>
    </row>
    <row r="308" spans="7:7" ht="16.5" customHeight="1">
      <c r="G308" s="47">
        <f>IF($D308="","",IF(COUNTIF('Config'!$E$6:$E$13,$D308)&gt;0,"Entrada",IF(COUNTIF('Config'!$G$6:$G$21,$D308)&gt;0,"Saída","Verificar")))</f>
        <v/>
      </c>
    </row>
    <row r="309" spans="7:7" ht="16.5" customHeight="1">
      <c r="G309" s="47">
        <f>IF($D309="","",IF(COUNTIF('Config'!$E$6:$E$13,$D309)&gt;0,"Entrada",IF(COUNTIF('Config'!$G$6:$G$21,$D309)&gt;0,"Saída","Verificar")))</f>
        <v/>
      </c>
    </row>
    <row r="310" spans="7:7" ht="16.5" customHeight="1">
      <c r="G310" s="47">
        <f>IF($D310="","",IF(COUNTIF('Config'!$E$6:$E$13,$D310)&gt;0,"Entrada",IF(COUNTIF('Config'!$G$6:$G$21,$D310)&gt;0,"Saída","Verificar")))</f>
        <v/>
      </c>
    </row>
    <row r="311" spans="7:7" ht="16.5" customHeight="1">
      <c r="G311" s="47">
        <f>IF($D311="","",IF(COUNTIF('Config'!$E$6:$E$13,$D311)&gt;0,"Entrada",IF(COUNTIF('Config'!$G$6:$G$21,$D311)&gt;0,"Saída","Verificar")))</f>
        <v/>
      </c>
    </row>
    <row r="312" spans="7:7" ht="16.5" customHeight="1">
      <c r="G312" s="47">
        <f>IF($D312="","",IF(COUNTIF('Config'!$E$6:$E$13,$D312)&gt;0,"Entrada",IF(COUNTIF('Config'!$G$6:$G$21,$D312)&gt;0,"Saída","Verificar")))</f>
        <v/>
      </c>
    </row>
    <row r="313" spans="7:7" ht="16.5" customHeight="1">
      <c r="G313" s="47">
        <f>IF($D313="","",IF(COUNTIF('Config'!$E$6:$E$13,$D313)&gt;0,"Entrada",IF(COUNTIF('Config'!$G$6:$G$21,$D313)&gt;0,"Saída","Verificar")))</f>
        <v/>
      </c>
    </row>
    <row r="314" spans="7:7" ht="16.5" customHeight="1">
      <c r="G314" s="47">
        <f>IF($D314="","",IF(COUNTIF('Config'!$E$6:$E$13,$D314)&gt;0,"Entrada",IF(COUNTIF('Config'!$G$6:$G$21,$D314)&gt;0,"Saída","Verificar")))</f>
        <v/>
      </c>
    </row>
    <row r="315" spans="7:7" ht="16.5" customHeight="1">
      <c r="G315" s="47">
        <f>IF($D315="","",IF(COUNTIF('Config'!$E$6:$E$13,$D315)&gt;0,"Entrada",IF(COUNTIF('Config'!$G$6:$G$21,$D315)&gt;0,"Saída","Verificar")))</f>
        <v/>
      </c>
    </row>
    <row r="316" spans="7:7" ht="16.5" customHeight="1">
      <c r="G316" s="47">
        <f>IF($D316="","",IF(COUNTIF('Config'!$E$6:$E$13,$D316)&gt;0,"Entrada",IF(COUNTIF('Config'!$G$6:$G$21,$D316)&gt;0,"Saída","Verificar")))</f>
        <v/>
      </c>
    </row>
    <row r="317" spans="7:7" ht="16.5" customHeight="1">
      <c r="G317" s="47">
        <f>IF($D317="","",IF(COUNTIF('Config'!$E$6:$E$13,$D317)&gt;0,"Entrada",IF(COUNTIF('Config'!$G$6:$G$21,$D317)&gt;0,"Saída","Verificar")))</f>
        <v/>
      </c>
    </row>
    <row r="318" spans="7:7" ht="16.5" customHeight="1">
      <c r="G318" s="47">
        <f>IF($D318="","",IF(COUNTIF('Config'!$E$6:$E$13,$D318)&gt;0,"Entrada",IF(COUNTIF('Config'!$G$6:$G$21,$D318)&gt;0,"Saída","Verificar")))</f>
        <v/>
      </c>
    </row>
    <row r="319" spans="7:7" ht="16.5" customHeight="1">
      <c r="G319" s="47">
        <f>IF($D319="","",IF(COUNTIF('Config'!$E$6:$E$13,$D319)&gt;0,"Entrada",IF(COUNTIF('Config'!$G$6:$G$21,$D319)&gt;0,"Saída","Verificar")))</f>
        <v/>
      </c>
    </row>
    <row r="320" spans="7:7" ht="16.5" customHeight="1">
      <c r="G320" s="47">
        <f>IF($D320="","",IF(COUNTIF('Config'!$E$6:$E$13,$D320)&gt;0,"Entrada",IF(COUNTIF('Config'!$G$6:$G$21,$D320)&gt;0,"Saída","Verificar")))</f>
        <v/>
      </c>
    </row>
    <row r="321" spans="7:7" ht="16.5" customHeight="1">
      <c r="G321" s="47">
        <f>IF($D321="","",IF(COUNTIF('Config'!$E$6:$E$13,$D321)&gt;0,"Entrada",IF(COUNTIF('Config'!$G$6:$G$21,$D321)&gt;0,"Saída","Verificar")))</f>
        <v/>
      </c>
    </row>
    <row r="322" spans="7:7" ht="16.5" customHeight="1">
      <c r="G322" s="47">
        <f>IF($D322="","",IF(COUNTIF('Config'!$E$6:$E$13,$D322)&gt;0,"Entrada",IF(COUNTIF('Config'!$G$6:$G$21,$D322)&gt;0,"Saída","Verificar")))</f>
        <v/>
      </c>
    </row>
    <row r="323" spans="7:7" ht="16.5" customHeight="1">
      <c r="G323" s="47">
        <f>IF($D323="","",IF(COUNTIF('Config'!$E$6:$E$13,$D323)&gt;0,"Entrada",IF(COUNTIF('Config'!$G$6:$G$21,$D323)&gt;0,"Saída","Verificar")))</f>
        <v/>
      </c>
    </row>
    <row r="324" spans="7:7" ht="16.5" customHeight="1">
      <c r="G324" s="47">
        <f>IF($D324="","",IF(COUNTIF('Config'!$E$6:$E$13,$D324)&gt;0,"Entrada",IF(COUNTIF('Config'!$G$6:$G$21,$D324)&gt;0,"Saída","Verificar")))</f>
        <v/>
      </c>
    </row>
    <row r="325" spans="7:7" ht="16.5" customHeight="1">
      <c r="G325" s="47">
        <f>IF($D325="","",IF(COUNTIF('Config'!$E$6:$E$13,$D325)&gt;0,"Entrada",IF(COUNTIF('Config'!$G$6:$G$21,$D325)&gt;0,"Saída","Verificar")))</f>
        <v/>
      </c>
    </row>
    <row r="326" spans="7:7" ht="16.5" customHeight="1">
      <c r="G326" s="47">
        <f>IF($D326="","",IF(COUNTIF('Config'!$E$6:$E$13,$D326)&gt;0,"Entrada",IF(COUNTIF('Config'!$G$6:$G$21,$D326)&gt;0,"Saída","Verificar")))</f>
        <v/>
      </c>
    </row>
    <row r="327" spans="7:7" ht="16.5" customHeight="1">
      <c r="G327" s="47">
        <f>IF($D327="","",IF(COUNTIF('Config'!$E$6:$E$13,$D327)&gt;0,"Entrada",IF(COUNTIF('Config'!$G$6:$G$21,$D327)&gt;0,"Saída","Verificar")))</f>
        <v/>
      </c>
    </row>
    <row r="328" spans="7:7" ht="16.5" customHeight="1">
      <c r="G328" s="47">
        <f>IF($D328="","",IF(COUNTIF('Config'!$E$6:$E$13,$D328)&gt;0,"Entrada",IF(COUNTIF('Config'!$G$6:$G$21,$D328)&gt;0,"Saída","Verificar")))</f>
        <v/>
      </c>
    </row>
    <row r="329" spans="7:7" ht="16.5" customHeight="1">
      <c r="G329" s="47">
        <f>IF($D329="","",IF(COUNTIF('Config'!$E$6:$E$13,$D329)&gt;0,"Entrada",IF(COUNTIF('Config'!$G$6:$G$21,$D329)&gt;0,"Saída","Verificar")))</f>
        <v/>
      </c>
    </row>
    <row r="330" spans="7:7" ht="16.5" customHeight="1">
      <c r="G330" s="47">
        <f>IF($D330="","",IF(COUNTIF('Config'!$E$6:$E$13,$D330)&gt;0,"Entrada",IF(COUNTIF('Config'!$G$6:$G$21,$D330)&gt;0,"Saída","Verificar")))</f>
        <v/>
      </c>
    </row>
    <row r="331" spans="7:7" ht="16.5" customHeight="1">
      <c r="G331" s="47">
        <f>IF($D331="","",IF(COUNTIF('Config'!$E$6:$E$13,$D331)&gt;0,"Entrada",IF(COUNTIF('Config'!$G$6:$G$21,$D331)&gt;0,"Saída","Verificar")))</f>
        <v/>
      </c>
    </row>
    <row r="332" spans="7:7" ht="16.5" customHeight="1">
      <c r="G332" s="47">
        <f>IF($D332="","",IF(COUNTIF('Config'!$E$6:$E$13,$D332)&gt;0,"Entrada",IF(COUNTIF('Config'!$G$6:$G$21,$D332)&gt;0,"Saída","Verificar")))</f>
        <v/>
      </c>
    </row>
    <row r="333" spans="7:7" ht="16.5" customHeight="1">
      <c r="G333" s="47">
        <f>IF($D333="","",IF(COUNTIF('Config'!$E$6:$E$13,$D333)&gt;0,"Entrada",IF(COUNTIF('Config'!$G$6:$G$21,$D333)&gt;0,"Saída","Verificar")))</f>
        <v/>
      </c>
    </row>
    <row r="334" spans="7:7" ht="16.5" customHeight="1">
      <c r="G334" s="47">
        <f>IF($D334="","",IF(COUNTIF('Config'!$E$6:$E$13,$D334)&gt;0,"Entrada",IF(COUNTIF('Config'!$G$6:$G$21,$D334)&gt;0,"Saída","Verificar")))</f>
        <v/>
      </c>
    </row>
    <row r="335" spans="7:7" ht="16.5" customHeight="1">
      <c r="G335" s="47">
        <f>IF($D335="","",IF(COUNTIF('Config'!$E$6:$E$13,$D335)&gt;0,"Entrada",IF(COUNTIF('Config'!$G$6:$G$21,$D335)&gt;0,"Saída","Verificar")))</f>
        <v/>
      </c>
    </row>
    <row r="336" spans="7:7" ht="16.5" customHeight="1">
      <c r="G336" s="47">
        <f>IF($D336="","",IF(COUNTIF('Config'!$E$6:$E$13,$D336)&gt;0,"Entrada",IF(COUNTIF('Config'!$G$6:$G$21,$D336)&gt;0,"Saída","Verificar")))</f>
        <v/>
      </c>
    </row>
    <row r="337" spans="7:7" ht="16.5" customHeight="1">
      <c r="G337" s="47">
        <f>IF($D337="","",IF(COUNTIF('Config'!$E$6:$E$13,$D337)&gt;0,"Entrada",IF(COUNTIF('Config'!$G$6:$G$21,$D337)&gt;0,"Saída","Verificar")))</f>
        <v/>
      </c>
    </row>
    <row r="338" spans="7:7" ht="16.5" customHeight="1">
      <c r="G338" s="47">
        <f>IF($D338="","",IF(COUNTIF('Config'!$E$6:$E$13,$D338)&gt;0,"Entrada",IF(COUNTIF('Config'!$G$6:$G$21,$D338)&gt;0,"Saída","Verificar")))</f>
        <v/>
      </c>
    </row>
    <row r="339" spans="7:7" ht="16.5" customHeight="1">
      <c r="G339" s="47">
        <f>IF($D339="","",IF(COUNTIF('Config'!$E$6:$E$13,$D339)&gt;0,"Entrada",IF(COUNTIF('Config'!$G$6:$G$21,$D339)&gt;0,"Saída","Verificar")))</f>
        <v/>
      </c>
    </row>
    <row r="340" spans="7:7" ht="16.5" customHeight="1">
      <c r="G340" s="47">
        <f>IF($D340="","",IF(COUNTIF('Config'!$E$6:$E$13,$D340)&gt;0,"Entrada",IF(COUNTIF('Config'!$G$6:$G$21,$D340)&gt;0,"Saída","Verificar")))</f>
        <v/>
      </c>
    </row>
    <row r="341" spans="7:7" ht="16.5" customHeight="1">
      <c r="G341" s="47">
        <f>IF($D341="","",IF(COUNTIF('Config'!$E$6:$E$13,$D341)&gt;0,"Entrada",IF(COUNTIF('Config'!$G$6:$G$21,$D341)&gt;0,"Saída","Verificar")))</f>
        <v/>
      </c>
    </row>
    <row r="342" spans="7:7" ht="16.5" customHeight="1">
      <c r="G342" s="47">
        <f>IF($D342="","",IF(COUNTIF('Config'!$E$6:$E$13,$D342)&gt;0,"Entrada",IF(COUNTIF('Config'!$G$6:$G$21,$D342)&gt;0,"Saída","Verificar")))</f>
        <v/>
      </c>
    </row>
    <row r="343" spans="7:7" ht="16.5" customHeight="1">
      <c r="G343" s="47">
        <f>IF($D343="","",IF(COUNTIF('Config'!$E$6:$E$13,$D343)&gt;0,"Entrada",IF(COUNTIF('Config'!$G$6:$G$21,$D343)&gt;0,"Saída","Verificar")))</f>
        <v/>
      </c>
    </row>
    <row r="344" spans="7:7" ht="16.5" customHeight="1">
      <c r="G344" s="47">
        <f>IF($D344="","",IF(COUNTIF('Config'!$E$6:$E$13,$D344)&gt;0,"Entrada",IF(COUNTIF('Config'!$G$6:$G$21,$D344)&gt;0,"Saída","Verificar")))</f>
        <v/>
      </c>
    </row>
    <row r="345" spans="7:7" ht="16.5" customHeight="1">
      <c r="G345" s="47">
        <f>IF($D345="","",IF(COUNTIF('Config'!$E$6:$E$13,$D345)&gt;0,"Entrada",IF(COUNTIF('Config'!$G$6:$G$21,$D345)&gt;0,"Saída","Verificar")))</f>
        <v/>
      </c>
    </row>
    <row r="346" spans="7:7" ht="16.5" customHeight="1">
      <c r="G346" s="47">
        <f>IF($D346="","",IF(COUNTIF('Config'!$E$6:$E$13,$D346)&gt;0,"Entrada",IF(COUNTIF('Config'!$G$6:$G$21,$D346)&gt;0,"Saída","Verificar")))</f>
        <v/>
      </c>
    </row>
    <row r="347" spans="7:7" ht="16.5" customHeight="1">
      <c r="G347" s="47">
        <f>IF($D347="","",IF(COUNTIF('Config'!$E$6:$E$13,$D347)&gt;0,"Entrada",IF(COUNTIF('Config'!$G$6:$G$21,$D347)&gt;0,"Saída","Verificar")))</f>
        <v/>
      </c>
    </row>
    <row r="348" spans="7:7" ht="16.5" customHeight="1">
      <c r="G348" s="47">
        <f>IF($D348="","",IF(COUNTIF('Config'!$E$6:$E$13,$D348)&gt;0,"Entrada",IF(COUNTIF('Config'!$G$6:$G$21,$D348)&gt;0,"Saída","Verificar")))</f>
        <v/>
      </c>
    </row>
    <row r="349" spans="7:7" ht="16.5" customHeight="1">
      <c r="G349" s="47">
        <f>IF($D349="","",IF(COUNTIF('Config'!$E$6:$E$13,$D349)&gt;0,"Entrada",IF(COUNTIF('Config'!$G$6:$G$21,$D349)&gt;0,"Saída","Verificar")))</f>
        <v/>
      </c>
    </row>
    <row r="350" spans="7:7" ht="16.5" customHeight="1">
      <c r="G350" s="47">
        <f>IF($D350="","",IF(COUNTIF('Config'!$E$6:$E$13,$D350)&gt;0,"Entrada",IF(COUNTIF('Config'!$G$6:$G$21,$D350)&gt;0,"Saída","Verificar")))</f>
        <v/>
      </c>
    </row>
    <row r="351" spans="7:7" ht="16.5" customHeight="1">
      <c r="G351" s="47">
        <f>IF($D351="","",IF(COUNTIF('Config'!$E$6:$E$13,$D351)&gt;0,"Entrada",IF(COUNTIF('Config'!$G$6:$G$21,$D351)&gt;0,"Saída","Verificar")))</f>
        <v/>
      </c>
    </row>
    <row r="352" spans="7:7" ht="16.5" customHeight="1">
      <c r="G352" s="47">
        <f>IF($D352="","",IF(COUNTIF('Config'!$E$6:$E$13,$D352)&gt;0,"Entrada",IF(COUNTIF('Config'!$G$6:$G$21,$D352)&gt;0,"Saída","Verificar")))</f>
        <v/>
      </c>
    </row>
    <row r="353" spans="7:7" ht="16.5" customHeight="1">
      <c r="G353" s="47">
        <f>IF($D353="","",IF(COUNTIF('Config'!$E$6:$E$13,$D353)&gt;0,"Entrada",IF(COUNTIF('Config'!$G$6:$G$21,$D353)&gt;0,"Saída","Verificar")))</f>
        <v/>
      </c>
    </row>
    <row r="354" spans="7:7" ht="16.5" customHeight="1">
      <c r="G354" s="47">
        <f>IF($D354="","",IF(COUNTIF('Config'!$E$6:$E$13,$D354)&gt;0,"Entrada",IF(COUNTIF('Config'!$G$6:$G$21,$D354)&gt;0,"Saída","Verificar")))</f>
        <v/>
      </c>
    </row>
    <row r="355" spans="7:7" ht="16.5" customHeight="1">
      <c r="G355" s="47">
        <f>IF($D355="","",IF(COUNTIF('Config'!$E$6:$E$13,$D355)&gt;0,"Entrada",IF(COUNTIF('Config'!$G$6:$G$21,$D355)&gt;0,"Saída","Verificar")))</f>
        <v/>
      </c>
    </row>
    <row r="356" spans="7:7" ht="16.5" customHeight="1">
      <c r="G356" s="47">
        <f>IF($D356="","",IF(COUNTIF('Config'!$E$6:$E$13,$D356)&gt;0,"Entrada",IF(COUNTIF('Config'!$G$6:$G$21,$D356)&gt;0,"Saída","Verificar")))</f>
        <v/>
      </c>
    </row>
    <row r="357" spans="7:7" ht="16.5" customHeight="1">
      <c r="G357" s="47">
        <f>IF($D357="","",IF(COUNTIF('Config'!$E$6:$E$13,$D357)&gt;0,"Entrada",IF(COUNTIF('Config'!$G$6:$G$21,$D357)&gt;0,"Saída","Verificar")))</f>
        <v/>
      </c>
    </row>
    <row r="358" spans="7:7" ht="16.5" customHeight="1">
      <c r="G358" s="47">
        <f>IF($D358="","",IF(COUNTIF('Config'!$E$6:$E$13,$D358)&gt;0,"Entrada",IF(COUNTIF('Config'!$G$6:$G$21,$D358)&gt;0,"Saída","Verificar")))</f>
        <v/>
      </c>
    </row>
    <row r="359" spans="7:7" ht="16.5" customHeight="1">
      <c r="G359" s="47">
        <f>IF($D359="","",IF(COUNTIF('Config'!$E$6:$E$13,$D359)&gt;0,"Entrada",IF(COUNTIF('Config'!$G$6:$G$21,$D359)&gt;0,"Saída","Verificar")))</f>
        <v/>
      </c>
    </row>
    <row r="360" spans="7:7" ht="16.5" customHeight="1">
      <c r="G360" s="47">
        <f>IF($D360="","",IF(COUNTIF('Config'!$E$6:$E$13,$D360)&gt;0,"Entrada",IF(COUNTIF('Config'!$G$6:$G$21,$D360)&gt;0,"Saída","Verificar")))</f>
        <v/>
      </c>
    </row>
    <row r="361" spans="7:7" ht="16.5" customHeight="1">
      <c r="G361" s="47">
        <f>IF($D361="","",IF(COUNTIF('Config'!$E$6:$E$13,$D361)&gt;0,"Entrada",IF(COUNTIF('Config'!$G$6:$G$21,$D361)&gt;0,"Saída","Verificar")))</f>
        <v/>
      </c>
    </row>
    <row r="362" spans="7:7" ht="16.5" customHeight="1">
      <c r="G362" s="47">
        <f>IF($D362="","",IF(COUNTIF('Config'!$E$6:$E$13,$D362)&gt;0,"Entrada",IF(COUNTIF('Config'!$G$6:$G$21,$D362)&gt;0,"Saída","Verificar")))</f>
        <v/>
      </c>
    </row>
    <row r="363" spans="7:7" ht="16.5" customHeight="1">
      <c r="G363" s="47">
        <f>IF($D363="","",IF(COUNTIF('Config'!$E$6:$E$13,$D363)&gt;0,"Entrada",IF(COUNTIF('Config'!$G$6:$G$21,$D363)&gt;0,"Saída","Verificar")))</f>
        <v/>
      </c>
    </row>
    <row r="364" spans="7:7" ht="16.5" customHeight="1">
      <c r="G364" s="47">
        <f>IF($D364="","",IF(COUNTIF('Config'!$E$6:$E$13,$D364)&gt;0,"Entrada",IF(COUNTIF('Config'!$G$6:$G$21,$D364)&gt;0,"Saída","Verificar")))</f>
        <v/>
      </c>
    </row>
    <row r="365" spans="7:7" ht="16.5" customHeight="1">
      <c r="G365" s="47">
        <f>IF($D365="","",IF(COUNTIF('Config'!$E$6:$E$13,$D365)&gt;0,"Entrada",IF(COUNTIF('Config'!$G$6:$G$21,$D365)&gt;0,"Saída","Verificar")))</f>
        <v/>
      </c>
    </row>
    <row r="366" spans="7:7" ht="16.5" customHeight="1">
      <c r="G366" s="47">
        <f>IF($D366="","",IF(COUNTIF('Config'!$E$6:$E$13,$D366)&gt;0,"Entrada",IF(COUNTIF('Config'!$G$6:$G$21,$D366)&gt;0,"Saída","Verificar")))</f>
        <v/>
      </c>
    </row>
    <row r="367" spans="7:7" ht="16.5" customHeight="1">
      <c r="G367" s="47">
        <f>IF($D367="","",IF(COUNTIF('Config'!$E$6:$E$13,$D367)&gt;0,"Entrada",IF(COUNTIF('Config'!$G$6:$G$21,$D367)&gt;0,"Saída","Verificar")))</f>
        <v/>
      </c>
    </row>
    <row r="368" spans="7:7" ht="16.5" customHeight="1">
      <c r="G368" s="47">
        <f>IF($D368="","",IF(COUNTIF('Config'!$E$6:$E$13,$D368)&gt;0,"Entrada",IF(COUNTIF('Config'!$G$6:$G$21,$D368)&gt;0,"Saída","Verificar")))</f>
        <v/>
      </c>
    </row>
    <row r="369" spans="7:7" ht="16.5" customHeight="1">
      <c r="G369" s="47">
        <f>IF($D369="","",IF(COUNTIF('Config'!$E$6:$E$13,$D369)&gt;0,"Entrada",IF(COUNTIF('Config'!$G$6:$G$21,$D369)&gt;0,"Saída","Verificar")))</f>
        <v/>
      </c>
    </row>
    <row r="370" spans="7:7" ht="16.5" customHeight="1">
      <c r="G370" s="47">
        <f>IF($D370="","",IF(COUNTIF('Config'!$E$6:$E$13,$D370)&gt;0,"Entrada",IF(COUNTIF('Config'!$G$6:$G$21,$D370)&gt;0,"Saída","Verificar")))</f>
        <v/>
      </c>
    </row>
    <row r="371" spans="7:7" ht="16.5" customHeight="1">
      <c r="G371" s="47">
        <f>IF($D371="","",IF(COUNTIF('Config'!$E$6:$E$13,$D371)&gt;0,"Entrada",IF(COUNTIF('Config'!$G$6:$G$21,$D371)&gt;0,"Saída","Verificar")))</f>
        <v/>
      </c>
    </row>
    <row r="372" spans="7:7" ht="16.5" customHeight="1">
      <c r="G372" s="47">
        <f>IF($D372="","",IF(COUNTIF('Config'!$E$6:$E$13,$D372)&gt;0,"Entrada",IF(COUNTIF('Config'!$G$6:$G$21,$D372)&gt;0,"Saída","Verificar")))</f>
        <v/>
      </c>
    </row>
    <row r="373" spans="7:7" ht="16.5" customHeight="1">
      <c r="G373" s="47">
        <f>IF($D373="","",IF(COUNTIF('Config'!$E$6:$E$13,$D373)&gt;0,"Entrada",IF(COUNTIF('Config'!$G$6:$G$21,$D373)&gt;0,"Saída","Verificar")))</f>
        <v/>
      </c>
    </row>
    <row r="374" spans="7:7" ht="16.5" customHeight="1">
      <c r="G374" s="47">
        <f>IF($D374="","",IF(COUNTIF('Config'!$E$6:$E$13,$D374)&gt;0,"Entrada",IF(COUNTIF('Config'!$G$6:$G$21,$D374)&gt;0,"Saída","Verificar")))</f>
        <v/>
      </c>
    </row>
    <row r="375" spans="7:7" ht="16.5" customHeight="1">
      <c r="G375" s="47">
        <f>IF($D375="","",IF(COUNTIF('Config'!$E$6:$E$13,$D375)&gt;0,"Entrada",IF(COUNTIF('Config'!$G$6:$G$21,$D375)&gt;0,"Saída","Verificar")))</f>
        <v/>
      </c>
    </row>
    <row r="376" spans="7:7" ht="16.5" customHeight="1">
      <c r="G376" s="47">
        <f>IF($D376="","",IF(COUNTIF('Config'!$E$6:$E$13,$D376)&gt;0,"Entrada",IF(COUNTIF('Config'!$G$6:$G$21,$D376)&gt;0,"Saída","Verificar")))</f>
        <v/>
      </c>
    </row>
    <row r="377" spans="7:7" ht="16.5" customHeight="1">
      <c r="G377" s="47">
        <f>IF($D377="","",IF(COUNTIF('Config'!$E$6:$E$13,$D377)&gt;0,"Entrada",IF(COUNTIF('Config'!$G$6:$G$21,$D377)&gt;0,"Saída","Verificar")))</f>
        <v/>
      </c>
    </row>
    <row r="378" spans="7:7" ht="16.5" customHeight="1">
      <c r="G378" s="47">
        <f>IF($D378="","",IF(COUNTIF('Config'!$E$6:$E$13,$D378)&gt;0,"Entrada",IF(COUNTIF('Config'!$G$6:$G$21,$D378)&gt;0,"Saída","Verificar")))</f>
        <v/>
      </c>
    </row>
    <row r="379" spans="7:7" ht="16.5" customHeight="1">
      <c r="G379" s="47">
        <f>IF($D379="","",IF(COUNTIF('Config'!$E$6:$E$13,$D379)&gt;0,"Entrada",IF(COUNTIF('Config'!$G$6:$G$21,$D379)&gt;0,"Saída","Verificar")))</f>
        <v/>
      </c>
    </row>
    <row r="380" spans="7:7" ht="16.5" customHeight="1">
      <c r="G380" s="47">
        <f>IF($D380="","",IF(COUNTIF('Config'!$E$6:$E$13,$D380)&gt;0,"Entrada",IF(COUNTIF('Config'!$G$6:$G$21,$D380)&gt;0,"Saída","Verificar")))</f>
        <v/>
      </c>
    </row>
    <row r="381" spans="7:7" ht="16.5" customHeight="1">
      <c r="G381" s="47">
        <f>IF($D381="","",IF(COUNTIF('Config'!$E$6:$E$13,$D381)&gt;0,"Entrada",IF(COUNTIF('Config'!$G$6:$G$21,$D381)&gt;0,"Saída","Verificar")))</f>
        <v/>
      </c>
    </row>
    <row r="382" spans="7:7" ht="16.5" customHeight="1">
      <c r="G382" s="47">
        <f>IF($D382="","",IF(COUNTIF('Config'!$E$6:$E$13,$D382)&gt;0,"Entrada",IF(COUNTIF('Config'!$G$6:$G$21,$D382)&gt;0,"Saída","Verificar")))</f>
        <v/>
      </c>
    </row>
    <row r="383" spans="7:7" ht="16.5" customHeight="1">
      <c r="G383" s="47">
        <f>IF($D383="","",IF(COUNTIF('Config'!$E$6:$E$13,$D383)&gt;0,"Entrada",IF(COUNTIF('Config'!$G$6:$G$21,$D383)&gt;0,"Saída","Verificar")))</f>
        <v/>
      </c>
    </row>
    <row r="384" spans="7:7" ht="16.5" customHeight="1">
      <c r="G384" s="47">
        <f>IF($D384="","",IF(COUNTIF('Config'!$E$6:$E$13,$D384)&gt;0,"Entrada",IF(COUNTIF('Config'!$G$6:$G$21,$D384)&gt;0,"Saída","Verificar")))</f>
        <v/>
      </c>
    </row>
    <row r="385" spans="7:7" ht="16.5" customHeight="1">
      <c r="G385" s="47">
        <f>IF($D385="","",IF(COUNTIF('Config'!$E$6:$E$13,$D385)&gt;0,"Entrada",IF(COUNTIF('Config'!$G$6:$G$21,$D385)&gt;0,"Saída","Verificar")))</f>
        <v/>
      </c>
    </row>
    <row r="386" spans="7:7" ht="16.5" customHeight="1">
      <c r="G386" s="47">
        <f>IF($D386="","",IF(COUNTIF('Config'!$E$6:$E$13,$D386)&gt;0,"Entrada",IF(COUNTIF('Config'!$G$6:$G$21,$D386)&gt;0,"Saída","Verificar")))</f>
        <v/>
      </c>
    </row>
    <row r="387" spans="7:7" ht="16.5" customHeight="1">
      <c r="G387" s="47">
        <f>IF($D387="","",IF(COUNTIF('Config'!$E$6:$E$13,$D387)&gt;0,"Entrada",IF(COUNTIF('Config'!$G$6:$G$21,$D387)&gt;0,"Saída","Verificar")))</f>
        <v/>
      </c>
    </row>
    <row r="388" spans="7:7" ht="16.5" customHeight="1">
      <c r="G388" s="47">
        <f>IF($D388="","",IF(COUNTIF('Config'!$E$6:$E$13,$D388)&gt;0,"Entrada",IF(COUNTIF('Config'!$G$6:$G$21,$D388)&gt;0,"Saída","Verificar")))</f>
        <v/>
      </c>
    </row>
    <row r="389" spans="7:7" ht="16.5" customHeight="1">
      <c r="G389" s="47">
        <f>IF($D389="","",IF(COUNTIF('Config'!$E$6:$E$13,$D389)&gt;0,"Entrada",IF(COUNTIF('Config'!$G$6:$G$21,$D389)&gt;0,"Saída","Verificar")))</f>
        <v/>
      </c>
    </row>
    <row r="390" spans="7:7" ht="16.5" customHeight="1">
      <c r="G390" s="47">
        <f>IF($D390="","",IF(COUNTIF('Config'!$E$6:$E$13,$D390)&gt;0,"Entrada",IF(COUNTIF('Config'!$G$6:$G$21,$D390)&gt;0,"Saída","Verificar")))</f>
        <v/>
      </c>
    </row>
    <row r="391" spans="7:7" ht="16.5" customHeight="1">
      <c r="G391" s="47">
        <f>IF($D391="","",IF(COUNTIF('Config'!$E$6:$E$13,$D391)&gt;0,"Entrada",IF(COUNTIF('Config'!$G$6:$G$21,$D391)&gt;0,"Saída","Verificar")))</f>
        <v/>
      </c>
    </row>
    <row r="392" spans="7:7" ht="16.5" customHeight="1">
      <c r="G392" s="47">
        <f>IF($D392="","",IF(COUNTIF('Config'!$E$6:$E$13,$D392)&gt;0,"Entrada",IF(COUNTIF('Config'!$G$6:$G$21,$D392)&gt;0,"Saída","Verificar")))</f>
        <v/>
      </c>
    </row>
    <row r="393" spans="7:7" ht="16.5" customHeight="1">
      <c r="G393" s="47">
        <f>IF($D393="","",IF(COUNTIF('Config'!$E$6:$E$13,$D393)&gt;0,"Entrada",IF(COUNTIF('Config'!$G$6:$G$21,$D393)&gt;0,"Saída","Verificar")))</f>
        <v/>
      </c>
    </row>
    <row r="394" spans="7:7" ht="16.5" customHeight="1">
      <c r="G394" s="47">
        <f>IF($D394="","",IF(COUNTIF('Config'!$E$6:$E$13,$D394)&gt;0,"Entrada",IF(COUNTIF('Config'!$G$6:$G$21,$D394)&gt;0,"Saída","Verificar")))</f>
        <v/>
      </c>
    </row>
    <row r="395" spans="7:7" ht="16.5" customHeight="1">
      <c r="G395" s="47">
        <f>IF($D395="","",IF(COUNTIF('Config'!$E$6:$E$13,$D395)&gt;0,"Entrada",IF(COUNTIF('Config'!$G$6:$G$21,$D395)&gt;0,"Saída","Verificar")))</f>
        <v/>
      </c>
    </row>
    <row r="396" spans="7:7" ht="16.5" customHeight="1">
      <c r="G396" s="47">
        <f>IF($D396="","",IF(COUNTIF('Config'!$E$6:$E$13,$D396)&gt;0,"Entrada",IF(COUNTIF('Config'!$G$6:$G$21,$D396)&gt;0,"Saída","Verificar")))</f>
        <v/>
      </c>
    </row>
    <row r="397" spans="7:7" ht="16.5" customHeight="1">
      <c r="G397" s="47">
        <f>IF($D397="","",IF(COUNTIF('Config'!$E$6:$E$13,$D397)&gt;0,"Entrada",IF(COUNTIF('Config'!$G$6:$G$21,$D397)&gt;0,"Saída","Verificar")))</f>
        <v/>
      </c>
    </row>
    <row r="398" spans="7:7" ht="16.5" customHeight="1">
      <c r="G398" s="47">
        <f>IF($D398="","",IF(COUNTIF('Config'!$E$6:$E$13,$D398)&gt;0,"Entrada",IF(COUNTIF('Config'!$G$6:$G$21,$D398)&gt;0,"Saída","Verificar")))</f>
        <v/>
      </c>
    </row>
    <row r="399" spans="7:7" ht="16.5" customHeight="1">
      <c r="G399" s="47">
        <f>IF($D399="","",IF(COUNTIF('Config'!$E$6:$E$13,$D399)&gt;0,"Entrada",IF(COUNTIF('Config'!$G$6:$G$21,$D399)&gt;0,"Saída","Verificar")))</f>
        <v/>
      </c>
    </row>
    <row r="400" spans="7:7" ht="16.5" customHeight="1">
      <c r="G400" s="47">
        <f>IF($D400="","",IF(COUNTIF('Config'!$E$6:$E$13,$D400)&gt;0,"Entrada",IF(COUNTIF('Config'!$G$6:$G$21,$D400)&gt;0,"Saída","Verificar")))</f>
        <v/>
      </c>
    </row>
    <row r="401" spans="7:7" ht="16.5" customHeight="1">
      <c r="G401" s="47">
        <f>IF($D401="","",IF(COUNTIF('Config'!$E$6:$E$13,$D401)&gt;0,"Entrada",IF(COUNTIF('Config'!$G$6:$G$21,$D401)&gt;0,"Saída","Verificar")))</f>
        <v/>
      </c>
    </row>
    <row r="402" spans="7:7" ht="16.5" customHeight="1">
      <c r="G402" s="47">
        <f>IF($D402="","",IF(COUNTIF('Config'!$E$6:$E$13,$D402)&gt;0,"Entrada",IF(COUNTIF('Config'!$G$6:$G$21,$D402)&gt;0,"Saída","Verificar")))</f>
        <v/>
      </c>
    </row>
    <row r="403" spans="7:7" ht="16.5" customHeight="1">
      <c r="G403" s="47">
        <f>IF($D403="","",IF(COUNTIF('Config'!$E$6:$E$13,$D403)&gt;0,"Entrada",IF(COUNTIF('Config'!$G$6:$G$21,$D403)&gt;0,"Saída","Verificar")))</f>
        <v/>
      </c>
    </row>
    <row r="404" spans="7:7" ht="16.5" customHeight="1">
      <c r="G404" s="47">
        <f>IF($D404="","",IF(COUNTIF('Config'!$E$6:$E$13,$D404)&gt;0,"Entrada",IF(COUNTIF('Config'!$G$6:$G$21,$D404)&gt;0,"Saída","Verificar")))</f>
        <v/>
      </c>
    </row>
    <row r="405" spans="7:7" ht="16.5" customHeight="1">
      <c r="G405" s="47">
        <f>IF($D405="","",IF(COUNTIF('Config'!$E$6:$E$13,$D405)&gt;0,"Entrada",IF(COUNTIF('Config'!$G$6:$G$21,$D405)&gt;0,"Saída","Verificar")))</f>
        <v/>
      </c>
    </row>
    <row r="406" spans="7:7" ht="16.5" customHeight="1">
      <c r="G406" s="47">
        <f>IF($D406="","",IF(COUNTIF('Config'!$E$6:$E$13,$D406)&gt;0,"Entrada",IF(COUNTIF('Config'!$G$6:$G$21,$D406)&gt;0,"Saída","Verificar")))</f>
        <v/>
      </c>
    </row>
    <row r="407" spans="7:7" ht="16.5" customHeight="1">
      <c r="G407" s="47">
        <f>IF($D407="","",IF(COUNTIF('Config'!$E$6:$E$13,$D407)&gt;0,"Entrada",IF(COUNTIF('Config'!$G$6:$G$21,$D407)&gt;0,"Saída","Verificar")))</f>
        <v/>
      </c>
    </row>
    <row r="408" spans="7:7" ht="16.5" customHeight="1">
      <c r="G408" s="47">
        <f>IF($D408="","",IF(COUNTIF('Config'!$E$6:$E$13,$D408)&gt;0,"Entrada",IF(COUNTIF('Config'!$G$6:$G$21,$D408)&gt;0,"Saída","Verificar")))</f>
        <v/>
      </c>
    </row>
    <row r="409" spans="7:7" ht="16.5" customHeight="1">
      <c r="G409" s="47">
        <f>IF($D409="","",IF(COUNTIF('Config'!$E$6:$E$13,$D409)&gt;0,"Entrada",IF(COUNTIF('Config'!$G$6:$G$21,$D409)&gt;0,"Saída","Verificar")))</f>
        <v/>
      </c>
    </row>
    <row r="410" spans="7:7" ht="16.5" customHeight="1">
      <c r="G410" s="47">
        <f>IF($D410="","",IF(COUNTIF('Config'!$E$6:$E$13,$D410)&gt;0,"Entrada",IF(COUNTIF('Config'!$G$6:$G$21,$D410)&gt;0,"Saída","Verificar")))</f>
        <v/>
      </c>
    </row>
    <row r="411" spans="7:7" ht="16.5" customHeight="1">
      <c r="G411" s="47">
        <f>IF($D411="","",IF(COUNTIF('Config'!$E$6:$E$13,$D411)&gt;0,"Entrada",IF(COUNTIF('Config'!$G$6:$G$21,$D411)&gt;0,"Saída","Verificar")))</f>
        <v/>
      </c>
    </row>
    <row r="412" spans="7:7" ht="16.5" customHeight="1">
      <c r="G412" s="47">
        <f>IF($D412="","",IF(COUNTIF('Config'!$E$6:$E$13,$D412)&gt;0,"Entrada",IF(COUNTIF('Config'!$G$6:$G$21,$D412)&gt;0,"Saída","Verificar")))</f>
        <v/>
      </c>
    </row>
    <row r="413" spans="7:7" ht="16.5" customHeight="1">
      <c r="G413" s="47">
        <f>IF($D413="","",IF(COUNTIF('Config'!$E$6:$E$13,$D413)&gt;0,"Entrada",IF(COUNTIF('Config'!$G$6:$G$21,$D413)&gt;0,"Saída","Verificar")))</f>
        <v/>
      </c>
    </row>
    <row r="414" spans="7:7" ht="16.5" customHeight="1">
      <c r="G414" s="47">
        <f>IF($D414="","",IF(COUNTIF('Config'!$E$6:$E$13,$D414)&gt;0,"Entrada",IF(COUNTIF('Config'!$G$6:$G$21,$D414)&gt;0,"Saída","Verificar")))</f>
        <v/>
      </c>
    </row>
    <row r="415" spans="7:7" ht="16.5" customHeight="1">
      <c r="G415" s="47">
        <f>IF($D415="","",IF(COUNTIF('Config'!$E$6:$E$13,$D415)&gt;0,"Entrada",IF(COUNTIF('Config'!$G$6:$G$21,$D415)&gt;0,"Saída","Verificar")))</f>
        <v/>
      </c>
    </row>
    <row r="416" spans="7:7" ht="16.5" customHeight="1">
      <c r="G416" s="47">
        <f>IF($D416="","",IF(COUNTIF('Config'!$E$6:$E$13,$D416)&gt;0,"Entrada",IF(COUNTIF('Config'!$G$6:$G$21,$D416)&gt;0,"Saída","Verificar")))</f>
        <v/>
      </c>
    </row>
    <row r="417" spans="7:7" ht="16.5" customHeight="1">
      <c r="G417" s="47">
        <f>IF($D417="","",IF(COUNTIF('Config'!$E$6:$E$13,$D417)&gt;0,"Entrada",IF(COUNTIF('Config'!$G$6:$G$21,$D417)&gt;0,"Saída","Verificar")))</f>
        <v/>
      </c>
    </row>
    <row r="418" spans="7:7" ht="16.5" customHeight="1">
      <c r="G418" s="47">
        <f>IF($D418="","",IF(COUNTIF('Config'!$E$6:$E$13,$D418)&gt;0,"Entrada",IF(COUNTIF('Config'!$G$6:$G$21,$D418)&gt;0,"Saída","Verificar")))</f>
        <v/>
      </c>
    </row>
    <row r="419" spans="7:7" ht="16.5" customHeight="1">
      <c r="G419" s="47">
        <f>IF($D419="","",IF(COUNTIF('Config'!$E$6:$E$13,$D419)&gt;0,"Entrada",IF(COUNTIF('Config'!$G$6:$G$21,$D419)&gt;0,"Saída","Verificar")))</f>
        <v/>
      </c>
    </row>
    <row r="420" spans="7:7" ht="16.5" customHeight="1">
      <c r="G420" s="47">
        <f>IF($D420="","",IF(COUNTIF('Config'!$E$6:$E$13,$D420)&gt;0,"Entrada",IF(COUNTIF('Config'!$G$6:$G$21,$D420)&gt;0,"Saída","Verificar")))</f>
        <v/>
      </c>
    </row>
    <row r="421" spans="7:7" ht="16.5" customHeight="1">
      <c r="G421" s="47">
        <f>IF($D421="","",IF(COUNTIF('Config'!$E$6:$E$13,$D421)&gt;0,"Entrada",IF(COUNTIF('Config'!$G$6:$G$21,$D421)&gt;0,"Saída","Verificar")))</f>
        <v/>
      </c>
    </row>
    <row r="422" spans="7:7" ht="16.5" customHeight="1">
      <c r="G422" s="47">
        <f>IF($D422="","",IF(COUNTIF('Config'!$E$6:$E$13,$D422)&gt;0,"Entrada",IF(COUNTIF('Config'!$G$6:$G$21,$D422)&gt;0,"Saída","Verificar")))</f>
        <v/>
      </c>
    </row>
    <row r="423" spans="7:7" ht="16.5" customHeight="1">
      <c r="G423" s="47">
        <f>IF($D423="","",IF(COUNTIF('Config'!$E$6:$E$13,$D423)&gt;0,"Entrada",IF(COUNTIF('Config'!$G$6:$G$21,$D423)&gt;0,"Saída","Verificar")))</f>
        <v/>
      </c>
    </row>
    <row r="424" spans="7:7" ht="16.5" customHeight="1">
      <c r="G424" s="47">
        <f>IF($D424="","",IF(COUNTIF('Config'!$E$6:$E$13,$D424)&gt;0,"Entrada",IF(COUNTIF('Config'!$G$6:$G$21,$D424)&gt;0,"Saída","Verificar")))</f>
        <v/>
      </c>
    </row>
    <row r="425" spans="7:7" ht="16.5" customHeight="1">
      <c r="G425" s="47">
        <f>IF($D425="","",IF(COUNTIF('Config'!$E$6:$E$13,$D425)&gt;0,"Entrada",IF(COUNTIF('Config'!$G$6:$G$21,$D425)&gt;0,"Saída","Verificar")))</f>
        <v/>
      </c>
    </row>
    <row r="426" spans="7:7" ht="16.5" customHeight="1">
      <c r="G426" s="47">
        <f>IF($D426="","",IF(COUNTIF('Config'!$E$6:$E$13,$D426)&gt;0,"Entrada",IF(COUNTIF('Config'!$G$6:$G$21,$D426)&gt;0,"Saída","Verificar")))</f>
        <v/>
      </c>
    </row>
    <row r="427" spans="7:7" ht="16.5" customHeight="1">
      <c r="G427" s="47">
        <f>IF($D427="","",IF(COUNTIF('Config'!$E$6:$E$13,$D427)&gt;0,"Entrada",IF(COUNTIF('Config'!$G$6:$G$21,$D427)&gt;0,"Saída","Verificar")))</f>
        <v/>
      </c>
    </row>
    <row r="428" spans="7:7" ht="16.5" customHeight="1">
      <c r="G428" s="47">
        <f>IF($D428="","",IF(COUNTIF('Config'!$E$6:$E$13,$D428)&gt;0,"Entrada",IF(COUNTIF('Config'!$G$6:$G$21,$D428)&gt;0,"Saída","Verificar")))</f>
        <v/>
      </c>
    </row>
    <row r="429" spans="7:7" ht="16.5" customHeight="1">
      <c r="G429" s="47">
        <f>IF($D429="","",IF(COUNTIF('Config'!$E$6:$E$13,$D429)&gt;0,"Entrada",IF(COUNTIF('Config'!$G$6:$G$21,$D429)&gt;0,"Saída","Verificar")))</f>
        <v/>
      </c>
    </row>
    <row r="430" spans="7:7" ht="16.5" customHeight="1">
      <c r="G430" s="47">
        <f>IF($D430="","",IF(COUNTIF('Config'!$E$6:$E$13,$D430)&gt;0,"Entrada",IF(COUNTIF('Config'!$G$6:$G$21,$D430)&gt;0,"Saída","Verificar")))</f>
        <v/>
      </c>
    </row>
    <row r="431" spans="7:7" ht="16.5" customHeight="1">
      <c r="G431" s="47">
        <f>IF($D431="","",IF(COUNTIF('Config'!$E$6:$E$13,$D431)&gt;0,"Entrada",IF(COUNTIF('Config'!$G$6:$G$21,$D431)&gt;0,"Saída","Verificar")))</f>
        <v/>
      </c>
    </row>
    <row r="432" spans="7:7" ht="16.5" customHeight="1">
      <c r="G432" s="47">
        <f>IF($D432="","",IF(COUNTIF('Config'!$E$6:$E$13,$D432)&gt;0,"Entrada",IF(COUNTIF('Config'!$G$6:$G$21,$D432)&gt;0,"Saída","Verificar")))</f>
        <v/>
      </c>
    </row>
    <row r="433" spans="7:7" ht="16.5" customHeight="1">
      <c r="G433" s="47">
        <f>IF($D433="","",IF(COUNTIF('Config'!$E$6:$E$13,$D433)&gt;0,"Entrada",IF(COUNTIF('Config'!$G$6:$G$21,$D433)&gt;0,"Saída","Verificar")))</f>
        <v/>
      </c>
    </row>
    <row r="434" spans="7:7" ht="16.5" customHeight="1">
      <c r="G434" s="47">
        <f>IF($D434="","",IF(COUNTIF('Config'!$E$6:$E$13,$D434)&gt;0,"Entrada",IF(COUNTIF('Config'!$G$6:$G$21,$D434)&gt;0,"Saída","Verificar")))</f>
        <v/>
      </c>
    </row>
    <row r="435" spans="7:7" ht="16.5" customHeight="1">
      <c r="G435" s="47">
        <f>IF($D435="","",IF(COUNTIF('Config'!$E$6:$E$13,$D435)&gt;0,"Entrada",IF(COUNTIF('Config'!$G$6:$G$21,$D435)&gt;0,"Saída","Verificar")))</f>
        <v/>
      </c>
    </row>
    <row r="436" spans="7:7" ht="16.5" customHeight="1">
      <c r="G436" s="47">
        <f>IF($D436="","",IF(COUNTIF('Config'!$E$6:$E$13,$D436)&gt;0,"Entrada",IF(COUNTIF('Config'!$G$6:$G$21,$D436)&gt;0,"Saída","Verificar")))</f>
        <v/>
      </c>
    </row>
    <row r="437" spans="7:7" ht="16.5" customHeight="1">
      <c r="G437" s="47">
        <f>IF($D437="","",IF(COUNTIF('Config'!$E$6:$E$13,$D437)&gt;0,"Entrada",IF(COUNTIF('Config'!$G$6:$G$21,$D437)&gt;0,"Saída","Verificar")))</f>
        <v/>
      </c>
    </row>
    <row r="438" spans="7:7" ht="16.5" customHeight="1">
      <c r="G438" s="47">
        <f>IF($D438="","",IF(COUNTIF('Config'!$E$6:$E$13,$D438)&gt;0,"Entrada",IF(COUNTIF('Config'!$G$6:$G$21,$D438)&gt;0,"Saída","Verificar")))</f>
        <v/>
      </c>
    </row>
    <row r="439" spans="7:7" ht="16.5" customHeight="1">
      <c r="G439" s="47">
        <f>IF($D439="","",IF(COUNTIF('Config'!$E$6:$E$13,$D439)&gt;0,"Entrada",IF(COUNTIF('Config'!$G$6:$G$21,$D439)&gt;0,"Saída","Verificar")))</f>
        <v/>
      </c>
    </row>
    <row r="440" spans="7:7" ht="16.5" customHeight="1">
      <c r="G440" s="47">
        <f>IF($D440="","",IF(COUNTIF('Config'!$E$6:$E$13,$D440)&gt;0,"Entrada",IF(COUNTIF('Config'!$G$6:$G$21,$D440)&gt;0,"Saída","Verificar")))</f>
        <v/>
      </c>
    </row>
    <row r="441" spans="7:7" ht="16.5" customHeight="1">
      <c r="G441" s="47">
        <f>IF($D441="","",IF(COUNTIF('Config'!$E$6:$E$13,$D441)&gt;0,"Entrada",IF(COUNTIF('Config'!$G$6:$G$21,$D441)&gt;0,"Saída","Verificar")))</f>
        <v/>
      </c>
    </row>
    <row r="442" spans="7:7" ht="16.5" customHeight="1">
      <c r="G442" s="47">
        <f>IF($D442="","",IF(COUNTIF('Config'!$E$6:$E$13,$D442)&gt;0,"Entrada",IF(COUNTIF('Config'!$G$6:$G$21,$D442)&gt;0,"Saída","Verificar")))</f>
        <v/>
      </c>
    </row>
    <row r="443" spans="7:7" ht="16.5" customHeight="1">
      <c r="G443" s="47">
        <f>IF($D443="","",IF(COUNTIF('Config'!$E$6:$E$13,$D443)&gt;0,"Entrada",IF(COUNTIF('Config'!$G$6:$G$21,$D443)&gt;0,"Saída","Verificar")))</f>
        <v/>
      </c>
    </row>
    <row r="444" spans="7:7" ht="16.5" customHeight="1">
      <c r="G444" s="47">
        <f>IF($D444="","",IF(COUNTIF('Config'!$E$6:$E$13,$D444)&gt;0,"Entrada",IF(COUNTIF('Config'!$G$6:$G$21,$D444)&gt;0,"Saída","Verificar")))</f>
        <v/>
      </c>
    </row>
    <row r="445" spans="7:7" ht="16.5" customHeight="1">
      <c r="G445" s="47">
        <f>IF($D445="","",IF(COUNTIF('Config'!$E$6:$E$13,$D445)&gt;0,"Entrada",IF(COUNTIF('Config'!$G$6:$G$21,$D445)&gt;0,"Saída","Verificar")))</f>
        <v/>
      </c>
    </row>
    <row r="446" spans="7:7" ht="16.5" customHeight="1">
      <c r="G446" s="47">
        <f>IF($D446="","",IF(COUNTIF('Config'!$E$6:$E$13,$D446)&gt;0,"Entrada",IF(COUNTIF('Config'!$G$6:$G$21,$D446)&gt;0,"Saída","Verificar")))</f>
        <v/>
      </c>
    </row>
    <row r="447" spans="7:7" ht="16.5" customHeight="1">
      <c r="G447" s="47">
        <f>IF($D447="","",IF(COUNTIF('Config'!$E$6:$E$13,$D447)&gt;0,"Entrada",IF(COUNTIF('Config'!$G$6:$G$21,$D447)&gt;0,"Saída","Verificar")))</f>
        <v/>
      </c>
    </row>
    <row r="448" spans="7:7" ht="16.5" customHeight="1">
      <c r="G448" s="47">
        <f>IF($D448="","",IF(COUNTIF('Config'!$E$6:$E$13,$D448)&gt;0,"Entrada",IF(COUNTIF('Config'!$G$6:$G$21,$D448)&gt;0,"Saída","Verificar")))</f>
        <v/>
      </c>
    </row>
    <row r="449" spans="7:7" ht="16.5" customHeight="1">
      <c r="G449" s="47">
        <f>IF($D449="","",IF(COUNTIF('Config'!$E$6:$E$13,$D449)&gt;0,"Entrada",IF(COUNTIF('Config'!$G$6:$G$21,$D449)&gt;0,"Saída","Verificar")))</f>
        <v/>
      </c>
    </row>
    <row r="450" spans="7:7" ht="16.5" customHeight="1">
      <c r="G450" s="47">
        <f>IF($D450="","",IF(COUNTIF('Config'!$E$6:$E$13,$D450)&gt;0,"Entrada",IF(COUNTIF('Config'!$G$6:$G$21,$D450)&gt;0,"Saída","Verificar")))</f>
        <v/>
      </c>
    </row>
    <row r="451" spans="7:7" ht="16.5" customHeight="1">
      <c r="G451" s="47">
        <f>IF($D451="","",IF(COUNTIF('Config'!$E$6:$E$13,$D451)&gt;0,"Entrada",IF(COUNTIF('Config'!$G$6:$G$21,$D451)&gt;0,"Saída","Verificar")))</f>
        <v/>
      </c>
    </row>
    <row r="452" spans="7:7" ht="16.5" customHeight="1">
      <c r="G452" s="47">
        <f>IF($D452="","",IF(COUNTIF('Config'!$E$6:$E$13,$D452)&gt;0,"Entrada",IF(COUNTIF('Config'!$G$6:$G$21,$D452)&gt;0,"Saída","Verificar")))</f>
        <v/>
      </c>
    </row>
    <row r="453" spans="7:7" ht="16.5" customHeight="1">
      <c r="G453" s="47">
        <f>IF($D453="","",IF(COUNTIF('Config'!$E$6:$E$13,$D453)&gt;0,"Entrada",IF(COUNTIF('Config'!$G$6:$G$21,$D453)&gt;0,"Saída","Verificar")))</f>
        <v/>
      </c>
    </row>
    <row r="454" spans="7:7" ht="16.5" customHeight="1">
      <c r="G454" s="47">
        <f>IF($D454="","",IF(COUNTIF('Config'!$E$6:$E$13,$D454)&gt;0,"Entrada",IF(COUNTIF('Config'!$G$6:$G$21,$D454)&gt;0,"Saída","Verificar")))</f>
        <v/>
      </c>
    </row>
    <row r="455" spans="7:7" ht="16.5" customHeight="1">
      <c r="G455" s="47">
        <f>IF($D455="","",IF(COUNTIF('Config'!$E$6:$E$13,$D455)&gt;0,"Entrada",IF(COUNTIF('Config'!$G$6:$G$21,$D455)&gt;0,"Saída","Verificar")))</f>
        <v/>
      </c>
    </row>
    <row r="456" spans="7:7" ht="16.5" customHeight="1">
      <c r="G456" s="47">
        <f>IF($D456="","",IF(COUNTIF('Config'!$E$6:$E$13,$D456)&gt;0,"Entrada",IF(COUNTIF('Config'!$G$6:$G$21,$D456)&gt;0,"Saída","Verificar")))</f>
        <v/>
      </c>
    </row>
    <row r="457" spans="7:7" ht="16.5" customHeight="1">
      <c r="G457" s="47">
        <f>IF($D457="","",IF(COUNTIF('Config'!$E$6:$E$13,$D457)&gt;0,"Entrada",IF(COUNTIF('Config'!$G$6:$G$21,$D457)&gt;0,"Saída","Verificar")))</f>
        <v/>
      </c>
    </row>
    <row r="458" spans="7:7" ht="16.5" customHeight="1">
      <c r="G458" s="47">
        <f>IF($D458="","",IF(COUNTIF('Config'!$E$6:$E$13,$D458)&gt;0,"Entrada",IF(COUNTIF('Config'!$G$6:$G$21,$D458)&gt;0,"Saída","Verificar")))</f>
        <v/>
      </c>
    </row>
    <row r="459" spans="7:7" ht="16.5" customHeight="1">
      <c r="G459" s="47">
        <f>IF($D459="","",IF(COUNTIF('Config'!$E$6:$E$13,$D459)&gt;0,"Entrada",IF(COUNTIF('Config'!$G$6:$G$21,$D459)&gt;0,"Saída","Verificar")))</f>
        <v/>
      </c>
    </row>
    <row r="460" spans="7:7" ht="16.5" customHeight="1">
      <c r="G460" s="47">
        <f>IF($D460="","",IF(COUNTIF('Config'!$E$6:$E$13,$D460)&gt;0,"Entrada",IF(COUNTIF('Config'!$G$6:$G$21,$D460)&gt;0,"Saída","Verificar")))</f>
        <v/>
      </c>
    </row>
    <row r="461" spans="7:7" ht="16.5" customHeight="1">
      <c r="G461" s="47">
        <f>IF($D461="","",IF(COUNTIF('Config'!$E$6:$E$13,$D461)&gt;0,"Entrada",IF(COUNTIF('Config'!$G$6:$G$21,$D461)&gt;0,"Saída","Verificar")))</f>
        <v/>
      </c>
    </row>
    <row r="462" spans="7:7" ht="16.5" customHeight="1">
      <c r="G462" s="47">
        <f>IF($D462="","",IF(COUNTIF('Config'!$E$6:$E$13,$D462)&gt;0,"Entrada",IF(COUNTIF('Config'!$G$6:$G$21,$D462)&gt;0,"Saída","Verificar")))</f>
        <v/>
      </c>
    </row>
    <row r="463" spans="7:7" ht="16.5" customHeight="1">
      <c r="G463" s="47">
        <f>IF($D463="","",IF(COUNTIF('Config'!$E$6:$E$13,$D463)&gt;0,"Entrada",IF(COUNTIF('Config'!$G$6:$G$21,$D463)&gt;0,"Saída","Verificar")))</f>
        <v/>
      </c>
    </row>
    <row r="464" spans="7:7" ht="16.5" customHeight="1">
      <c r="G464" s="47">
        <f>IF($D464="","",IF(COUNTIF('Config'!$E$6:$E$13,$D464)&gt;0,"Entrada",IF(COUNTIF('Config'!$G$6:$G$21,$D464)&gt;0,"Saída","Verificar")))</f>
        <v/>
      </c>
    </row>
    <row r="465" spans="7:7" ht="16.5" customHeight="1">
      <c r="G465" s="47">
        <f>IF($D465="","",IF(COUNTIF('Config'!$E$6:$E$13,$D465)&gt;0,"Entrada",IF(COUNTIF('Config'!$G$6:$G$21,$D465)&gt;0,"Saída","Verificar")))</f>
        <v/>
      </c>
    </row>
    <row r="466" spans="7:7" ht="16.5" customHeight="1">
      <c r="G466" s="47">
        <f>IF($D466="","",IF(COUNTIF('Config'!$E$6:$E$13,$D466)&gt;0,"Entrada",IF(COUNTIF('Config'!$G$6:$G$21,$D466)&gt;0,"Saída","Verificar")))</f>
        <v/>
      </c>
    </row>
    <row r="467" spans="7:7" ht="16.5" customHeight="1">
      <c r="G467" s="47">
        <f>IF($D467="","",IF(COUNTIF('Config'!$E$6:$E$13,$D467)&gt;0,"Entrada",IF(COUNTIF('Config'!$G$6:$G$21,$D467)&gt;0,"Saída","Verificar")))</f>
        <v/>
      </c>
    </row>
    <row r="468" spans="7:7" ht="16.5" customHeight="1">
      <c r="G468" s="47">
        <f>IF($D468="","",IF(COUNTIF('Config'!$E$6:$E$13,$D468)&gt;0,"Entrada",IF(COUNTIF('Config'!$G$6:$G$21,$D468)&gt;0,"Saída","Verificar")))</f>
        <v/>
      </c>
    </row>
    <row r="469" spans="7:7" ht="16.5" customHeight="1">
      <c r="G469" s="47">
        <f>IF($D469="","",IF(COUNTIF('Config'!$E$6:$E$13,$D469)&gt;0,"Entrada",IF(COUNTIF('Config'!$G$6:$G$21,$D469)&gt;0,"Saída","Verificar")))</f>
        <v/>
      </c>
    </row>
    <row r="470" spans="7:7" ht="16.5" customHeight="1">
      <c r="G470" s="47">
        <f>IF($D470="","",IF(COUNTIF('Config'!$E$6:$E$13,$D470)&gt;0,"Entrada",IF(COUNTIF('Config'!$G$6:$G$21,$D470)&gt;0,"Saída","Verificar")))</f>
        <v/>
      </c>
    </row>
    <row r="471" spans="7:7" ht="16.5" customHeight="1">
      <c r="G471" s="47">
        <f>IF($D471="","",IF(COUNTIF('Config'!$E$6:$E$13,$D471)&gt;0,"Entrada",IF(COUNTIF('Config'!$G$6:$G$21,$D471)&gt;0,"Saída","Verificar")))</f>
        <v/>
      </c>
    </row>
    <row r="472" spans="7:7" ht="16.5" customHeight="1">
      <c r="G472" s="47">
        <f>IF($D472="","",IF(COUNTIF('Config'!$E$6:$E$13,$D472)&gt;0,"Entrada",IF(COUNTIF('Config'!$G$6:$G$21,$D472)&gt;0,"Saída","Verificar")))</f>
        <v/>
      </c>
    </row>
    <row r="473" spans="7:7" ht="16.5" customHeight="1">
      <c r="G473" s="47">
        <f>IF($D473="","",IF(COUNTIF('Config'!$E$6:$E$13,$D473)&gt;0,"Entrada",IF(COUNTIF('Config'!$G$6:$G$21,$D473)&gt;0,"Saída","Verificar")))</f>
        <v/>
      </c>
    </row>
    <row r="474" spans="7:7" ht="16.5" customHeight="1">
      <c r="G474" s="47">
        <f>IF($D474="","",IF(COUNTIF('Config'!$E$6:$E$13,$D474)&gt;0,"Entrada",IF(COUNTIF('Config'!$G$6:$G$21,$D474)&gt;0,"Saída","Verificar")))</f>
        <v/>
      </c>
    </row>
    <row r="475" spans="7:7" ht="16.5" customHeight="1">
      <c r="G475" s="47">
        <f>IF($D475="","",IF(COUNTIF('Config'!$E$6:$E$13,$D475)&gt;0,"Entrada",IF(COUNTIF('Config'!$G$6:$G$21,$D475)&gt;0,"Saída","Verificar")))</f>
        <v/>
      </c>
    </row>
    <row r="476" spans="7:7" ht="16.5" customHeight="1">
      <c r="G476" s="47">
        <f>IF($D476="","",IF(COUNTIF('Config'!$E$6:$E$13,$D476)&gt;0,"Entrada",IF(COUNTIF('Config'!$G$6:$G$21,$D476)&gt;0,"Saída","Verificar")))</f>
        <v/>
      </c>
    </row>
    <row r="477" spans="7:7" ht="16.5" customHeight="1">
      <c r="G477" s="47">
        <f>IF($D477="","",IF(COUNTIF('Config'!$E$6:$E$13,$D477)&gt;0,"Entrada",IF(COUNTIF('Config'!$G$6:$G$21,$D477)&gt;0,"Saída","Verificar")))</f>
        <v/>
      </c>
    </row>
    <row r="478" spans="7:7" ht="16.5" customHeight="1">
      <c r="G478" s="47">
        <f>IF($D478="","",IF(COUNTIF('Config'!$E$6:$E$13,$D478)&gt;0,"Entrada",IF(COUNTIF('Config'!$G$6:$G$21,$D478)&gt;0,"Saída","Verificar")))</f>
        <v/>
      </c>
    </row>
    <row r="479" spans="7:7" ht="16.5" customHeight="1">
      <c r="G479" s="47">
        <f>IF($D479="","",IF(COUNTIF('Config'!$E$6:$E$13,$D479)&gt;0,"Entrada",IF(COUNTIF('Config'!$G$6:$G$21,$D479)&gt;0,"Saída","Verificar")))</f>
        <v/>
      </c>
    </row>
    <row r="480" spans="7:7" ht="16.5" customHeight="1">
      <c r="G480" s="47">
        <f>IF($D480="","",IF(COUNTIF('Config'!$E$6:$E$13,$D480)&gt;0,"Entrada",IF(COUNTIF('Config'!$G$6:$G$21,$D480)&gt;0,"Saída","Verificar")))</f>
        <v/>
      </c>
    </row>
    <row r="481" spans="7:7" ht="16.5" customHeight="1">
      <c r="G481" s="47">
        <f>IF($D481="","",IF(COUNTIF('Config'!$E$6:$E$13,$D481)&gt;0,"Entrada",IF(COUNTIF('Config'!$G$6:$G$21,$D481)&gt;0,"Saída","Verificar")))</f>
        <v/>
      </c>
    </row>
    <row r="482" spans="7:7" ht="16.5" customHeight="1">
      <c r="G482" s="47">
        <f>IF($D482="","",IF(COUNTIF('Config'!$E$6:$E$13,$D482)&gt;0,"Entrada",IF(COUNTIF('Config'!$G$6:$G$21,$D482)&gt;0,"Saída","Verificar")))</f>
        <v/>
      </c>
    </row>
    <row r="483" spans="7:7" ht="16.5" customHeight="1">
      <c r="G483" s="47">
        <f>IF($D483="","",IF(COUNTIF('Config'!$E$6:$E$13,$D483)&gt;0,"Entrada",IF(COUNTIF('Config'!$G$6:$G$21,$D483)&gt;0,"Saída","Verificar")))</f>
        <v/>
      </c>
    </row>
    <row r="484" spans="7:7" ht="16.5" customHeight="1">
      <c r="G484" s="47">
        <f>IF($D484="","",IF(COUNTIF('Config'!$E$6:$E$13,$D484)&gt;0,"Entrada",IF(COUNTIF('Config'!$G$6:$G$21,$D484)&gt;0,"Saída","Verificar")))</f>
        <v/>
      </c>
    </row>
    <row r="485" spans="7:7" ht="16.5" customHeight="1">
      <c r="G485" s="47">
        <f>IF($D485="","",IF(COUNTIF('Config'!$E$6:$E$13,$D485)&gt;0,"Entrada",IF(COUNTIF('Config'!$G$6:$G$21,$D485)&gt;0,"Saída","Verificar")))</f>
        <v/>
      </c>
    </row>
    <row r="486" spans="7:7" ht="16.5" customHeight="1">
      <c r="G486" s="47">
        <f>IF($D486="","",IF(COUNTIF('Config'!$E$6:$E$13,$D486)&gt;0,"Entrada",IF(COUNTIF('Config'!$G$6:$G$21,$D486)&gt;0,"Saída","Verificar")))</f>
        <v/>
      </c>
    </row>
    <row r="487" spans="7:7" ht="16.5" customHeight="1">
      <c r="G487" s="47">
        <f>IF($D487="","",IF(COUNTIF('Config'!$E$6:$E$13,$D487)&gt;0,"Entrada",IF(COUNTIF('Config'!$G$6:$G$21,$D487)&gt;0,"Saída","Verificar")))</f>
        <v/>
      </c>
    </row>
    <row r="488" spans="7:7" ht="16.5" customHeight="1">
      <c r="G488" s="47">
        <f>IF($D488="","",IF(COUNTIF('Config'!$E$6:$E$13,$D488)&gt;0,"Entrada",IF(COUNTIF('Config'!$G$6:$G$21,$D488)&gt;0,"Saída","Verificar")))</f>
        <v/>
      </c>
    </row>
    <row r="489" spans="7:7" ht="16.5" customHeight="1">
      <c r="G489" s="47">
        <f>IF($D489="","",IF(COUNTIF('Config'!$E$6:$E$13,$D489)&gt;0,"Entrada",IF(COUNTIF('Config'!$G$6:$G$21,$D489)&gt;0,"Saída","Verificar")))</f>
        <v/>
      </c>
    </row>
    <row r="490" spans="7:7" ht="16.5" customHeight="1">
      <c r="G490" s="47">
        <f>IF($D490="","",IF(COUNTIF('Config'!$E$6:$E$13,$D490)&gt;0,"Entrada",IF(COUNTIF('Config'!$G$6:$G$21,$D490)&gt;0,"Saída","Verificar")))</f>
        <v/>
      </c>
    </row>
    <row r="491" spans="7:7" ht="16.5" customHeight="1">
      <c r="G491" s="47">
        <f>IF($D491="","",IF(COUNTIF('Config'!$E$6:$E$13,$D491)&gt;0,"Entrada",IF(COUNTIF('Config'!$G$6:$G$21,$D491)&gt;0,"Saída","Verificar")))</f>
        <v/>
      </c>
    </row>
    <row r="492" spans="7:7" ht="16.5" customHeight="1">
      <c r="G492" s="47">
        <f>IF($D492="","",IF(COUNTIF('Config'!$E$6:$E$13,$D492)&gt;0,"Entrada",IF(COUNTIF('Config'!$G$6:$G$21,$D492)&gt;0,"Saída","Verificar")))</f>
        <v/>
      </c>
    </row>
    <row r="493" spans="7:7" ht="16.5" customHeight="1">
      <c r="G493" s="47">
        <f>IF($D493="","",IF(COUNTIF('Config'!$E$6:$E$13,$D493)&gt;0,"Entrada",IF(COUNTIF('Config'!$G$6:$G$21,$D493)&gt;0,"Saída","Verificar")))</f>
        <v/>
      </c>
    </row>
    <row r="494" spans="7:7" ht="16.5" customHeight="1">
      <c r="G494" s="47">
        <f>IF($D494="","",IF(COUNTIF('Config'!$E$6:$E$13,$D494)&gt;0,"Entrada",IF(COUNTIF('Config'!$G$6:$G$21,$D494)&gt;0,"Saída","Verificar")))</f>
        <v/>
      </c>
    </row>
    <row r="495" spans="7:7" ht="16.5" customHeight="1">
      <c r="G495" s="47">
        <f>IF($D495="","",IF(COUNTIF('Config'!$E$6:$E$13,$D495)&gt;0,"Entrada",IF(COUNTIF('Config'!$G$6:$G$21,$D495)&gt;0,"Saída","Verificar")))</f>
        <v/>
      </c>
    </row>
    <row r="496" spans="7:7" ht="16.5" customHeight="1">
      <c r="G496" s="47">
        <f>IF($D496="","",IF(COUNTIF('Config'!$E$6:$E$13,$D496)&gt;0,"Entrada",IF(COUNTIF('Config'!$G$6:$G$21,$D496)&gt;0,"Saída","Verificar")))</f>
        <v/>
      </c>
    </row>
    <row r="497" spans="7:7" ht="16.5" customHeight="1">
      <c r="G497" s="47">
        <f>IF($D497="","",IF(COUNTIF('Config'!$E$6:$E$13,$D497)&gt;0,"Entrada",IF(COUNTIF('Config'!$G$6:$G$21,$D497)&gt;0,"Saída","Verificar")))</f>
        <v/>
      </c>
    </row>
    <row r="498" spans="7:7" ht="16.5" customHeight="1">
      <c r="G498" s="47">
        <f>IF($D498="","",IF(COUNTIF('Config'!$E$6:$E$13,$D498)&gt;0,"Entrada",IF(COUNTIF('Config'!$G$6:$G$21,$D498)&gt;0,"Saída","Verificar")))</f>
        <v/>
      </c>
    </row>
    <row r="499" spans="7:7" ht="16.5" customHeight="1">
      <c r="G499" s="47">
        <f>IF($D499="","",IF(COUNTIF('Config'!$E$6:$E$13,$D499)&gt;0,"Entrada",IF(COUNTIF('Config'!$G$6:$G$21,$D499)&gt;0,"Saída","Verificar")))</f>
        <v/>
      </c>
    </row>
    <row r="500" spans="7:7" ht="16.5" customHeight="1">
      <c r="G500" s="47">
        <f>IF($D500="","",IF(COUNTIF('Config'!$E$6:$E$13,$D500)&gt;0,"Entrada",IF(COUNTIF('Config'!$G$6:$G$21,$D500)&gt;0,"Saída","Verificar")))</f>
        <v/>
      </c>
    </row>
    <row r="501" spans="7:7" ht="16.5" customHeight="1">
      <c r="G501" s="47">
        <f>IF($D501="","",IF(COUNTIF('Config'!$E$6:$E$13,$D501)&gt;0,"Entrada",IF(COUNTIF('Config'!$G$6:$G$21,$D501)&gt;0,"Saída","Verificar")))</f>
        <v/>
      </c>
    </row>
    <row r="502" spans="7:7" ht="16.5" customHeight="1">
      <c r="G502" s="47">
        <f>IF($D502="","",IF(COUNTIF('Config'!$E$6:$E$13,$D502)&gt;0,"Entrada",IF(COUNTIF('Config'!$G$6:$G$21,$D502)&gt;0,"Saída","Verificar")))</f>
        <v/>
      </c>
    </row>
    <row r="503" spans="7:7" ht="16.5" customHeight="1">
      <c r="G503" s="47">
        <f>IF($D503="","",IF(COUNTIF('Config'!$E$6:$E$13,$D503)&gt;0,"Entrada",IF(COUNTIF('Config'!$G$6:$G$21,$D503)&gt;0,"Saída","Verificar")))</f>
        <v/>
      </c>
    </row>
    <row r="504" spans="7:7" ht="16.5" customHeight="1">
      <c r="G504" s="47">
        <f>IF($D504="","",IF(COUNTIF('Config'!$E$6:$E$13,$D504)&gt;0,"Entrada",IF(COUNTIF('Config'!$G$6:$G$21,$D504)&gt;0,"Saída","Verificar")))</f>
        <v/>
      </c>
    </row>
    <row r="505" spans="7:7" ht="16.5" customHeight="1">
      <c r="G505" s="47">
        <f>IF($D505="","",IF(COUNTIF('Config'!$E$6:$E$13,$D505)&gt;0,"Entrada",IF(COUNTIF('Config'!$G$6:$G$21,$D505)&gt;0,"Saída","Verificar")))</f>
        <v/>
      </c>
    </row>
    <row r="506" spans="7:7" ht="16.5" customHeight="1">
      <c r="G506" s="47">
        <f>IF($D506="","",IF(COUNTIF('Config'!$E$6:$E$13,$D506)&gt;0,"Entrada",IF(COUNTIF('Config'!$G$6:$G$21,$D506)&gt;0,"Saída","Verificar")))</f>
        <v/>
      </c>
    </row>
    <row r="507" spans="7:7" ht="16.5" customHeight="1">
      <c r="G507" s="47">
        <f>IF($D507="","",IF(COUNTIF('Config'!$E$6:$E$13,$D507)&gt;0,"Entrada",IF(COUNTIF('Config'!$G$6:$G$21,$D507)&gt;0,"Saída","Verificar")))</f>
        <v/>
      </c>
    </row>
    <row r="508" spans="7:7" ht="16.5" customHeight="1">
      <c r="G508" s="47">
        <f>IF($D508="","",IF(COUNTIF('Config'!$E$6:$E$13,$D508)&gt;0,"Entrada",IF(COUNTIF('Config'!$G$6:$G$21,$D508)&gt;0,"Saída","Verificar")))</f>
        <v/>
      </c>
    </row>
    <row r="509" spans="7:7" ht="16.5" customHeight="1">
      <c r="G509" s="47">
        <f>IF($D509="","",IF(COUNTIF('Config'!$E$6:$E$13,$D509)&gt;0,"Entrada",IF(COUNTIF('Config'!$G$6:$G$21,$D509)&gt;0,"Saída","Verificar")))</f>
        <v/>
      </c>
    </row>
    <row r="510" spans="7:7" ht="16.5" customHeight="1">
      <c r="G510" s="47">
        <f>IF($D510="","",IF(COUNTIF('Config'!$E$6:$E$13,$D510)&gt;0,"Entrada",IF(COUNTIF('Config'!$G$6:$G$21,$D510)&gt;0,"Saída","Verificar")))</f>
        <v/>
      </c>
    </row>
    <row r="511" spans="7:7" ht="16.5" customHeight="1">
      <c r="G511" s="47">
        <f>IF($D511="","",IF(COUNTIF('Config'!$E$6:$E$13,$D511)&gt;0,"Entrada",IF(COUNTIF('Config'!$G$6:$G$21,$D511)&gt;0,"Saída","Verificar")))</f>
        <v/>
      </c>
    </row>
    <row r="512" spans="7:7" ht="16.5" customHeight="1">
      <c r="G512" s="47">
        <f>IF($D512="","",IF(COUNTIF('Config'!$E$6:$E$13,$D512)&gt;0,"Entrada",IF(COUNTIF('Config'!$G$6:$G$21,$D512)&gt;0,"Saída","Verificar")))</f>
        <v/>
      </c>
    </row>
    <row r="513" spans="7:7" ht="16.5" customHeight="1">
      <c r="G513" s="47">
        <f>IF($D513="","",IF(COUNTIF('Config'!$E$6:$E$13,$D513)&gt;0,"Entrada",IF(COUNTIF('Config'!$G$6:$G$21,$D513)&gt;0,"Saída","Verificar")))</f>
        <v/>
      </c>
    </row>
    <row r="514" spans="7:7" ht="16.5" customHeight="1">
      <c r="G514" s="47">
        <f>IF($D514="","",IF(COUNTIF('Config'!$E$6:$E$13,$D514)&gt;0,"Entrada",IF(COUNTIF('Config'!$G$6:$G$21,$D514)&gt;0,"Saída","Verificar")))</f>
        <v/>
      </c>
    </row>
    <row r="515" spans="7:7" ht="16.5" customHeight="1">
      <c r="G515" s="47">
        <f>IF($D515="","",IF(COUNTIF('Config'!$E$6:$E$13,$D515)&gt;0,"Entrada",IF(COUNTIF('Config'!$G$6:$G$21,$D515)&gt;0,"Saída","Verificar")))</f>
        <v/>
      </c>
    </row>
    <row r="516" spans="7:7" ht="16.5" customHeight="1">
      <c r="G516" s="47">
        <f>IF($D516="","",IF(COUNTIF('Config'!$E$6:$E$13,$D516)&gt;0,"Entrada",IF(COUNTIF('Config'!$G$6:$G$21,$D516)&gt;0,"Saída","Verificar")))</f>
        <v/>
      </c>
    </row>
    <row r="517" spans="7:7" ht="16.5" customHeight="1">
      <c r="G517" s="47">
        <f>IF($D517="","",IF(COUNTIF('Config'!$E$6:$E$13,$D517)&gt;0,"Entrada",IF(COUNTIF('Config'!$G$6:$G$21,$D517)&gt;0,"Saída","Verificar")))</f>
        <v/>
      </c>
    </row>
    <row r="518" spans="7:7" ht="16.5" customHeight="1">
      <c r="G518" s="47">
        <f>IF($D518="","",IF(COUNTIF('Config'!$E$6:$E$13,$D518)&gt;0,"Entrada",IF(COUNTIF('Config'!$G$6:$G$21,$D518)&gt;0,"Saída","Verificar")))</f>
        <v/>
      </c>
    </row>
    <row r="519" spans="7:7" ht="16.5" customHeight="1">
      <c r="G519" s="47">
        <f>IF($D519="","",IF(COUNTIF('Config'!$E$6:$E$13,$D519)&gt;0,"Entrada",IF(COUNTIF('Config'!$G$6:$G$21,$D519)&gt;0,"Saída","Verificar")))</f>
        <v/>
      </c>
    </row>
    <row r="520" spans="7:7" ht="16.5" customHeight="1">
      <c r="G520" s="47">
        <f>IF($D520="","",IF(COUNTIF('Config'!$E$6:$E$13,$D520)&gt;0,"Entrada",IF(COUNTIF('Config'!$G$6:$G$21,$D520)&gt;0,"Saída","Verificar")))</f>
        <v/>
      </c>
    </row>
    <row r="521" spans="7:7" ht="16.5" customHeight="1">
      <c r="G521" s="47">
        <f>IF($D521="","",IF(COUNTIF('Config'!$E$6:$E$13,$D521)&gt;0,"Entrada",IF(COUNTIF('Config'!$G$6:$G$21,$D521)&gt;0,"Saída","Verificar")))</f>
        <v/>
      </c>
    </row>
    <row r="522" spans="7:7" ht="16.5" customHeight="1">
      <c r="G522" s="47">
        <f>IF($D522="","",IF(COUNTIF('Config'!$E$6:$E$13,$D522)&gt;0,"Entrada",IF(COUNTIF('Config'!$G$6:$G$21,$D522)&gt;0,"Saída","Verificar")))</f>
        <v/>
      </c>
    </row>
    <row r="523" spans="7:7" ht="16.5" customHeight="1">
      <c r="G523" s="47">
        <f>IF($D523="","",IF(COUNTIF('Config'!$E$6:$E$13,$D523)&gt;0,"Entrada",IF(COUNTIF('Config'!$G$6:$G$21,$D523)&gt;0,"Saída","Verificar")))</f>
        <v/>
      </c>
    </row>
    <row r="524" spans="7:7" ht="16.5" customHeight="1">
      <c r="G524" s="47">
        <f>IF($D524="","",IF(COUNTIF('Config'!$E$6:$E$13,$D524)&gt;0,"Entrada",IF(COUNTIF('Config'!$G$6:$G$21,$D524)&gt;0,"Saída","Verificar")))</f>
        <v/>
      </c>
    </row>
    <row r="525" spans="7:7" ht="16.5" customHeight="1">
      <c r="G525" s="47">
        <f>IF($D525="","",IF(COUNTIF('Config'!$E$6:$E$13,$D525)&gt;0,"Entrada",IF(COUNTIF('Config'!$G$6:$G$21,$D525)&gt;0,"Saída","Verificar")))</f>
        <v/>
      </c>
    </row>
    <row r="526" spans="7:7" ht="16.5" customHeight="1">
      <c r="G526" s="47">
        <f>IF($D526="","",IF(COUNTIF('Config'!$E$6:$E$13,$D526)&gt;0,"Entrada",IF(COUNTIF('Config'!$G$6:$G$21,$D526)&gt;0,"Saída","Verificar")))</f>
        <v/>
      </c>
    </row>
    <row r="527" spans="7:7" ht="16.5" customHeight="1">
      <c r="G527" s="47">
        <f>IF($D527="","",IF(COUNTIF('Config'!$E$6:$E$13,$D527)&gt;0,"Entrada",IF(COUNTIF('Config'!$G$6:$G$21,$D527)&gt;0,"Saída","Verificar")))</f>
        <v/>
      </c>
    </row>
    <row r="528" spans="7:7" ht="16.5" customHeight="1">
      <c r="G528" s="47">
        <f>IF($D528="","",IF(COUNTIF('Config'!$E$6:$E$13,$D528)&gt;0,"Entrada",IF(COUNTIF('Config'!$G$6:$G$21,$D528)&gt;0,"Saída","Verificar")))</f>
        <v/>
      </c>
    </row>
    <row r="529" spans="7:7" ht="16.5" customHeight="1">
      <c r="G529" s="47">
        <f>IF($D529="","",IF(COUNTIF('Config'!$E$6:$E$13,$D529)&gt;0,"Entrada",IF(COUNTIF('Config'!$G$6:$G$21,$D529)&gt;0,"Saída","Verificar")))</f>
        <v/>
      </c>
    </row>
    <row r="530" spans="7:7" ht="16.5" customHeight="1">
      <c r="G530" s="47">
        <f>IF($D530="","",IF(COUNTIF('Config'!$E$6:$E$13,$D530)&gt;0,"Entrada",IF(COUNTIF('Config'!$G$6:$G$21,$D530)&gt;0,"Saída","Verificar")))</f>
        <v/>
      </c>
    </row>
    <row r="531" spans="7:7" ht="16.5" customHeight="1">
      <c r="G531" s="47">
        <f>IF($D531="","",IF(COUNTIF('Config'!$E$6:$E$13,$D531)&gt;0,"Entrada",IF(COUNTIF('Config'!$G$6:$G$21,$D531)&gt;0,"Saída","Verificar")))</f>
        <v/>
      </c>
    </row>
    <row r="532" spans="7:7" ht="16.5" customHeight="1">
      <c r="G532" s="47">
        <f>IF($D532="","",IF(COUNTIF('Config'!$E$6:$E$13,$D532)&gt;0,"Entrada",IF(COUNTIF('Config'!$G$6:$G$21,$D532)&gt;0,"Saída","Verificar")))</f>
        <v/>
      </c>
    </row>
    <row r="533" spans="7:7" ht="16.5" customHeight="1">
      <c r="G533" s="47">
        <f>IF($D533="","",IF(COUNTIF('Config'!$E$6:$E$13,$D533)&gt;0,"Entrada",IF(COUNTIF('Config'!$G$6:$G$21,$D533)&gt;0,"Saída","Verificar")))</f>
        <v/>
      </c>
    </row>
    <row r="534" spans="7:7" ht="16.5" customHeight="1">
      <c r="G534" s="47">
        <f>IF($D534="","",IF(COUNTIF('Config'!$E$6:$E$13,$D534)&gt;0,"Entrada",IF(COUNTIF('Config'!$G$6:$G$21,$D534)&gt;0,"Saída","Verificar")))</f>
        <v/>
      </c>
    </row>
    <row r="535" spans="7:7" ht="16.5" customHeight="1">
      <c r="G535" s="47">
        <f>IF($D535="","",IF(COUNTIF('Config'!$E$6:$E$13,$D535)&gt;0,"Entrada",IF(COUNTIF('Config'!$G$6:$G$21,$D535)&gt;0,"Saída","Verificar")))</f>
        <v/>
      </c>
    </row>
    <row r="536" spans="7:7" ht="16.5" customHeight="1">
      <c r="G536" s="47">
        <f>IF($D536="","",IF(COUNTIF('Config'!$E$6:$E$13,$D536)&gt;0,"Entrada",IF(COUNTIF('Config'!$G$6:$G$21,$D536)&gt;0,"Saída","Verificar")))</f>
        <v/>
      </c>
    </row>
    <row r="537" spans="7:7" ht="16.5" customHeight="1">
      <c r="G537" s="47">
        <f>IF($D537="","",IF(COUNTIF('Config'!$E$6:$E$13,$D537)&gt;0,"Entrada",IF(COUNTIF('Config'!$G$6:$G$21,$D537)&gt;0,"Saída","Verificar")))</f>
        <v/>
      </c>
    </row>
    <row r="538" spans="7:7" ht="16.5" customHeight="1">
      <c r="G538" s="47">
        <f>IF($D538="","",IF(COUNTIF('Config'!$E$6:$E$13,$D538)&gt;0,"Entrada",IF(COUNTIF('Config'!$G$6:$G$21,$D538)&gt;0,"Saída","Verificar")))</f>
        <v/>
      </c>
    </row>
    <row r="539" spans="7:7" ht="16.5" customHeight="1">
      <c r="G539" s="47">
        <f>IF($D539="","",IF(COUNTIF('Config'!$E$6:$E$13,$D539)&gt;0,"Entrada",IF(COUNTIF('Config'!$G$6:$G$21,$D539)&gt;0,"Saída","Verificar")))</f>
        <v/>
      </c>
    </row>
    <row r="540" spans="7:7" ht="16.5" customHeight="1">
      <c r="G540" s="47">
        <f>IF($D540="","",IF(COUNTIF('Config'!$E$6:$E$13,$D540)&gt;0,"Entrada",IF(COUNTIF('Config'!$G$6:$G$21,$D540)&gt;0,"Saída","Verificar")))</f>
        <v/>
      </c>
    </row>
    <row r="541" spans="7:7" ht="16.5" customHeight="1">
      <c r="G541" s="47">
        <f>IF($D541="","",IF(COUNTIF('Config'!$E$6:$E$13,$D541)&gt;0,"Entrada",IF(COUNTIF('Config'!$G$6:$G$21,$D541)&gt;0,"Saída","Verificar")))</f>
        <v/>
      </c>
    </row>
    <row r="542" spans="7:7" ht="16.5" customHeight="1">
      <c r="G542" s="47">
        <f>IF($D542="","",IF(COUNTIF('Config'!$E$6:$E$13,$D542)&gt;0,"Entrada",IF(COUNTIF('Config'!$G$6:$G$21,$D542)&gt;0,"Saída","Verificar")))</f>
        <v/>
      </c>
    </row>
    <row r="543" spans="7:7" ht="16.5" customHeight="1">
      <c r="G543" s="47">
        <f>IF($D543="","",IF(COUNTIF('Config'!$E$6:$E$13,$D543)&gt;0,"Entrada",IF(COUNTIF('Config'!$G$6:$G$21,$D543)&gt;0,"Saída","Verificar")))</f>
        <v/>
      </c>
    </row>
    <row r="544" spans="7:7" ht="16.5" customHeight="1">
      <c r="G544" s="47">
        <f>IF($D544="","",IF(COUNTIF('Config'!$E$6:$E$13,$D544)&gt;0,"Entrada",IF(COUNTIF('Config'!$G$6:$G$21,$D544)&gt;0,"Saída","Verificar")))</f>
        <v/>
      </c>
    </row>
    <row r="545" spans="7:7" ht="16.5" customHeight="1">
      <c r="G545" s="47">
        <f>IF($D545="","",IF(COUNTIF('Config'!$E$6:$E$13,$D545)&gt;0,"Entrada",IF(COUNTIF('Config'!$G$6:$G$21,$D545)&gt;0,"Saída","Verificar")))</f>
        <v/>
      </c>
    </row>
    <row r="546" spans="7:7" ht="16.5" customHeight="1">
      <c r="G546" s="47">
        <f>IF($D546="","",IF(COUNTIF('Config'!$E$6:$E$13,$D546)&gt;0,"Entrada",IF(COUNTIF('Config'!$G$6:$G$21,$D546)&gt;0,"Saída","Verificar")))</f>
        <v/>
      </c>
    </row>
    <row r="547" spans="7:7" ht="16.5" customHeight="1">
      <c r="G547" s="47">
        <f>IF($D547="","",IF(COUNTIF('Config'!$E$6:$E$13,$D547)&gt;0,"Entrada",IF(COUNTIF('Config'!$G$6:$G$21,$D547)&gt;0,"Saída","Verificar")))</f>
        <v/>
      </c>
    </row>
    <row r="548" spans="7:7" ht="16.5" customHeight="1">
      <c r="G548" s="47">
        <f>IF($D548="","",IF(COUNTIF('Config'!$E$6:$E$13,$D548)&gt;0,"Entrada",IF(COUNTIF('Config'!$G$6:$G$21,$D548)&gt;0,"Saída","Verificar")))</f>
        <v/>
      </c>
    </row>
    <row r="549" spans="7:7" ht="16.5" customHeight="1">
      <c r="G549" s="47">
        <f>IF($D549="","",IF(COUNTIF('Config'!$E$6:$E$13,$D549)&gt;0,"Entrada",IF(COUNTIF('Config'!$G$6:$G$21,$D549)&gt;0,"Saída","Verificar")))</f>
        <v/>
      </c>
    </row>
    <row r="550" spans="7:7" ht="16.5" customHeight="1">
      <c r="G550" s="47">
        <f>IF($D550="","",IF(COUNTIF('Config'!$E$6:$E$13,$D550)&gt;0,"Entrada",IF(COUNTIF('Config'!$G$6:$G$21,$D550)&gt;0,"Saída","Verificar")))</f>
        <v/>
      </c>
    </row>
    <row r="551" spans="7:7" ht="16.5" customHeight="1">
      <c r="G551" s="47">
        <f>IF($D551="","",IF(COUNTIF('Config'!$E$6:$E$13,$D551)&gt;0,"Entrada",IF(COUNTIF('Config'!$G$6:$G$21,$D551)&gt;0,"Saída","Verificar")))</f>
        <v/>
      </c>
    </row>
    <row r="552" spans="7:7" ht="16.5" customHeight="1">
      <c r="G552" s="47">
        <f>IF($D552="","",IF(COUNTIF('Config'!$E$6:$E$13,$D552)&gt;0,"Entrada",IF(COUNTIF('Config'!$G$6:$G$21,$D552)&gt;0,"Saída","Verificar")))</f>
        <v/>
      </c>
    </row>
    <row r="553" spans="7:7" ht="16.5" customHeight="1">
      <c r="G553" s="47">
        <f>IF($D553="","",IF(COUNTIF('Config'!$E$6:$E$13,$D553)&gt;0,"Entrada",IF(COUNTIF('Config'!$G$6:$G$21,$D553)&gt;0,"Saída","Verificar")))</f>
        <v/>
      </c>
    </row>
    <row r="554" spans="7:7" ht="16.5" customHeight="1">
      <c r="G554" s="47">
        <f>IF($D554="","",IF(COUNTIF('Config'!$E$6:$E$13,$D554)&gt;0,"Entrada",IF(COUNTIF('Config'!$G$6:$G$21,$D554)&gt;0,"Saída","Verificar")))</f>
        <v/>
      </c>
    </row>
    <row r="555" spans="7:7" ht="16.5" customHeight="1">
      <c r="G555" s="47">
        <f>IF($D555="","",IF(COUNTIF('Config'!$E$6:$E$13,$D555)&gt;0,"Entrada",IF(COUNTIF('Config'!$G$6:$G$21,$D555)&gt;0,"Saída","Verificar")))</f>
        <v/>
      </c>
    </row>
    <row r="556" spans="7:7" ht="16.5" customHeight="1">
      <c r="G556" s="47">
        <f>IF($D556="","",IF(COUNTIF('Config'!$E$6:$E$13,$D556)&gt;0,"Entrada",IF(COUNTIF('Config'!$G$6:$G$21,$D556)&gt;0,"Saída","Verificar")))</f>
        <v/>
      </c>
    </row>
    <row r="557" spans="7:7" ht="16.5" customHeight="1">
      <c r="G557" s="47">
        <f>IF($D557="","",IF(COUNTIF('Config'!$E$6:$E$13,$D557)&gt;0,"Entrada",IF(COUNTIF('Config'!$G$6:$G$21,$D557)&gt;0,"Saída","Verificar")))</f>
        <v/>
      </c>
    </row>
    <row r="558" spans="7:7" ht="16.5" customHeight="1">
      <c r="G558" s="47">
        <f>IF($D558="","",IF(COUNTIF('Config'!$E$6:$E$13,$D558)&gt;0,"Entrada",IF(COUNTIF('Config'!$G$6:$G$21,$D558)&gt;0,"Saída","Verificar")))</f>
        <v/>
      </c>
    </row>
    <row r="559" spans="7:7" ht="16.5" customHeight="1">
      <c r="G559" s="47">
        <f>IF($D559="","",IF(COUNTIF('Config'!$E$6:$E$13,$D559)&gt;0,"Entrada",IF(COUNTIF('Config'!$G$6:$G$21,$D559)&gt;0,"Saída","Verificar")))</f>
        <v/>
      </c>
    </row>
    <row r="560" spans="7:7" ht="16.5" customHeight="1">
      <c r="G560" s="47">
        <f>IF($D560="","",IF(COUNTIF('Config'!$E$6:$E$13,$D560)&gt;0,"Entrada",IF(COUNTIF('Config'!$G$6:$G$21,$D560)&gt;0,"Saída","Verificar")))</f>
        <v/>
      </c>
    </row>
    <row r="561" spans="7:7" ht="16.5" customHeight="1">
      <c r="G561" s="47">
        <f>IF($D561="","",IF(COUNTIF('Config'!$E$6:$E$13,$D561)&gt;0,"Entrada",IF(COUNTIF('Config'!$G$6:$G$21,$D561)&gt;0,"Saída","Verificar")))</f>
        <v/>
      </c>
    </row>
    <row r="562" spans="7:7" ht="16.5" customHeight="1">
      <c r="G562" s="47">
        <f>IF($D562="","",IF(COUNTIF('Config'!$E$6:$E$13,$D562)&gt;0,"Entrada",IF(COUNTIF('Config'!$G$6:$G$21,$D562)&gt;0,"Saída","Verificar")))</f>
        <v/>
      </c>
    </row>
    <row r="563" spans="7:7" ht="16.5" customHeight="1">
      <c r="G563" s="47">
        <f>IF($D563="","",IF(COUNTIF('Config'!$E$6:$E$13,$D563)&gt;0,"Entrada",IF(COUNTIF('Config'!$G$6:$G$21,$D563)&gt;0,"Saída","Verificar")))</f>
        <v/>
      </c>
    </row>
    <row r="564" spans="7:7" ht="16.5" customHeight="1">
      <c r="G564" s="47">
        <f>IF($D564="","",IF(COUNTIF('Config'!$E$6:$E$13,$D564)&gt;0,"Entrada",IF(COUNTIF('Config'!$G$6:$G$21,$D564)&gt;0,"Saída","Verificar")))</f>
        <v/>
      </c>
    </row>
    <row r="565" spans="7:7" ht="16.5" customHeight="1">
      <c r="G565" s="47">
        <f>IF($D565="","",IF(COUNTIF('Config'!$E$6:$E$13,$D565)&gt;0,"Entrada",IF(COUNTIF('Config'!$G$6:$G$21,$D565)&gt;0,"Saída","Verificar")))</f>
        <v/>
      </c>
    </row>
    <row r="566" spans="7:7" ht="16.5" customHeight="1">
      <c r="G566" s="47">
        <f>IF($D566="","",IF(COUNTIF('Config'!$E$6:$E$13,$D566)&gt;0,"Entrada",IF(COUNTIF('Config'!$G$6:$G$21,$D566)&gt;0,"Saída","Verificar")))</f>
        <v/>
      </c>
    </row>
    <row r="567" spans="7:7" ht="16.5" customHeight="1">
      <c r="G567" s="47">
        <f>IF($D567="","",IF(COUNTIF('Config'!$E$6:$E$13,$D567)&gt;0,"Entrada",IF(COUNTIF('Config'!$G$6:$G$21,$D567)&gt;0,"Saída","Verificar")))</f>
        <v/>
      </c>
    </row>
    <row r="568" spans="7:7" ht="16.5" customHeight="1">
      <c r="G568" s="47">
        <f>IF($D568="","",IF(COUNTIF('Config'!$E$6:$E$13,$D568)&gt;0,"Entrada",IF(COUNTIF('Config'!$G$6:$G$21,$D568)&gt;0,"Saída","Verificar")))</f>
        <v/>
      </c>
    </row>
    <row r="569" spans="7:7" ht="16.5" customHeight="1">
      <c r="G569" s="47">
        <f>IF($D569="","",IF(COUNTIF('Config'!$E$6:$E$13,$D569)&gt;0,"Entrada",IF(COUNTIF('Config'!$G$6:$G$21,$D569)&gt;0,"Saída","Verificar")))</f>
        <v/>
      </c>
    </row>
    <row r="570" spans="7:7" ht="16.5" customHeight="1">
      <c r="G570" s="47">
        <f>IF($D570="","",IF(COUNTIF('Config'!$E$6:$E$13,$D570)&gt;0,"Entrada",IF(COUNTIF('Config'!$G$6:$G$21,$D570)&gt;0,"Saída","Verificar")))</f>
        <v/>
      </c>
    </row>
    <row r="571" spans="7:7" ht="16.5" customHeight="1">
      <c r="G571" s="47">
        <f>IF($D571="","",IF(COUNTIF('Config'!$E$6:$E$13,$D571)&gt;0,"Entrada",IF(COUNTIF('Config'!$G$6:$G$21,$D571)&gt;0,"Saída","Verificar")))</f>
        <v/>
      </c>
    </row>
    <row r="572" spans="7:7" ht="16.5" customHeight="1">
      <c r="G572" s="47">
        <f>IF($D572="","",IF(COUNTIF('Config'!$E$6:$E$13,$D572)&gt;0,"Entrada",IF(COUNTIF('Config'!$G$6:$G$21,$D572)&gt;0,"Saída","Verificar")))</f>
        <v/>
      </c>
    </row>
    <row r="573" spans="7:7" ht="16.5" customHeight="1">
      <c r="G573" s="47">
        <f>IF($D573="","",IF(COUNTIF('Config'!$E$6:$E$13,$D573)&gt;0,"Entrada",IF(COUNTIF('Config'!$G$6:$G$21,$D573)&gt;0,"Saída","Verificar")))</f>
        <v/>
      </c>
    </row>
    <row r="574" spans="7:7" ht="16.5" customHeight="1">
      <c r="G574" s="47">
        <f>IF($D574="","",IF(COUNTIF('Config'!$E$6:$E$13,$D574)&gt;0,"Entrada",IF(COUNTIF('Config'!$G$6:$G$21,$D574)&gt;0,"Saída","Verificar")))</f>
        <v/>
      </c>
    </row>
    <row r="575" spans="7:7" ht="16.5" customHeight="1">
      <c r="G575" s="47">
        <f>IF($D575="","",IF(COUNTIF('Config'!$E$6:$E$13,$D575)&gt;0,"Entrada",IF(COUNTIF('Config'!$G$6:$G$21,$D575)&gt;0,"Saída","Verificar")))</f>
        <v/>
      </c>
    </row>
    <row r="576" spans="7:7" ht="16.5" customHeight="1">
      <c r="G576" s="47">
        <f>IF($D576="","",IF(COUNTIF('Config'!$E$6:$E$13,$D576)&gt;0,"Entrada",IF(COUNTIF('Config'!$G$6:$G$21,$D576)&gt;0,"Saída","Verificar")))</f>
        <v/>
      </c>
    </row>
    <row r="577" spans="7:7" ht="16.5" customHeight="1">
      <c r="G577" s="47">
        <f>IF($D577="","",IF(COUNTIF('Config'!$E$6:$E$13,$D577)&gt;0,"Entrada",IF(COUNTIF('Config'!$G$6:$G$21,$D577)&gt;0,"Saída","Verificar")))</f>
        <v/>
      </c>
    </row>
    <row r="578" spans="7:7" ht="16.5" customHeight="1">
      <c r="G578" s="47">
        <f>IF($D578="","",IF(COUNTIF('Config'!$E$6:$E$13,$D578)&gt;0,"Entrada",IF(COUNTIF('Config'!$G$6:$G$21,$D578)&gt;0,"Saída","Verificar")))</f>
        <v/>
      </c>
    </row>
    <row r="579" spans="7:7" ht="16.5" customHeight="1">
      <c r="G579" s="47">
        <f>IF($D579="","",IF(COUNTIF('Config'!$E$6:$E$13,$D579)&gt;0,"Entrada",IF(COUNTIF('Config'!$G$6:$G$21,$D579)&gt;0,"Saída","Verificar")))</f>
        <v/>
      </c>
    </row>
    <row r="580" spans="7:7" ht="16.5" customHeight="1">
      <c r="G580" s="47">
        <f>IF($D580="","",IF(COUNTIF('Config'!$E$6:$E$13,$D580)&gt;0,"Entrada",IF(COUNTIF('Config'!$G$6:$G$21,$D580)&gt;0,"Saída","Verificar")))</f>
        <v/>
      </c>
    </row>
    <row r="581" spans="7:7" ht="16.5" customHeight="1">
      <c r="G581" s="47">
        <f>IF($D581="","",IF(COUNTIF('Config'!$E$6:$E$13,$D581)&gt;0,"Entrada",IF(COUNTIF('Config'!$G$6:$G$21,$D581)&gt;0,"Saída","Verificar")))</f>
        <v/>
      </c>
    </row>
    <row r="582" spans="7:7" ht="16.5" customHeight="1">
      <c r="G582" s="47">
        <f>IF($D582="","",IF(COUNTIF('Config'!$E$6:$E$13,$D582)&gt;0,"Entrada",IF(COUNTIF('Config'!$G$6:$G$21,$D582)&gt;0,"Saída","Verificar")))</f>
        <v/>
      </c>
    </row>
    <row r="583" spans="7:7" ht="16.5" customHeight="1">
      <c r="G583" s="47">
        <f>IF($D583="","",IF(COUNTIF('Config'!$E$6:$E$13,$D583)&gt;0,"Entrada",IF(COUNTIF('Config'!$G$6:$G$21,$D583)&gt;0,"Saída","Verificar")))</f>
        <v/>
      </c>
    </row>
    <row r="584" spans="7:7" ht="16.5" customHeight="1">
      <c r="G584" s="47">
        <f>IF($D584="","",IF(COUNTIF('Config'!$E$6:$E$13,$D584)&gt;0,"Entrada",IF(COUNTIF('Config'!$G$6:$G$21,$D584)&gt;0,"Saída","Verificar")))</f>
        <v/>
      </c>
    </row>
    <row r="585" spans="7:7" ht="16.5" customHeight="1">
      <c r="G585" s="47">
        <f>IF($D585="","",IF(COUNTIF('Config'!$E$6:$E$13,$D585)&gt;0,"Entrada",IF(COUNTIF('Config'!$G$6:$G$21,$D585)&gt;0,"Saída","Verificar")))</f>
        <v/>
      </c>
    </row>
    <row r="586" spans="7:7" ht="16.5" customHeight="1">
      <c r="G586" s="47">
        <f>IF($D586="","",IF(COUNTIF('Config'!$E$6:$E$13,$D586)&gt;0,"Entrada",IF(COUNTIF('Config'!$G$6:$G$21,$D586)&gt;0,"Saída","Verificar")))</f>
        <v/>
      </c>
    </row>
    <row r="587" spans="7:7" ht="16.5" customHeight="1">
      <c r="G587" s="47">
        <f>IF($D587="","",IF(COUNTIF('Config'!$E$6:$E$13,$D587)&gt;0,"Entrada",IF(COUNTIF('Config'!$G$6:$G$21,$D587)&gt;0,"Saída","Verificar")))</f>
        <v/>
      </c>
    </row>
    <row r="588" spans="7:7" ht="16.5" customHeight="1">
      <c r="G588" s="47">
        <f>IF($D588="","",IF(COUNTIF('Config'!$E$6:$E$13,$D588)&gt;0,"Entrada",IF(COUNTIF('Config'!$G$6:$G$21,$D588)&gt;0,"Saída","Verificar")))</f>
        <v/>
      </c>
    </row>
    <row r="589" spans="7:7" ht="16.5" customHeight="1">
      <c r="G589" s="47">
        <f>IF($D589="","",IF(COUNTIF('Config'!$E$6:$E$13,$D589)&gt;0,"Entrada",IF(COUNTIF('Config'!$G$6:$G$21,$D589)&gt;0,"Saída","Verificar")))</f>
        <v/>
      </c>
    </row>
    <row r="590" spans="7:7" ht="16.5" customHeight="1">
      <c r="G590" s="47">
        <f>IF($D590="","",IF(COUNTIF('Config'!$E$6:$E$13,$D590)&gt;0,"Entrada",IF(COUNTIF('Config'!$G$6:$G$21,$D590)&gt;0,"Saída","Verificar")))</f>
        <v/>
      </c>
    </row>
    <row r="591" spans="7:7" ht="16.5" customHeight="1">
      <c r="G591" s="47">
        <f>IF($D591="","",IF(COUNTIF('Config'!$E$6:$E$13,$D591)&gt;0,"Entrada",IF(COUNTIF('Config'!$G$6:$G$21,$D591)&gt;0,"Saída","Verificar")))</f>
        <v/>
      </c>
    </row>
    <row r="592" spans="7:7" ht="16.5" customHeight="1">
      <c r="G592" s="47">
        <f>IF($D592="","",IF(COUNTIF('Config'!$E$6:$E$13,$D592)&gt;0,"Entrada",IF(COUNTIF('Config'!$G$6:$G$21,$D592)&gt;0,"Saída","Verificar")))</f>
        <v/>
      </c>
    </row>
    <row r="593" spans="7:7" ht="16.5" customHeight="1">
      <c r="G593" s="47">
        <f>IF($D593="","",IF(COUNTIF('Config'!$E$6:$E$13,$D593)&gt;0,"Entrada",IF(COUNTIF('Config'!$G$6:$G$21,$D593)&gt;0,"Saída","Verificar")))</f>
        <v/>
      </c>
    </row>
    <row r="594" spans="7:7" ht="16.5" customHeight="1">
      <c r="G594" s="47">
        <f>IF($D594="","",IF(COUNTIF('Config'!$E$6:$E$13,$D594)&gt;0,"Entrada",IF(COUNTIF('Config'!$G$6:$G$21,$D594)&gt;0,"Saída","Verificar")))</f>
        <v/>
      </c>
    </row>
    <row r="595" spans="7:7" ht="16.5" customHeight="1">
      <c r="G595" s="47">
        <f>IF($D595="","",IF(COUNTIF('Config'!$E$6:$E$13,$D595)&gt;0,"Entrada",IF(COUNTIF('Config'!$G$6:$G$21,$D595)&gt;0,"Saída","Verificar")))</f>
        <v/>
      </c>
    </row>
    <row r="596" spans="7:7" ht="16.5" customHeight="1">
      <c r="G596" s="47">
        <f>IF($D596="","",IF(COUNTIF('Config'!$E$6:$E$13,$D596)&gt;0,"Entrada",IF(COUNTIF('Config'!$G$6:$G$21,$D596)&gt;0,"Saída","Verificar")))</f>
        <v/>
      </c>
    </row>
    <row r="597" spans="7:7" ht="16.5" customHeight="1">
      <c r="G597" s="47">
        <f>IF($D597="","",IF(COUNTIF('Config'!$E$6:$E$13,$D597)&gt;0,"Entrada",IF(COUNTIF('Config'!$G$6:$G$21,$D597)&gt;0,"Saída","Verificar")))</f>
        <v/>
      </c>
    </row>
    <row r="598" spans="7:7" ht="16.5" customHeight="1">
      <c r="G598" s="47">
        <f>IF($D598="","",IF(COUNTIF('Config'!$E$6:$E$13,$D598)&gt;0,"Entrada",IF(COUNTIF('Config'!$G$6:$G$21,$D598)&gt;0,"Saída","Verificar")))</f>
        <v/>
      </c>
    </row>
    <row r="599" spans="7:7" ht="16.5" customHeight="1">
      <c r="G599" s="47">
        <f>IF($D599="","",IF(COUNTIF('Config'!$E$6:$E$13,$D599)&gt;0,"Entrada",IF(COUNTIF('Config'!$G$6:$G$21,$D599)&gt;0,"Saída","Verificar")))</f>
        <v/>
      </c>
    </row>
    <row r="600" spans="7:7" ht="16.5" customHeight="1">
      <c r="G600" s="47">
        <f>IF($D600="","",IF(COUNTIF('Config'!$E$6:$E$13,$D600)&gt;0,"Entrada",IF(COUNTIF('Config'!$G$6:$G$21,$D600)&gt;0,"Saída","Verificar")))</f>
        <v/>
      </c>
    </row>
    <row r="601" spans="7:7" ht="16.5" customHeight="1">
      <c r="G601" s="47">
        <f>IF($D601="","",IF(COUNTIF('Config'!$E$6:$E$13,$D601)&gt;0,"Entrada",IF(COUNTIF('Config'!$G$6:$G$21,$D601)&gt;0,"Saída","Verificar")))</f>
        <v/>
      </c>
    </row>
    <row r="602" spans="7:7" ht="16.5" customHeight="1">
      <c r="G602" s="47">
        <f>IF($D602="","",IF(COUNTIF('Config'!$E$6:$E$13,$D602)&gt;0,"Entrada",IF(COUNTIF('Config'!$G$6:$G$21,$D602)&gt;0,"Saída","Verificar")))</f>
        <v/>
      </c>
    </row>
    <row r="603" spans="7:7" ht="16.5" customHeight="1">
      <c r="G603" s="47">
        <f>IF($D603="","",IF(COUNTIF('Config'!$E$6:$E$13,$D603)&gt;0,"Entrada",IF(COUNTIF('Config'!$G$6:$G$21,$D603)&gt;0,"Saída","Verificar")))</f>
        <v/>
      </c>
    </row>
    <row r="604" spans="7:7" ht="16.5" customHeight="1">
      <c r="G604" s="47">
        <f>IF($D604="","",IF(COUNTIF('Config'!$E$6:$E$13,$D604)&gt;0,"Entrada",IF(COUNTIF('Config'!$G$6:$G$21,$D604)&gt;0,"Saída","Verificar")))</f>
        <v/>
      </c>
    </row>
    <row r="605" spans="7:7" ht="16.5" customHeight="1">
      <c r="G605" s="47">
        <f>IF($D605="","",IF(COUNTIF('Config'!$E$6:$E$13,$D605)&gt;0,"Entrada",IF(COUNTIF('Config'!$G$6:$G$21,$D605)&gt;0,"Saída","Verificar")))</f>
        <v/>
      </c>
    </row>
    <row r="606" spans="7:7" ht="16.5" customHeight="1">
      <c r="G606" s="47">
        <f>IF($D606="","",IF(COUNTIF('Config'!$E$6:$E$13,$D606)&gt;0,"Entrada",IF(COUNTIF('Config'!$G$6:$G$21,$D606)&gt;0,"Saída","Verificar")))</f>
        <v/>
      </c>
    </row>
    <row r="607" spans="7:7" ht="16.5" customHeight="1">
      <c r="G607" s="47">
        <f>IF($D607="","",IF(COUNTIF('Config'!$E$6:$E$13,$D607)&gt;0,"Entrada",IF(COUNTIF('Config'!$G$6:$G$21,$D607)&gt;0,"Saída","Verificar")))</f>
        <v/>
      </c>
    </row>
    <row r="608" spans="7:7" ht="16.5" customHeight="1">
      <c r="G608" s="47">
        <f>IF($D608="","",IF(COUNTIF('Config'!$E$6:$E$13,$D608)&gt;0,"Entrada",IF(COUNTIF('Config'!$G$6:$G$21,$D608)&gt;0,"Saída","Verificar")))</f>
        <v/>
      </c>
    </row>
    <row r="609" spans="7:7" ht="16.5" customHeight="1">
      <c r="G609" s="47">
        <f>IF($D609="","",IF(COUNTIF('Config'!$E$6:$E$13,$D609)&gt;0,"Entrada",IF(COUNTIF('Config'!$G$6:$G$21,$D609)&gt;0,"Saída","Verificar")))</f>
        <v/>
      </c>
    </row>
    <row r="610" spans="7:7" ht="16.5" customHeight="1">
      <c r="G610" s="47">
        <f>IF($D610="","",IF(COUNTIF('Config'!$E$6:$E$13,$D610)&gt;0,"Entrada",IF(COUNTIF('Config'!$G$6:$G$21,$D610)&gt;0,"Saída","Verificar")))</f>
        <v/>
      </c>
    </row>
    <row r="611" spans="7:7" ht="16.5" customHeight="1">
      <c r="G611" s="47">
        <f>IF($D611="","",IF(COUNTIF('Config'!$E$6:$E$13,$D611)&gt;0,"Entrada",IF(COUNTIF('Config'!$G$6:$G$21,$D611)&gt;0,"Saída","Verificar")))</f>
        <v/>
      </c>
    </row>
    <row r="612" spans="7:7" ht="16.5" customHeight="1">
      <c r="G612" s="47">
        <f>IF($D612="","",IF(COUNTIF('Config'!$E$6:$E$13,$D612)&gt;0,"Entrada",IF(COUNTIF('Config'!$G$6:$G$21,$D612)&gt;0,"Saída","Verificar")))</f>
        <v/>
      </c>
    </row>
    <row r="613" spans="7:7" ht="16.5" customHeight="1">
      <c r="G613" s="47">
        <f>IF($D613="","",IF(COUNTIF('Config'!$E$6:$E$13,$D613)&gt;0,"Entrada",IF(COUNTIF('Config'!$G$6:$G$21,$D613)&gt;0,"Saída","Verificar")))</f>
        <v/>
      </c>
    </row>
    <row r="614" spans="7:7" ht="16.5" customHeight="1">
      <c r="G614" s="47">
        <f>IF($D614="","",IF(COUNTIF('Config'!$E$6:$E$13,$D614)&gt;0,"Entrada",IF(COUNTIF('Config'!$G$6:$G$21,$D614)&gt;0,"Saída","Verificar")))</f>
        <v/>
      </c>
    </row>
    <row r="615" spans="7:7" ht="16.5" customHeight="1">
      <c r="G615" s="47">
        <f>IF($D615="","",IF(COUNTIF('Config'!$E$6:$E$13,$D615)&gt;0,"Entrada",IF(COUNTIF('Config'!$G$6:$G$21,$D615)&gt;0,"Saída","Verificar")))</f>
        <v/>
      </c>
    </row>
    <row r="616" spans="7:7" ht="16.5" customHeight="1">
      <c r="G616" s="47">
        <f>IF($D616="","",IF(COUNTIF('Config'!$E$6:$E$13,$D616)&gt;0,"Entrada",IF(COUNTIF('Config'!$G$6:$G$21,$D616)&gt;0,"Saída","Verificar")))</f>
        <v/>
      </c>
    </row>
    <row r="617" spans="7:7" ht="16.5" customHeight="1">
      <c r="G617" s="47">
        <f>IF($D617="","",IF(COUNTIF('Config'!$E$6:$E$13,$D617)&gt;0,"Entrada",IF(COUNTIF('Config'!$G$6:$G$21,$D617)&gt;0,"Saída","Verificar")))</f>
        <v/>
      </c>
    </row>
    <row r="618" spans="7:7" ht="16.5" customHeight="1">
      <c r="G618" s="47">
        <f>IF($D618="","",IF(COUNTIF('Config'!$E$6:$E$13,$D618)&gt;0,"Entrada",IF(COUNTIF('Config'!$G$6:$G$21,$D618)&gt;0,"Saída","Verificar")))</f>
        <v/>
      </c>
    </row>
    <row r="619" spans="7:7" ht="16.5" customHeight="1">
      <c r="G619" s="47">
        <f>IF($D619="","",IF(COUNTIF('Config'!$E$6:$E$13,$D619)&gt;0,"Entrada",IF(COUNTIF('Config'!$G$6:$G$21,$D619)&gt;0,"Saída","Verificar")))</f>
        <v/>
      </c>
    </row>
    <row r="620" spans="7:7" ht="16.5" customHeight="1">
      <c r="G620" s="47">
        <f>IF($D620="","",IF(COUNTIF('Config'!$E$6:$E$13,$D620)&gt;0,"Entrada",IF(COUNTIF('Config'!$G$6:$G$21,$D620)&gt;0,"Saída","Verificar")))</f>
        <v/>
      </c>
    </row>
    <row r="621" spans="7:7" ht="16.5" customHeight="1">
      <c r="G621" s="47">
        <f>IF($D621="","",IF(COUNTIF('Config'!$E$6:$E$13,$D621)&gt;0,"Entrada",IF(COUNTIF('Config'!$G$6:$G$21,$D621)&gt;0,"Saída","Verificar")))</f>
        <v/>
      </c>
    </row>
    <row r="622" spans="7:7" ht="16.5" customHeight="1">
      <c r="G622" s="47">
        <f>IF($D622="","",IF(COUNTIF('Config'!$E$6:$E$13,$D622)&gt;0,"Entrada",IF(COUNTIF('Config'!$G$6:$G$21,$D622)&gt;0,"Saída","Verificar")))</f>
        <v/>
      </c>
    </row>
    <row r="623" spans="7:7" ht="16.5" customHeight="1">
      <c r="G623" s="47">
        <f>IF($D623="","",IF(COUNTIF('Config'!$E$6:$E$13,$D623)&gt;0,"Entrada",IF(COUNTIF('Config'!$G$6:$G$21,$D623)&gt;0,"Saída","Verificar")))</f>
        <v/>
      </c>
    </row>
    <row r="624" spans="7:7" ht="16.5" customHeight="1">
      <c r="G624" s="47">
        <f>IF($D624="","",IF(COUNTIF('Config'!$E$6:$E$13,$D624)&gt;0,"Entrada",IF(COUNTIF('Config'!$G$6:$G$21,$D624)&gt;0,"Saída","Verificar")))</f>
        <v/>
      </c>
    </row>
    <row r="625" spans="7:7" ht="16.5" customHeight="1">
      <c r="G625" s="47">
        <f>IF($D625="","",IF(COUNTIF('Config'!$E$6:$E$13,$D625)&gt;0,"Entrada",IF(COUNTIF('Config'!$G$6:$G$21,$D625)&gt;0,"Saída","Verificar")))</f>
        <v/>
      </c>
    </row>
    <row r="626" spans="7:7" ht="16.5" customHeight="1">
      <c r="G626" s="47">
        <f>IF($D626="","",IF(COUNTIF('Config'!$E$6:$E$13,$D626)&gt;0,"Entrada",IF(COUNTIF('Config'!$G$6:$G$21,$D626)&gt;0,"Saída","Verificar")))</f>
        <v/>
      </c>
    </row>
    <row r="627" spans="7:7" ht="16.5" customHeight="1">
      <c r="G627" s="47">
        <f>IF($D627="","",IF(COUNTIF('Config'!$E$6:$E$13,$D627)&gt;0,"Entrada",IF(COUNTIF('Config'!$G$6:$G$21,$D627)&gt;0,"Saída","Verificar")))</f>
        <v/>
      </c>
    </row>
    <row r="628" spans="7:7" ht="16.5" customHeight="1">
      <c r="G628" s="47">
        <f>IF($D628="","",IF(COUNTIF('Config'!$E$6:$E$13,$D628)&gt;0,"Entrada",IF(COUNTIF('Config'!$G$6:$G$21,$D628)&gt;0,"Saída","Verificar")))</f>
        <v/>
      </c>
    </row>
    <row r="629" spans="7:7" ht="16.5" customHeight="1">
      <c r="G629" s="47">
        <f>IF($D629="","",IF(COUNTIF('Config'!$E$6:$E$13,$D629)&gt;0,"Entrada",IF(COUNTIF('Config'!$G$6:$G$21,$D629)&gt;0,"Saída","Verificar")))</f>
        <v/>
      </c>
    </row>
    <row r="630" spans="7:7" ht="16.5" customHeight="1">
      <c r="G630" s="47">
        <f>IF($D630="","",IF(COUNTIF('Config'!$E$6:$E$13,$D630)&gt;0,"Entrada",IF(COUNTIF('Config'!$G$6:$G$21,$D630)&gt;0,"Saída","Verificar")))</f>
        <v/>
      </c>
    </row>
    <row r="631" spans="7:7" ht="16.5" customHeight="1">
      <c r="G631" s="47">
        <f>IF($D631="","",IF(COUNTIF('Config'!$E$6:$E$13,$D631)&gt;0,"Entrada",IF(COUNTIF('Config'!$G$6:$G$21,$D631)&gt;0,"Saída","Verificar")))</f>
        <v/>
      </c>
    </row>
    <row r="632" spans="7:7" ht="16.5" customHeight="1">
      <c r="G632" s="47">
        <f>IF($D632="","",IF(COUNTIF('Config'!$E$6:$E$13,$D632)&gt;0,"Entrada",IF(COUNTIF('Config'!$G$6:$G$21,$D632)&gt;0,"Saída","Verificar")))</f>
        <v/>
      </c>
    </row>
    <row r="633" spans="7:7" ht="16.5" customHeight="1">
      <c r="G633" s="47">
        <f>IF($D633="","",IF(COUNTIF('Config'!$E$6:$E$13,$D633)&gt;0,"Entrada",IF(COUNTIF('Config'!$G$6:$G$21,$D633)&gt;0,"Saída","Verificar")))</f>
        <v/>
      </c>
    </row>
    <row r="634" spans="7:7" ht="16.5" customHeight="1">
      <c r="G634" s="47">
        <f>IF($D634="","",IF(COUNTIF('Config'!$E$6:$E$13,$D634)&gt;0,"Entrada",IF(COUNTIF('Config'!$G$6:$G$21,$D634)&gt;0,"Saída","Verificar")))</f>
        <v/>
      </c>
    </row>
    <row r="635" spans="7:7" ht="16.5" customHeight="1">
      <c r="G635" s="47">
        <f>IF($D635="","",IF(COUNTIF('Config'!$E$6:$E$13,$D635)&gt;0,"Entrada",IF(COUNTIF('Config'!$G$6:$G$21,$D635)&gt;0,"Saída","Verificar")))</f>
        <v/>
      </c>
    </row>
    <row r="636" spans="7:7" ht="16.5" customHeight="1">
      <c r="G636" s="47">
        <f>IF($D636="","",IF(COUNTIF('Config'!$E$6:$E$13,$D636)&gt;0,"Entrada",IF(COUNTIF('Config'!$G$6:$G$21,$D636)&gt;0,"Saída","Verificar")))</f>
        <v/>
      </c>
    </row>
    <row r="637" spans="7:7" ht="16.5" customHeight="1">
      <c r="G637" s="47">
        <f>IF($D637="","",IF(COUNTIF('Config'!$E$6:$E$13,$D637)&gt;0,"Entrada",IF(COUNTIF('Config'!$G$6:$G$21,$D637)&gt;0,"Saída","Verificar")))</f>
        <v/>
      </c>
    </row>
    <row r="638" spans="7:7" ht="16.5" customHeight="1">
      <c r="G638" s="47">
        <f>IF($D638="","",IF(COUNTIF('Config'!$E$6:$E$13,$D638)&gt;0,"Entrada",IF(COUNTIF('Config'!$G$6:$G$21,$D638)&gt;0,"Saída","Verificar")))</f>
        <v/>
      </c>
    </row>
    <row r="639" spans="7:7" ht="16.5" customHeight="1">
      <c r="G639" s="47">
        <f>IF($D639="","",IF(COUNTIF('Config'!$E$6:$E$13,$D639)&gt;0,"Entrada",IF(COUNTIF('Config'!$G$6:$G$21,$D639)&gt;0,"Saída","Verificar")))</f>
        <v/>
      </c>
    </row>
    <row r="640" spans="7:7" ht="16.5" customHeight="1">
      <c r="G640" s="47">
        <f>IF($D640="","",IF(COUNTIF('Config'!$E$6:$E$13,$D640)&gt;0,"Entrada",IF(COUNTIF('Config'!$G$6:$G$21,$D640)&gt;0,"Saída","Verificar")))</f>
        <v/>
      </c>
    </row>
    <row r="641" spans="7:7" ht="16.5" customHeight="1">
      <c r="G641" s="47">
        <f>IF($D641="","",IF(COUNTIF('Config'!$E$6:$E$13,$D641)&gt;0,"Entrada",IF(COUNTIF('Config'!$G$6:$G$21,$D641)&gt;0,"Saída","Verificar")))</f>
        <v/>
      </c>
    </row>
    <row r="642" spans="7:7" ht="16.5" customHeight="1">
      <c r="G642" s="47">
        <f>IF($D642="","",IF(COUNTIF('Config'!$E$6:$E$13,$D642)&gt;0,"Entrada",IF(COUNTIF('Config'!$G$6:$G$21,$D642)&gt;0,"Saída","Verificar")))</f>
        <v/>
      </c>
    </row>
    <row r="643" spans="7:7" ht="16.5" customHeight="1">
      <c r="G643" s="47">
        <f>IF($D643="","",IF(COUNTIF('Config'!$E$6:$E$13,$D643)&gt;0,"Entrada",IF(COUNTIF('Config'!$G$6:$G$21,$D643)&gt;0,"Saída","Verificar")))</f>
        <v/>
      </c>
    </row>
    <row r="644" spans="7:7" ht="16.5" customHeight="1">
      <c r="G644" s="47">
        <f>IF($D644="","",IF(COUNTIF('Config'!$E$6:$E$13,$D644)&gt;0,"Entrada",IF(COUNTIF('Config'!$G$6:$G$21,$D644)&gt;0,"Saída","Verificar")))</f>
        <v/>
      </c>
    </row>
    <row r="645" spans="7:7" ht="16.5" customHeight="1">
      <c r="G645" s="47">
        <f>IF($D645="","",IF(COUNTIF('Config'!$E$6:$E$13,$D645)&gt;0,"Entrada",IF(COUNTIF('Config'!$G$6:$G$21,$D645)&gt;0,"Saída","Verificar")))</f>
        <v/>
      </c>
    </row>
    <row r="646" spans="7:7" ht="16.5" customHeight="1">
      <c r="G646" s="47">
        <f>IF($D646="","",IF(COUNTIF('Config'!$E$6:$E$13,$D646)&gt;0,"Entrada",IF(COUNTIF('Config'!$G$6:$G$21,$D646)&gt;0,"Saída","Verificar")))</f>
        <v/>
      </c>
    </row>
    <row r="647" spans="7:7" ht="16.5" customHeight="1">
      <c r="G647" s="47">
        <f>IF($D647="","",IF(COUNTIF('Config'!$E$6:$E$13,$D647)&gt;0,"Entrada",IF(COUNTIF('Config'!$G$6:$G$21,$D647)&gt;0,"Saída","Verificar")))</f>
        <v/>
      </c>
    </row>
    <row r="648" spans="7:7" ht="16.5" customHeight="1">
      <c r="G648" s="47">
        <f>IF($D648="","",IF(COUNTIF('Config'!$E$6:$E$13,$D648)&gt;0,"Entrada",IF(COUNTIF('Config'!$G$6:$G$21,$D648)&gt;0,"Saída","Verificar")))</f>
        <v/>
      </c>
    </row>
    <row r="649" spans="7:7" ht="16.5" customHeight="1">
      <c r="G649" s="47">
        <f>IF($D649="","",IF(COUNTIF('Config'!$E$6:$E$13,$D649)&gt;0,"Entrada",IF(COUNTIF('Config'!$G$6:$G$21,$D649)&gt;0,"Saída","Verificar")))</f>
        <v/>
      </c>
    </row>
    <row r="650" spans="7:7" ht="16.5" customHeight="1">
      <c r="G650" s="47">
        <f>IF($D650="","",IF(COUNTIF('Config'!$E$6:$E$13,$D650)&gt;0,"Entrada",IF(COUNTIF('Config'!$G$6:$G$21,$D650)&gt;0,"Saída","Verificar")))</f>
        <v/>
      </c>
    </row>
    <row r="651" spans="7:7" ht="16.5" customHeight="1">
      <c r="G651" s="47">
        <f>IF($D651="","",IF(COUNTIF('Config'!$E$6:$E$13,$D651)&gt;0,"Entrada",IF(COUNTIF('Config'!$G$6:$G$21,$D651)&gt;0,"Saída","Verificar")))</f>
        <v/>
      </c>
    </row>
    <row r="652" spans="7:7" ht="16.5" customHeight="1">
      <c r="G652" s="47">
        <f>IF($D652="","",IF(COUNTIF('Config'!$E$6:$E$13,$D652)&gt;0,"Entrada",IF(COUNTIF('Config'!$G$6:$G$21,$D652)&gt;0,"Saída","Verificar")))</f>
        <v/>
      </c>
    </row>
    <row r="653" spans="7:7" ht="16.5" customHeight="1">
      <c r="G653" s="47">
        <f>IF($D653="","",IF(COUNTIF('Config'!$E$6:$E$13,$D653)&gt;0,"Entrada",IF(COUNTIF('Config'!$G$6:$G$21,$D653)&gt;0,"Saída","Verificar")))</f>
        <v/>
      </c>
    </row>
    <row r="654" spans="7:7" ht="16.5" customHeight="1">
      <c r="G654" s="47">
        <f>IF($D654="","",IF(COUNTIF('Config'!$E$6:$E$13,$D654)&gt;0,"Entrada",IF(COUNTIF('Config'!$G$6:$G$21,$D654)&gt;0,"Saída","Verificar")))</f>
        <v/>
      </c>
    </row>
    <row r="655" spans="7:7" ht="16.5" customHeight="1">
      <c r="G655" s="47">
        <f>IF($D655="","",IF(COUNTIF('Config'!$E$6:$E$13,$D655)&gt;0,"Entrada",IF(COUNTIF('Config'!$G$6:$G$21,$D655)&gt;0,"Saída","Verificar")))</f>
        <v/>
      </c>
    </row>
    <row r="656" spans="7:7" ht="16.5" customHeight="1">
      <c r="G656" s="47">
        <f>IF($D656="","",IF(COUNTIF('Config'!$E$6:$E$13,$D656)&gt;0,"Entrada",IF(COUNTIF('Config'!$G$6:$G$21,$D656)&gt;0,"Saída","Verificar")))</f>
        <v/>
      </c>
    </row>
    <row r="657" spans="7:7" ht="16.5" customHeight="1">
      <c r="G657" s="47">
        <f>IF($D657="","",IF(COUNTIF('Config'!$E$6:$E$13,$D657)&gt;0,"Entrada",IF(COUNTIF('Config'!$G$6:$G$21,$D657)&gt;0,"Saída","Verificar")))</f>
        <v/>
      </c>
    </row>
    <row r="658" spans="7:7" ht="16.5" customHeight="1">
      <c r="G658" s="47">
        <f>IF($D658="","",IF(COUNTIF('Config'!$E$6:$E$13,$D658)&gt;0,"Entrada",IF(COUNTIF('Config'!$G$6:$G$21,$D658)&gt;0,"Saída","Verificar")))</f>
        <v/>
      </c>
    </row>
    <row r="659" spans="7:7" ht="16.5" customHeight="1">
      <c r="G659" s="47">
        <f>IF($D659="","",IF(COUNTIF('Config'!$E$6:$E$13,$D659)&gt;0,"Entrada",IF(COUNTIF('Config'!$G$6:$G$21,$D659)&gt;0,"Saída","Verificar")))</f>
        <v/>
      </c>
    </row>
    <row r="660" spans="7:7" ht="16.5" customHeight="1">
      <c r="G660" s="47">
        <f>IF($D660="","",IF(COUNTIF('Config'!$E$6:$E$13,$D660)&gt;0,"Entrada",IF(COUNTIF('Config'!$G$6:$G$21,$D660)&gt;0,"Saída","Verificar")))</f>
        <v/>
      </c>
    </row>
    <row r="661" spans="7:7" ht="16.5" customHeight="1">
      <c r="G661" s="47">
        <f>IF($D661="","",IF(COUNTIF('Config'!$E$6:$E$13,$D661)&gt;0,"Entrada",IF(COUNTIF('Config'!$G$6:$G$21,$D661)&gt;0,"Saída","Verificar")))</f>
        <v/>
      </c>
    </row>
    <row r="662" spans="7:7" ht="16.5" customHeight="1">
      <c r="G662" s="47">
        <f>IF($D662="","",IF(COUNTIF('Config'!$E$6:$E$13,$D662)&gt;0,"Entrada",IF(COUNTIF('Config'!$G$6:$G$21,$D662)&gt;0,"Saída","Verificar")))</f>
        <v/>
      </c>
    </row>
    <row r="663" spans="7:7" ht="16.5" customHeight="1">
      <c r="G663" s="47">
        <f>IF($D663="","",IF(COUNTIF('Config'!$E$6:$E$13,$D663)&gt;0,"Entrada",IF(COUNTIF('Config'!$G$6:$G$21,$D663)&gt;0,"Saída","Verificar")))</f>
        <v/>
      </c>
    </row>
    <row r="664" spans="7:7" ht="16.5" customHeight="1">
      <c r="G664" s="47">
        <f>IF($D664="","",IF(COUNTIF('Config'!$E$6:$E$13,$D664)&gt;0,"Entrada",IF(COUNTIF('Config'!$G$6:$G$21,$D664)&gt;0,"Saída","Verificar")))</f>
        <v/>
      </c>
    </row>
    <row r="665" spans="7:7" ht="16.5" customHeight="1">
      <c r="G665" s="47">
        <f>IF($D665="","",IF(COUNTIF('Config'!$E$6:$E$13,$D665)&gt;0,"Entrada",IF(COUNTIF('Config'!$G$6:$G$21,$D665)&gt;0,"Saída","Verificar")))</f>
        <v/>
      </c>
    </row>
    <row r="666" spans="7:7" ht="16.5" customHeight="1">
      <c r="G666" s="47">
        <f>IF($D666="","",IF(COUNTIF('Config'!$E$6:$E$13,$D666)&gt;0,"Entrada",IF(COUNTIF('Config'!$G$6:$G$21,$D666)&gt;0,"Saída","Verificar")))</f>
        <v/>
      </c>
    </row>
    <row r="667" spans="7:7" ht="16.5" customHeight="1">
      <c r="G667" s="47">
        <f>IF($D667="","",IF(COUNTIF('Config'!$E$6:$E$13,$D667)&gt;0,"Entrada",IF(COUNTIF('Config'!$G$6:$G$21,$D667)&gt;0,"Saída","Verificar")))</f>
        <v/>
      </c>
    </row>
    <row r="668" spans="7:7" ht="16.5" customHeight="1">
      <c r="G668" s="47">
        <f>IF($D668="","",IF(COUNTIF('Config'!$E$6:$E$13,$D668)&gt;0,"Entrada",IF(COUNTIF('Config'!$G$6:$G$21,$D668)&gt;0,"Saída","Verificar")))</f>
        <v/>
      </c>
    </row>
    <row r="669" spans="7:7" ht="16.5" customHeight="1">
      <c r="G669" s="47">
        <f>IF($D669="","",IF(COUNTIF('Config'!$E$6:$E$13,$D669)&gt;0,"Entrada",IF(COUNTIF('Config'!$G$6:$G$21,$D669)&gt;0,"Saída","Verificar")))</f>
        <v/>
      </c>
    </row>
    <row r="670" spans="7:7" ht="16.5" customHeight="1">
      <c r="G670" s="47">
        <f>IF($D670="","",IF(COUNTIF('Config'!$E$6:$E$13,$D670)&gt;0,"Entrada",IF(COUNTIF('Config'!$G$6:$G$21,$D670)&gt;0,"Saída","Verificar")))</f>
        <v/>
      </c>
    </row>
    <row r="671" spans="7:7" ht="16.5" customHeight="1">
      <c r="G671" s="47">
        <f>IF($D671="","",IF(COUNTIF('Config'!$E$6:$E$13,$D671)&gt;0,"Entrada",IF(COUNTIF('Config'!$G$6:$G$21,$D671)&gt;0,"Saída","Verificar")))</f>
        <v/>
      </c>
    </row>
    <row r="672" spans="7:7" ht="16.5" customHeight="1">
      <c r="G672" s="47">
        <f>IF($D672="","",IF(COUNTIF('Config'!$E$6:$E$13,$D672)&gt;0,"Entrada",IF(COUNTIF('Config'!$G$6:$G$21,$D672)&gt;0,"Saída","Verificar")))</f>
        <v/>
      </c>
    </row>
    <row r="673" spans="7:7" ht="16.5" customHeight="1">
      <c r="G673" s="47">
        <f>IF($D673="","",IF(COUNTIF('Config'!$E$6:$E$13,$D673)&gt;0,"Entrada",IF(COUNTIF('Config'!$G$6:$G$21,$D673)&gt;0,"Saída","Verificar")))</f>
        <v/>
      </c>
    </row>
    <row r="674" spans="7:7" ht="16.5" customHeight="1">
      <c r="G674" s="47">
        <f>IF($D674="","",IF(COUNTIF('Config'!$E$6:$E$13,$D674)&gt;0,"Entrada",IF(COUNTIF('Config'!$G$6:$G$21,$D674)&gt;0,"Saída","Verificar")))</f>
        <v/>
      </c>
    </row>
    <row r="675" spans="7:7" ht="16.5" customHeight="1">
      <c r="G675" s="47">
        <f>IF($D675="","",IF(COUNTIF('Config'!$E$6:$E$13,$D675)&gt;0,"Entrada",IF(COUNTIF('Config'!$G$6:$G$21,$D675)&gt;0,"Saída","Verificar")))</f>
        <v/>
      </c>
    </row>
    <row r="676" spans="7:7" ht="16.5" customHeight="1">
      <c r="G676" s="47">
        <f>IF($D676="","",IF(COUNTIF('Config'!$E$6:$E$13,$D676)&gt;0,"Entrada",IF(COUNTIF('Config'!$G$6:$G$21,$D676)&gt;0,"Saída","Verificar")))</f>
        <v/>
      </c>
    </row>
    <row r="677" spans="7:7" ht="16.5" customHeight="1">
      <c r="G677" s="47">
        <f>IF($D677="","",IF(COUNTIF('Config'!$E$6:$E$13,$D677)&gt;0,"Entrada",IF(COUNTIF('Config'!$G$6:$G$21,$D677)&gt;0,"Saída","Verificar")))</f>
        <v/>
      </c>
    </row>
    <row r="678" spans="7:7" ht="16.5" customHeight="1">
      <c r="G678" s="47">
        <f>IF($D678="","",IF(COUNTIF('Config'!$E$6:$E$13,$D678)&gt;0,"Entrada",IF(COUNTIF('Config'!$G$6:$G$21,$D678)&gt;0,"Saída","Verificar")))</f>
        <v/>
      </c>
    </row>
    <row r="679" spans="7:7" ht="16.5" customHeight="1">
      <c r="G679" s="47">
        <f>IF($D679="","",IF(COUNTIF('Config'!$E$6:$E$13,$D679)&gt;0,"Entrada",IF(COUNTIF('Config'!$G$6:$G$21,$D679)&gt;0,"Saída","Verificar")))</f>
        <v/>
      </c>
    </row>
    <row r="680" spans="7:7" ht="16.5" customHeight="1">
      <c r="G680" s="47">
        <f>IF($D680="","",IF(COUNTIF('Config'!$E$6:$E$13,$D680)&gt;0,"Entrada",IF(COUNTIF('Config'!$G$6:$G$21,$D680)&gt;0,"Saída","Verificar")))</f>
        <v/>
      </c>
    </row>
    <row r="681" spans="7:7" ht="16.5" customHeight="1">
      <c r="G681" s="47">
        <f>IF($D681="","",IF(COUNTIF('Config'!$E$6:$E$13,$D681)&gt;0,"Entrada",IF(COUNTIF('Config'!$G$6:$G$21,$D681)&gt;0,"Saída","Verificar")))</f>
        <v/>
      </c>
    </row>
    <row r="682" spans="7:7" ht="16.5" customHeight="1">
      <c r="G682" s="47">
        <f>IF($D682="","",IF(COUNTIF('Config'!$E$6:$E$13,$D682)&gt;0,"Entrada",IF(COUNTIF('Config'!$G$6:$G$21,$D682)&gt;0,"Saída","Verificar")))</f>
        <v/>
      </c>
    </row>
    <row r="683" spans="7:7" ht="16.5" customHeight="1">
      <c r="G683" s="47">
        <f>IF($D683="","",IF(COUNTIF('Config'!$E$6:$E$13,$D683)&gt;0,"Entrada",IF(COUNTIF('Config'!$G$6:$G$21,$D683)&gt;0,"Saída","Verificar")))</f>
        <v/>
      </c>
    </row>
    <row r="684" spans="7:7" ht="16.5" customHeight="1">
      <c r="G684" s="47">
        <f>IF($D684="","",IF(COUNTIF('Config'!$E$6:$E$13,$D684)&gt;0,"Entrada",IF(COUNTIF('Config'!$G$6:$G$21,$D684)&gt;0,"Saída","Verificar")))</f>
        <v/>
      </c>
    </row>
    <row r="685" spans="7:7" ht="16.5" customHeight="1">
      <c r="G685" s="47">
        <f>IF($D685="","",IF(COUNTIF('Config'!$E$6:$E$13,$D685)&gt;0,"Entrada",IF(COUNTIF('Config'!$G$6:$G$21,$D685)&gt;0,"Saída","Verificar")))</f>
        <v/>
      </c>
    </row>
    <row r="686" spans="7:7" ht="16.5" customHeight="1">
      <c r="G686" s="47">
        <f>IF($D686="","",IF(COUNTIF('Config'!$E$6:$E$13,$D686)&gt;0,"Entrada",IF(COUNTIF('Config'!$G$6:$G$21,$D686)&gt;0,"Saída","Verificar")))</f>
        <v/>
      </c>
    </row>
    <row r="687" spans="7:7" ht="16.5" customHeight="1">
      <c r="G687" s="47">
        <f>IF($D687="","",IF(COUNTIF('Config'!$E$6:$E$13,$D687)&gt;0,"Entrada",IF(COUNTIF('Config'!$G$6:$G$21,$D687)&gt;0,"Saída","Verificar")))</f>
        <v/>
      </c>
    </row>
    <row r="688" spans="7:7" ht="16.5" customHeight="1">
      <c r="G688" s="47">
        <f>IF($D688="","",IF(COUNTIF('Config'!$E$6:$E$13,$D688)&gt;0,"Entrada",IF(COUNTIF('Config'!$G$6:$G$21,$D688)&gt;0,"Saída","Verificar")))</f>
        <v/>
      </c>
    </row>
    <row r="689" spans="7:7" ht="16.5" customHeight="1">
      <c r="G689" s="47">
        <f>IF($D689="","",IF(COUNTIF('Config'!$E$6:$E$13,$D689)&gt;0,"Entrada",IF(COUNTIF('Config'!$G$6:$G$21,$D689)&gt;0,"Saída","Verificar")))</f>
        <v/>
      </c>
    </row>
    <row r="690" spans="7:7" ht="16.5" customHeight="1">
      <c r="G690" s="47">
        <f>IF($D690="","",IF(COUNTIF('Config'!$E$6:$E$13,$D690)&gt;0,"Entrada",IF(COUNTIF('Config'!$G$6:$G$21,$D690)&gt;0,"Saída","Verificar")))</f>
        <v/>
      </c>
    </row>
    <row r="691" spans="7:7" ht="16.5" customHeight="1">
      <c r="G691" s="47">
        <f>IF($D691="","",IF(COUNTIF('Config'!$E$6:$E$13,$D691)&gt;0,"Entrada",IF(COUNTIF('Config'!$G$6:$G$21,$D691)&gt;0,"Saída","Verificar")))</f>
        <v/>
      </c>
    </row>
    <row r="692" spans="7:7" ht="16.5" customHeight="1">
      <c r="G692" s="47">
        <f>IF($D692="","",IF(COUNTIF('Config'!$E$6:$E$13,$D692)&gt;0,"Entrada",IF(COUNTIF('Config'!$G$6:$G$21,$D692)&gt;0,"Saída","Verificar")))</f>
        <v/>
      </c>
    </row>
    <row r="693" spans="7:7" ht="16.5" customHeight="1">
      <c r="G693" s="47">
        <f>IF($D693="","",IF(COUNTIF('Config'!$E$6:$E$13,$D693)&gt;0,"Entrada",IF(COUNTIF('Config'!$G$6:$G$21,$D693)&gt;0,"Saída","Verificar")))</f>
        <v/>
      </c>
    </row>
    <row r="694" spans="7:7" ht="16.5" customHeight="1">
      <c r="G694" s="47">
        <f>IF($D694="","",IF(COUNTIF('Config'!$E$6:$E$13,$D694)&gt;0,"Entrada",IF(COUNTIF('Config'!$G$6:$G$21,$D694)&gt;0,"Saída","Verificar")))</f>
        <v/>
      </c>
    </row>
    <row r="695" spans="7:7" ht="16.5" customHeight="1">
      <c r="G695" s="47">
        <f>IF($D695="","",IF(COUNTIF('Config'!$E$6:$E$13,$D695)&gt;0,"Entrada",IF(COUNTIF('Config'!$G$6:$G$21,$D695)&gt;0,"Saída","Verificar")))</f>
        <v/>
      </c>
    </row>
    <row r="696" spans="7:7" ht="16.5" customHeight="1">
      <c r="G696" s="47">
        <f>IF($D696="","",IF(COUNTIF('Config'!$E$6:$E$13,$D696)&gt;0,"Entrada",IF(COUNTIF('Config'!$G$6:$G$21,$D696)&gt;0,"Saída","Verificar")))</f>
        <v/>
      </c>
    </row>
    <row r="697" spans="7:7" ht="16.5" customHeight="1">
      <c r="G697" s="47">
        <f>IF($D697="","",IF(COUNTIF('Config'!$E$6:$E$13,$D697)&gt;0,"Entrada",IF(COUNTIF('Config'!$G$6:$G$21,$D697)&gt;0,"Saída","Verificar")))</f>
        <v/>
      </c>
    </row>
    <row r="698" spans="7:7" ht="16.5" customHeight="1">
      <c r="G698" s="47">
        <f>IF($D698="","",IF(COUNTIF('Config'!$E$6:$E$13,$D698)&gt;0,"Entrada",IF(COUNTIF('Config'!$G$6:$G$21,$D698)&gt;0,"Saída","Verificar")))</f>
        <v/>
      </c>
    </row>
    <row r="699" spans="7:7" ht="16.5" customHeight="1">
      <c r="G699" s="47">
        <f>IF($D699="","",IF(COUNTIF('Config'!$E$6:$E$13,$D699)&gt;0,"Entrada",IF(COUNTIF('Config'!$G$6:$G$21,$D699)&gt;0,"Saída","Verificar")))</f>
        <v/>
      </c>
    </row>
    <row r="700" spans="7:7" ht="16.5" customHeight="1">
      <c r="G700" s="47">
        <f>IF($D700="","",IF(COUNTIF('Config'!$E$6:$E$13,$D700)&gt;0,"Entrada",IF(COUNTIF('Config'!$G$6:$G$21,$D700)&gt;0,"Saída","Verificar")))</f>
        <v/>
      </c>
    </row>
    <row r="701" spans="7:7" ht="16.5" customHeight="1">
      <c r="G701" s="47">
        <f>IF($D701="","",IF(COUNTIF('Config'!$E$6:$E$13,$D701)&gt;0,"Entrada",IF(COUNTIF('Config'!$G$6:$G$21,$D701)&gt;0,"Saída","Verificar")))</f>
        <v/>
      </c>
    </row>
    <row r="702" spans="7:7" ht="16.5" customHeight="1">
      <c r="G702" s="47">
        <f>IF($D702="","",IF(COUNTIF('Config'!$E$6:$E$13,$D702)&gt;0,"Entrada",IF(COUNTIF('Config'!$G$6:$G$21,$D702)&gt;0,"Saída","Verificar")))</f>
        <v/>
      </c>
    </row>
    <row r="703" spans="7:7" ht="16.5" customHeight="1">
      <c r="G703" s="47">
        <f>IF($D703="","",IF(COUNTIF('Config'!$E$6:$E$13,$D703)&gt;0,"Entrada",IF(COUNTIF('Config'!$G$6:$G$21,$D703)&gt;0,"Saída","Verificar")))</f>
        <v/>
      </c>
    </row>
    <row r="704" spans="7:7" ht="16.5" customHeight="1">
      <c r="G704" s="47">
        <f>IF($D704="","",IF(COUNTIF('Config'!$E$6:$E$13,$D704)&gt;0,"Entrada",IF(COUNTIF('Config'!$G$6:$G$21,$D704)&gt;0,"Saída","Verificar")))</f>
        <v/>
      </c>
    </row>
    <row r="705" spans="7:7" ht="16.5" customHeight="1">
      <c r="G705" s="47">
        <f>IF($D705="","",IF(COUNTIF('Config'!$E$6:$E$13,$D705)&gt;0,"Entrada",IF(COUNTIF('Config'!$G$6:$G$21,$D705)&gt;0,"Saída","Verificar")))</f>
        <v/>
      </c>
    </row>
    <row r="706" spans="7:7" ht="16.5" customHeight="1">
      <c r="G706" s="47">
        <f>IF($D706="","",IF(COUNTIF('Config'!$E$6:$E$13,$D706)&gt;0,"Entrada",IF(COUNTIF('Config'!$G$6:$G$21,$D706)&gt;0,"Saída","Verificar")))</f>
        <v/>
      </c>
    </row>
    <row r="707" spans="7:7" ht="16.5" customHeight="1">
      <c r="G707" s="47">
        <f>IF($D707="","",IF(COUNTIF('Config'!$E$6:$E$13,$D707)&gt;0,"Entrada",IF(COUNTIF('Config'!$G$6:$G$21,$D707)&gt;0,"Saída","Verificar")))</f>
        <v/>
      </c>
    </row>
    <row r="708" spans="7:7" ht="16.5" customHeight="1">
      <c r="G708" s="47">
        <f>IF($D708="","",IF(COUNTIF('Config'!$E$6:$E$13,$D708)&gt;0,"Entrada",IF(COUNTIF('Config'!$G$6:$G$21,$D708)&gt;0,"Saída","Verificar")))</f>
        <v/>
      </c>
    </row>
    <row r="709" spans="7:7" ht="16.5" customHeight="1">
      <c r="G709" s="47">
        <f>IF($D709="","",IF(COUNTIF('Config'!$E$6:$E$13,$D709)&gt;0,"Entrada",IF(COUNTIF('Config'!$G$6:$G$21,$D709)&gt;0,"Saída","Verificar")))</f>
        <v/>
      </c>
    </row>
    <row r="710" spans="7:7" ht="16.5" customHeight="1">
      <c r="G710" s="47">
        <f>IF($D710="","",IF(COUNTIF('Config'!$E$6:$E$13,$D710)&gt;0,"Entrada",IF(COUNTIF('Config'!$G$6:$G$21,$D710)&gt;0,"Saída","Verificar")))</f>
        <v/>
      </c>
    </row>
    <row r="711" spans="7:7" ht="16.5" customHeight="1">
      <c r="G711" s="47">
        <f>IF($D711="","",IF(COUNTIF('Config'!$E$6:$E$13,$D711)&gt;0,"Entrada",IF(COUNTIF('Config'!$G$6:$G$21,$D711)&gt;0,"Saída","Verificar")))</f>
        <v/>
      </c>
    </row>
    <row r="712" spans="7:7" ht="16.5" customHeight="1">
      <c r="G712" s="47">
        <f>IF($D712="","",IF(COUNTIF('Config'!$E$6:$E$13,$D712)&gt;0,"Entrada",IF(COUNTIF('Config'!$G$6:$G$21,$D712)&gt;0,"Saída","Verificar")))</f>
        <v/>
      </c>
    </row>
    <row r="713" spans="7:7" ht="16.5" customHeight="1">
      <c r="G713" s="47">
        <f>IF($D713="","",IF(COUNTIF('Config'!$E$6:$E$13,$D713)&gt;0,"Entrada",IF(COUNTIF('Config'!$G$6:$G$21,$D713)&gt;0,"Saída","Verificar")))</f>
        <v/>
      </c>
    </row>
    <row r="714" spans="7:7" ht="16.5" customHeight="1">
      <c r="G714" s="47">
        <f>IF($D714="","",IF(COUNTIF('Config'!$E$6:$E$13,$D714)&gt;0,"Entrada",IF(COUNTIF('Config'!$G$6:$G$21,$D714)&gt;0,"Saída","Verificar")))</f>
        <v/>
      </c>
    </row>
    <row r="715" spans="7:7" ht="16.5" customHeight="1">
      <c r="G715" s="47">
        <f>IF($D715="","",IF(COUNTIF('Config'!$E$6:$E$13,$D715)&gt;0,"Entrada",IF(COUNTIF('Config'!$G$6:$G$21,$D715)&gt;0,"Saída","Verificar")))</f>
        <v/>
      </c>
    </row>
    <row r="716" spans="7:7" ht="16.5" customHeight="1">
      <c r="G716" s="47">
        <f>IF($D716="","",IF(COUNTIF('Config'!$E$6:$E$13,$D716)&gt;0,"Entrada",IF(COUNTIF('Config'!$G$6:$G$21,$D716)&gt;0,"Saída","Verificar")))</f>
        <v/>
      </c>
    </row>
    <row r="717" spans="7:7" ht="16.5" customHeight="1">
      <c r="G717" s="47">
        <f>IF($D717="","",IF(COUNTIF('Config'!$E$6:$E$13,$D717)&gt;0,"Entrada",IF(COUNTIF('Config'!$G$6:$G$21,$D717)&gt;0,"Saída","Verificar")))</f>
        <v/>
      </c>
    </row>
    <row r="718" spans="7:7" ht="16.5" customHeight="1">
      <c r="G718" s="47">
        <f>IF($D718="","",IF(COUNTIF('Config'!$E$6:$E$13,$D718)&gt;0,"Entrada",IF(COUNTIF('Config'!$G$6:$G$21,$D718)&gt;0,"Saída","Verificar")))</f>
        <v/>
      </c>
    </row>
    <row r="719" spans="7:7" ht="16.5" customHeight="1">
      <c r="G719" s="47">
        <f>IF($D719="","",IF(COUNTIF('Config'!$E$6:$E$13,$D719)&gt;0,"Entrada",IF(COUNTIF('Config'!$G$6:$G$21,$D719)&gt;0,"Saída","Verificar")))</f>
        <v/>
      </c>
    </row>
    <row r="720" spans="7:7" ht="16.5" customHeight="1">
      <c r="G720" s="47">
        <f>IF($D720="","",IF(COUNTIF('Config'!$E$6:$E$13,$D720)&gt;0,"Entrada",IF(COUNTIF('Config'!$G$6:$G$21,$D720)&gt;0,"Saída","Verificar")))</f>
        <v/>
      </c>
    </row>
    <row r="721" spans="7:7" ht="16.5" customHeight="1">
      <c r="G721" s="47">
        <f>IF($D721="","",IF(COUNTIF('Config'!$E$6:$E$13,$D721)&gt;0,"Entrada",IF(COUNTIF('Config'!$G$6:$G$21,$D721)&gt;0,"Saída","Verificar")))</f>
        <v/>
      </c>
    </row>
    <row r="722" spans="7:7" ht="16.5" customHeight="1">
      <c r="G722" s="47">
        <f>IF($D722="","",IF(COUNTIF('Config'!$E$6:$E$13,$D722)&gt;0,"Entrada",IF(COUNTIF('Config'!$G$6:$G$21,$D722)&gt;0,"Saída","Verificar")))</f>
        <v/>
      </c>
    </row>
    <row r="723" spans="7:7" ht="16.5" customHeight="1">
      <c r="G723" s="47">
        <f>IF($D723="","",IF(COUNTIF('Config'!$E$6:$E$13,$D723)&gt;0,"Entrada",IF(COUNTIF('Config'!$G$6:$G$21,$D723)&gt;0,"Saída","Verificar")))</f>
        <v/>
      </c>
    </row>
    <row r="724" spans="7:7" ht="16.5" customHeight="1">
      <c r="G724" s="47">
        <f>IF($D724="","",IF(COUNTIF('Config'!$E$6:$E$13,$D724)&gt;0,"Entrada",IF(COUNTIF('Config'!$G$6:$G$21,$D724)&gt;0,"Saída","Verificar")))</f>
        <v/>
      </c>
    </row>
    <row r="725" spans="7:7" ht="16.5" customHeight="1">
      <c r="G725" s="47">
        <f>IF($D725="","",IF(COUNTIF('Config'!$E$6:$E$13,$D725)&gt;0,"Entrada",IF(COUNTIF('Config'!$G$6:$G$21,$D725)&gt;0,"Saída","Verificar")))</f>
        <v/>
      </c>
    </row>
    <row r="726" spans="7:7" ht="16.5" customHeight="1">
      <c r="G726" s="47">
        <f>IF($D726="","",IF(COUNTIF('Config'!$E$6:$E$13,$D726)&gt;0,"Entrada",IF(COUNTIF('Config'!$G$6:$G$21,$D726)&gt;0,"Saída","Verificar")))</f>
        <v/>
      </c>
    </row>
    <row r="727" spans="7:7" ht="16.5" customHeight="1">
      <c r="G727" s="47">
        <f>IF($D727="","",IF(COUNTIF('Config'!$E$6:$E$13,$D727)&gt;0,"Entrada",IF(COUNTIF('Config'!$G$6:$G$21,$D727)&gt;0,"Saída","Verificar")))</f>
        <v/>
      </c>
    </row>
    <row r="728" spans="7:7" ht="16.5" customHeight="1">
      <c r="G728" s="47">
        <f>IF($D728="","",IF(COUNTIF('Config'!$E$6:$E$13,$D728)&gt;0,"Entrada",IF(COUNTIF('Config'!$G$6:$G$21,$D728)&gt;0,"Saída","Verificar")))</f>
        <v/>
      </c>
    </row>
    <row r="729" spans="7:7" ht="16.5" customHeight="1">
      <c r="G729" s="47">
        <f>IF($D729="","",IF(COUNTIF('Config'!$E$6:$E$13,$D729)&gt;0,"Entrada",IF(COUNTIF('Config'!$G$6:$G$21,$D729)&gt;0,"Saída","Verificar")))</f>
        <v/>
      </c>
    </row>
    <row r="730" spans="7:7" ht="16.5" customHeight="1">
      <c r="G730" s="47">
        <f>IF($D730="","",IF(COUNTIF('Config'!$E$6:$E$13,$D730)&gt;0,"Entrada",IF(COUNTIF('Config'!$G$6:$G$21,$D730)&gt;0,"Saída","Verificar")))</f>
        <v/>
      </c>
    </row>
    <row r="731" spans="7:7" ht="16.5" customHeight="1">
      <c r="G731" s="47">
        <f>IF($D731="","",IF(COUNTIF('Config'!$E$6:$E$13,$D731)&gt;0,"Entrada",IF(COUNTIF('Config'!$G$6:$G$21,$D731)&gt;0,"Saída","Verificar")))</f>
        <v/>
      </c>
    </row>
    <row r="732" spans="7:7" ht="16.5" customHeight="1">
      <c r="G732" s="47">
        <f>IF($D732="","",IF(COUNTIF('Config'!$E$6:$E$13,$D732)&gt;0,"Entrada",IF(COUNTIF('Config'!$G$6:$G$21,$D732)&gt;0,"Saída","Verificar")))</f>
        <v/>
      </c>
    </row>
    <row r="733" spans="7:7" ht="16.5" customHeight="1">
      <c r="G733" s="47">
        <f>IF($D733="","",IF(COUNTIF('Config'!$E$6:$E$13,$D733)&gt;0,"Entrada",IF(COUNTIF('Config'!$G$6:$G$21,$D733)&gt;0,"Saída","Verificar")))</f>
        <v/>
      </c>
    </row>
    <row r="734" spans="7:7" ht="16.5" customHeight="1">
      <c r="G734" s="47">
        <f>IF($D734="","",IF(COUNTIF('Config'!$E$6:$E$13,$D734)&gt;0,"Entrada",IF(COUNTIF('Config'!$G$6:$G$21,$D734)&gt;0,"Saída","Verificar")))</f>
        <v/>
      </c>
    </row>
    <row r="735" spans="7:7" ht="16.5" customHeight="1">
      <c r="G735" s="47">
        <f>IF($D735="","",IF(COUNTIF('Config'!$E$6:$E$13,$D735)&gt;0,"Entrada",IF(COUNTIF('Config'!$G$6:$G$21,$D735)&gt;0,"Saída","Verificar")))</f>
        <v/>
      </c>
    </row>
    <row r="736" spans="7:7" ht="16.5" customHeight="1">
      <c r="G736" s="47">
        <f>IF($D736="","",IF(COUNTIF('Config'!$E$6:$E$13,$D736)&gt;0,"Entrada",IF(COUNTIF('Config'!$G$6:$G$21,$D736)&gt;0,"Saída","Verificar")))</f>
        <v/>
      </c>
    </row>
    <row r="737" spans="7:7" ht="16.5" customHeight="1">
      <c r="G737" s="47">
        <f>IF($D737="","",IF(COUNTIF('Config'!$E$6:$E$13,$D737)&gt;0,"Entrada",IF(COUNTIF('Config'!$G$6:$G$21,$D737)&gt;0,"Saída","Verificar")))</f>
        <v/>
      </c>
    </row>
    <row r="738" spans="7:7" ht="16.5" customHeight="1">
      <c r="G738" s="47">
        <f>IF($D738="","",IF(COUNTIF('Config'!$E$6:$E$13,$D738)&gt;0,"Entrada",IF(COUNTIF('Config'!$G$6:$G$21,$D738)&gt;0,"Saída","Verificar")))</f>
        <v/>
      </c>
    </row>
    <row r="739" spans="7:7" ht="16.5" customHeight="1">
      <c r="G739" s="47">
        <f>IF($D739="","",IF(COUNTIF('Config'!$E$6:$E$13,$D739)&gt;0,"Entrada",IF(COUNTIF('Config'!$G$6:$G$21,$D739)&gt;0,"Saída","Verificar")))</f>
        <v/>
      </c>
    </row>
    <row r="740" spans="7:7" ht="16.5" customHeight="1">
      <c r="G740" s="47">
        <f>IF($D740="","",IF(COUNTIF('Config'!$E$6:$E$13,$D740)&gt;0,"Entrada",IF(COUNTIF('Config'!$G$6:$G$21,$D740)&gt;0,"Saída","Verificar")))</f>
        <v/>
      </c>
    </row>
    <row r="741" spans="7:7" ht="16.5" customHeight="1">
      <c r="G741" s="47">
        <f>IF($D741="","",IF(COUNTIF('Config'!$E$6:$E$13,$D741)&gt;0,"Entrada",IF(COUNTIF('Config'!$G$6:$G$21,$D741)&gt;0,"Saída","Verificar")))</f>
        <v/>
      </c>
    </row>
    <row r="742" spans="7:7" ht="16.5" customHeight="1">
      <c r="G742" s="47">
        <f>IF($D742="","",IF(COUNTIF('Config'!$E$6:$E$13,$D742)&gt;0,"Entrada",IF(COUNTIF('Config'!$G$6:$G$21,$D742)&gt;0,"Saída","Verificar")))</f>
        <v/>
      </c>
    </row>
    <row r="743" spans="7:7" ht="16.5" customHeight="1">
      <c r="G743" s="47">
        <f>IF($D743="","",IF(COUNTIF('Config'!$E$6:$E$13,$D743)&gt;0,"Entrada",IF(COUNTIF('Config'!$G$6:$G$21,$D743)&gt;0,"Saída","Verificar")))</f>
        <v/>
      </c>
    </row>
    <row r="744" spans="7:7" ht="16.5" customHeight="1">
      <c r="G744" s="47">
        <f>IF($D744="","",IF(COUNTIF('Config'!$E$6:$E$13,$D744)&gt;0,"Entrada",IF(COUNTIF('Config'!$G$6:$G$21,$D744)&gt;0,"Saída","Verificar")))</f>
        <v/>
      </c>
    </row>
    <row r="745" spans="7:7" ht="16.5" customHeight="1">
      <c r="G745" s="47">
        <f>IF($D745="","",IF(COUNTIF('Config'!$E$6:$E$13,$D745)&gt;0,"Entrada",IF(COUNTIF('Config'!$G$6:$G$21,$D745)&gt;0,"Saída","Verificar")))</f>
        <v/>
      </c>
    </row>
    <row r="746" spans="7:7" ht="16.5" customHeight="1">
      <c r="G746" s="47">
        <f>IF($D746="","",IF(COUNTIF('Config'!$E$6:$E$13,$D746)&gt;0,"Entrada",IF(COUNTIF('Config'!$G$6:$G$21,$D746)&gt;0,"Saída","Verificar")))</f>
        <v/>
      </c>
    </row>
    <row r="747" spans="7:7" ht="16.5" customHeight="1">
      <c r="G747" s="47">
        <f>IF($D747="","",IF(COUNTIF('Config'!$E$6:$E$13,$D747)&gt;0,"Entrada",IF(COUNTIF('Config'!$G$6:$G$21,$D747)&gt;0,"Saída","Verificar")))</f>
        <v/>
      </c>
    </row>
    <row r="748" spans="7:7" ht="16.5" customHeight="1">
      <c r="G748" s="47">
        <f>IF($D748="","",IF(COUNTIF('Config'!$E$6:$E$13,$D748)&gt;0,"Entrada",IF(COUNTIF('Config'!$G$6:$G$21,$D748)&gt;0,"Saída","Verificar")))</f>
        <v/>
      </c>
    </row>
    <row r="749" spans="7:7" ht="16.5" customHeight="1">
      <c r="G749" s="47">
        <f>IF($D749="","",IF(COUNTIF('Config'!$E$6:$E$13,$D749)&gt;0,"Entrada",IF(COUNTIF('Config'!$G$6:$G$21,$D749)&gt;0,"Saída","Verificar")))</f>
        <v/>
      </c>
    </row>
    <row r="750" spans="7:7" ht="16.5" customHeight="1">
      <c r="G750" s="47">
        <f>IF($D750="","",IF(COUNTIF('Config'!$E$6:$E$13,$D750)&gt;0,"Entrada",IF(COUNTIF('Config'!$G$6:$G$21,$D750)&gt;0,"Saída","Verificar")))</f>
        <v/>
      </c>
    </row>
    <row r="751" spans="7:7" ht="16.5" customHeight="1">
      <c r="G751" s="47">
        <f>IF($D751="","",IF(COUNTIF('Config'!$E$6:$E$13,$D751)&gt;0,"Entrada",IF(COUNTIF('Config'!$G$6:$G$21,$D751)&gt;0,"Saída","Verificar")))</f>
        <v/>
      </c>
    </row>
    <row r="752" spans="7:7" ht="16.5" customHeight="1">
      <c r="G752" s="47">
        <f>IF($D752="","",IF(COUNTIF('Config'!$E$6:$E$13,$D752)&gt;0,"Entrada",IF(COUNTIF('Config'!$G$6:$G$21,$D752)&gt;0,"Saída","Verificar")))</f>
        <v/>
      </c>
    </row>
    <row r="753" spans="7:7" ht="16.5" customHeight="1">
      <c r="G753" s="47">
        <f>IF($D753="","",IF(COUNTIF('Config'!$E$6:$E$13,$D753)&gt;0,"Entrada",IF(COUNTIF('Config'!$G$6:$G$21,$D753)&gt;0,"Saída","Verificar")))</f>
        <v/>
      </c>
    </row>
    <row r="754" spans="7:7" ht="16.5" customHeight="1">
      <c r="G754" s="47">
        <f>IF($D754="","",IF(COUNTIF('Config'!$E$6:$E$13,$D754)&gt;0,"Entrada",IF(COUNTIF('Config'!$G$6:$G$21,$D754)&gt;0,"Saída","Verificar")))</f>
        <v/>
      </c>
    </row>
    <row r="755" spans="7:7" ht="16.5" customHeight="1">
      <c r="G755" s="47">
        <f>IF($D755="","",IF(COUNTIF('Config'!$E$6:$E$13,$D755)&gt;0,"Entrada",IF(COUNTIF('Config'!$G$6:$G$21,$D755)&gt;0,"Saída","Verificar")))</f>
        <v/>
      </c>
    </row>
    <row r="756" spans="7:7" ht="16.5" customHeight="1">
      <c r="G756" s="47">
        <f>IF($D756="","",IF(COUNTIF('Config'!$E$6:$E$13,$D756)&gt;0,"Entrada",IF(COUNTIF('Config'!$G$6:$G$21,$D756)&gt;0,"Saída","Verificar")))</f>
        <v/>
      </c>
    </row>
    <row r="757" spans="7:7" ht="16.5" customHeight="1">
      <c r="G757" s="47">
        <f>IF($D757="","",IF(COUNTIF('Config'!$E$6:$E$13,$D757)&gt;0,"Entrada",IF(COUNTIF('Config'!$G$6:$G$21,$D757)&gt;0,"Saída","Verificar")))</f>
        <v/>
      </c>
    </row>
    <row r="758" spans="7:7" ht="16.5" customHeight="1">
      <c r="G758" s="47">
        <f>IF($D758="","",IF(COUNTIF('Config'!$E$6:$E$13,$D758)&gt;0,"Entrada",IF(COUNTIF('Config'!$G$6:$G$21,$D758)&gt;0,"Saída","Verificar")))</f>
        <v/>
      </c>
    </row>
    <row r="759" spans="7:7" ht="16.5" customHeight="1">
      <c r="G759" s="47">
        <f>IF($D759="","",IF(COUNTIF('Config'!$E$6:$E$13,$D759)&gt;0,"Entrada",IF(COUNTIF('Config'!$G$6:$G$21,$D759)&gt;0,"Saída","Verificar")))</f>
        <v/>
      </c>
    </row>
    <row r="760" spans="7:7" ht="16.5" customHeight="1">
      <c r="G760" s="47">
        <f>IF($D760="","",IF(COUNTIF('Config'!$E$6:$E$13,$D760)&gt;0,"Entrada",IF(COUNTIF('Config'!$G$6:$G$21,$D760)&gt;0,"Saída","Verificar")))</f>
        <v/>
      </c>
    </row>
    <row r="761" spans="7:7" ht="16.5" customHeight="1">
      <c r="G761" s="47">
        <f>IF($D761="","",IF(COUNTIF('Config'!$E$6:$E$13,$D761)&gt;0,"Entrada",IF(COUNTIF('Config'!$G$6:$G$21,$D761)&gt;0,"Saída","Verificar")))</f>
        <v/>
      </c>
    </row>
    <row r="762" spans="7:7" ht="16.5" customHeight="1">
      <c r="G762" s="47">
        <f>IF($D762="","",IF(COUNTIF('Config'!$E$6:$E$13,$D762)&gt;0,"Entrada",IF(COUNTIF('Config'!$G$6:$G$21,$D762)&gt;0,"Saída","Verificar")))</f>
        <v/>
      </c>
    </row>
    <row r="763" spans="7:7" ht="16.5" customHeight="1">
      <c r="G763" s="47">
        <f>IF($D763="","",IF(COUNTIF('Config'!$E$6:$E$13,$D763)&gt;0,"Entrada",IF(COUNTIF('Config'!$G$6:$G$21,$D763)&gt;0,"Saída","Verificar")))</f>
        <v/>
      </c>
    </row>
    <row r="764" spans="7:7" ht="16.5" customHeight="1">
      <c r="G764" s="47">
        <f>IF($D764="","",IF(COUNTIF('Config'!$E$6:$E$13,$D764)&gt;0,"Entrada",IF(COUNTIF('Config'!$G$6:$G$21,$D764)&gt;0,"Saída","Verificar")))</f>
        <v/>
      </c>
    </row>
    <row r="765" spans="7:7" ht="16.5" customHeight="1">
      <c r="G765" s="47">
        <f>IF($D765="","",IF(COUNTIF('Config'!$E$6:$E$13,$D765)&gt;0,"Entrada",IF(COUNTIF('Config'!$G$6:$G$21,$D765)&gt;0,"Saída","Verificar")))</f>
        <v/>
      </c>
    </row>
    <row r="766" spans="7:7" ht="16.5" customHeight="1">
      <c r="G766" s="47">
        <f>IF($D766="","",IF(COUNTIF('Config'!$E$6:$E$13,$D766)&gt;0,"Entrada",IF(COUNTIF('Config'!$G$6:$G$21,$D766)&gt;0,"Saída","Verificar")))</f>
        <v/>
      </c>
    </row>
    <row r="767" spans="7:7" ht="16.5" customHeight="1">
      <c r="G767" s="47">
        <f>IF($D767="","",IF(COUNTIF('Config'!$E$6:$E$13,$D767)&gt;0,"Entrada",IF(COUNTIF('Config'!$G$6:$G$21,$D767)&gt;0,"Saída","Verificar")))</f>
        <v/>
      </c>
    </row>
    <row r="768" spans="7:7" ht="16.5" customHeight="1">
      <c r="G768" s="47">
        <f>IF($D768="","",IF(COUNTIF('Config'!$E$6:$E$13,$D768)&gt;0,"Entrada",IF(COUNTIF('Config'!$G$6:$G$21,$D768)&gt;0,"Saída","Verificar")))</f>
        <v/>
      </c>
    </row>
    <row r="769" spans="7:7" ht="16.5" customHeight="1">
      <c r="G769" s="47">
        <f>IF($D769="","",IF(COUNTIF('Config'!$E$6:$E$13,$D769)&gt;0,"Entrada",IF(COUNTIF('Config'!$G$6:$G$21,$D769)&gt;0,"Saída","Verificar")))</f>
        <v/>
      </c>
    </row>
    <row r="770" spans="7:7" ht="16.5" customHeight="1">
      <c r="G770" s="47">
        <f>IF($D770="","",IF(COUNTIF('Config'!$E$6:$E$13,$D770)&gt;0,"Entrada",IF(COUNTIF('Config'!$G$6:$G$21,$D770)&gt;0,"Saída","Verificar")))</f>
        <v/>
      </c>
    </row>
    <row r="771" spans="7:7" ht="16.5" customHeight="1">
      <c r="G771" s="47">
        <f>IF($D771="","",IF(COUNTIF('Config'!$E$6:$E$13,$D771)&gt;0,"Entrada",IF(COUNTIF('Config'!$G$6:$G$21,$D771)&gt;0,"Saída","Verificar")))</f>
        <v/>
      </c>
    </row>
    <row r="772" spans="7:7" ht="16.5" customHeight="1">
      <c r="G772" s="47">
        <f>IF($D772="","",IF(COUNTIF('Config'!$E$6:$E$13,$D772)&gt;0,"Entrada",IF(COUNTIF('Config'!$G$6:$G$21,$D772)&gt;0,"Saída","Verificar")))</f>
        <v/>
      </c>
    </row>
    <row r="773" spans="7:7" ht="16.5" customHeight="1">
      <c r="G773" s="47">
        <f>IF($D773="","",IF(COUNTIF('Config'!$E$6:$E$13,$D773)&gt;0,"Entrada",IF(COUNTIF('Config'!$G$6:$G$21,$D773)&gt;0,"Saída","Verificar")))</f>
        <v/>
      </c>
    </row>
    <row r="774" spans="7:7" ht="16.5" customHeight="1">
      <c r="G774" s="47">
        <f>IF($D774="","",IF(COUNTIF('Config'!$E$6:$E$13,$D774)&gt;0,"Entrada",IF(COUNTIF('Config'!$G$6:$G$21,$D774)&gt;0,"Saída","Verificar")))</f>
        <v/>
      </c>
    </row>
    <row r="775" spans="7:7" ht="16.5" customHeight="1">
      <c r="G775" s="47">
        <f>IF($D775="","",IF(COUNTIF('Config'!$E$6:$E$13,$D775)&gt;0,"Entrada",IF(COUNTIF('Config'!$G$6:$G$21,$D775)&gt;0,"Saída","Verificar")))</f>
        <v/>
      </c>
    </row>
    <row r="776" spans="7:7" ht="16.5" customHeight="1">
      <c r="G776" s="47">
        <f>IF($D776="","",IF(COUNTIF('Config'!$E$6:$E$13,$D776)&gt;0,"Entrada",IF(COUNTIF('Config'!$G$6:$G$21,$D776)&gt;0,"Saída","Verificar")))</f>
        <v/>
      </c>
    </row>
    <row r="777" spans="7:7" ht="16.5" customHeight="1">
      <c r="G777" s="47">
        <f>IF($D777="","",IF(COUNTIF('Config'!$E$6:$E$13,$D777)&gt;0,"Entrada",IF(COUNTIF('Config'!$G$6:$G$21,$D777)&gt;0,"Saída","Verificar")))</f>
        <v/>
      </c>
    </row>
    <row r="778" spans="7:7" ht="16.5" customHeight="1">
      <c r="G778" s="47">
        <f>IF($D778="","",IF(COUNTIF('Config'!$E$6:$E$13,$D778)&gt;0,"Entrada",IF(COUNTIF('Config'!$G$6:$G$21,$D778)&gt;0,"Saída","Verificar")))</f>
        <v/>
      </c>
    </row>
    <row r="779" spans="7:7" ht="16.5" customHeight="1">
      <c r="G779" s="47">
        <f>IF($D779="","",IF(COUNTIF('Config'!$E$6:$E$13,$D779)&gt;0,"Entrada",IF(COUNTIF('Config'!$G$6:$G$21,$D779)&gt;0,"Saída","Verificar")))</f>
        <v/>
      </c>
    </row>
    <row r="780" spans="7:7" ht="16.5" customHeight="1">
      <c r="G780" s="47">
        <f>IF($D780="","",IF(COUNTIF('Config'!$E$6:$E$13,$D780)&gt;0,"Entrada",IF(COUNTIF('Config'!$G$6:$G$21,$D780)&gt;0,"Saída","Verificar")))</f>
        <v/>
      </c>
    </row>
    <row r="781" spans="7:7" ht="16.5" customHeight="1">
      <c r="G781" s="47">
        <f>IF($D781="","",IF(COUNTIF('Config'!$E$6:$E$13,$D781)&gt;0,"Entrada",IF(COUNTIF('Config'!$G$6:$G$21,$D781)&gt;0,"Saída","Verificar")))</f>
        <v/>
      </c>
    </row>
    <row r="782" spans="7:7" ht="16.5" customHeight="1">
      <c r="G782" s="47">
        <f>IF($D782="","",IF(COUNTIF('Config'!$E$6:$E$13,$D782)&gt;0,"Entrada",IF(COUNTIF('Config'!$G$6:$G$21,$D782)&gt;0,"Saída","Verificar")))</f>
        <v/>
      </c>
    </row>
    <row r="783" spans="7:7" ht="16.5" customHeight="1">
      <c r="G783" s="47">
        <f>IF($D783="","",IF(COUNTIF('Config'!$E$6:$E$13,$D783)&gt;0,"Entrada",IF(COUNTIF('Config'!$G$6:$G$21,$D783)&gt;0,"Saída","Verificar")))</f>
        <v/>
      </c>
    </row>
    <row r="784" spans="7:7" ht="16.5" customHeight="1">
      <c r="G784" s="47">
        <f>IF($D784="","",IF(COUNTIF('Config'!$E$6:$E$13,$D784)&gt;0,"Entrada",IF(COUNTIF('Config'!$G$6:$G$21,$D784)&gt;0,"Saída","Verificar")))</f>
        <v/>
      </c>
    </row>
    <row r="785" spans="7:7" ht="16.5" customHeight="1">
      <c r="G785" s="47">
        <f>IF($D785="","",IF(COUNTIF('Config'!$E$6:$E$13,$D785)&gt;0,"Entrada",IF(COUNTIF('Config'!$G$6:$G$21,$D785)&gt;0,"Saída","Verificar")))</f>
        <v/>
      </c>
    </row>
    <row r="786" spans="7:7" ht="16.5" customHeight="1">
      <c r="G786" s="47">
        <f>IF($D786="","",IF(COUNTIF('Config'!$E$6:$E$13,$D786)&gt;0,"Entrada",IF(COUNTIF('Config'!$G$6:$G$21,$D786)&gt;0,"Saída","Verificar")))</f>
        <v/>
      </c>
    </row>
    <row r="787" spans="7:7" ht="16.5" customHeight="1">
      <c r="G787" s="47">
        <f>IF($D787="","",IF(COUNTIF('Config'!$E$6:$E$13,$D787)&gt;0,"Entrada",IF(COUNTIF('Config'!$G$6:$G$21,$D787)&gt;0,"Saída","Verificar")))</f>
        <v/>
      </c>
    </row>
    <row r="788" spans="7:7" ht="16.5" customHeight="1">
      <c r="G788" s="47">
        <f>IF($D788="","",IF(COUNTIF('Config'!$E$6:$E$13,$D788)&gt;0,"Entrada",IF(COUNTIF('Config'!$G$6:$G$21,$D788)&gt;0,"Saída","Verificar")))</f>
        <v/>
      </c>
    </row>
    <row r="789" spans="7:7" ht="16.5" customHeight="1">
      <c r="G789" s="47">
        <f>IF($D789="","",IF(COUNTIF('Config'!$E$6:$E$13,$D789)&gt;0,"Entrada",IF(COUNTIF('Config'!$G$6:$G$21,$D789)&gt;0,"Saída","Verificar")))</f>
        <v/>
      </c>
    </row>
    <row r="790" spans="7:7" ht="16.5" customHeight="1">
      <c r="G790" s="47">
        <f>IF($D790="","",IF(COUNTIF('Config'!$E$6:$E$13,$D790)&gt;0,"Entrada",IF(COUNTIF('Config'!$G$6:$G$21,$D790)&gt;0,"Saída","Verificar")))</f>
        <v/>
      </c>
    </row>
    <row r="791" spans="7:7" ht="16.5" customHeight="1">
      <c r="G791" s="47">
        <f>IF($D791="","",IF(COUNTIF('Config'!$E$6:$E$13,$D791)&gt;0,"Entrada",IF(COUNTIF('Config'!$G$6:$G$21,$D791)&gt;0,"Saída","Verificar")))</f>
        <v/>
      </c>
    </row>
    <row r="792" spans="7:7" ht="16.5" customHeight="1">
      <c r="G792" s="47">
        <f>IF($D792="","",IF(COUNTIF('Config'!$E$6:$E$13,$D792)&gt;0,"Entrada",IF(COUNTIF('Config'!$G$6:$G$21,$D792)&gt;0,"Saída","Verificar")))</f>
        <v/>
      </c>
    </row>
    <row r="793" spans="7:7" ht="16.5" customHeight="1">
      <c r="G793" s="47">
        <f>IF($D793="","",IF(COUNTIF('Config'!$E$6:$E$13,$D793)&gt;0,"Entrada",IF(COUNTIF('Config'!$G$6:$G$21,$D793)&gt;0,"Saída","Verificar")))</f>
        <v/>
      </c>
    </row>
    <row r="794" spans="7:7" ht="16.5" customHeight="1">
      <c r="G794" s="47">
        <f>IF($D794="","",IF(COUNTIF('Config'!$E$6:$E$13,$D794)&gt;0,"Entrada",IF(COUNTIF('Config'!$G$6:$G$21,$D794)&gt;0,"Saída","Verificar")))</f>
        <v/>
      </c>
    </row>
    <row r="795" spans="7:7" ht="16.5" customHeight="1">
      <c r="G795" s="47">
        <f>IF($D795="","",IF(COUNTIF('Config'!$E$6:$E$13,$D795)&gt;0,"Entrada",IF(COUNTIF('Config'!$G$6:$G$21,$D795)&gt;0,"Saída","Verificar")))</f>
        <v/>
      </c>
    </row>
    <row r="796" spans="7:7" ht="16.5" customHeight="1">
      <c r="G796" s="47">
        <f>IF($D796="","",IF(COUNTIF('Config'!$E$6:$E$13,$D796)&gt;0,"Entrada",IF(COUNTIF('Config'!$G$6:$G$21,$D796)&gt;0,"Saída","Verificar")))</f>
        <v/>
      </c>
    </row>
    <row r="797" spans="7:7" ht="16.5" customHeight="1">
      <c r="G797" s="47">
        <f>IF($D797="","",IF(COUNTIF('Config'!$E$6:$E$13,$D797)&gt;0,"Entrada",IF(COUNTIF('Config'!$G$6:$G$21,$D797)&gt;0,"Saída","Verificar")))</f>
        <v/>
      </c>
    </row>
    <row r="798" spans="7:7" ht="16.5" customHeight="1">
      <c r="G798" s="47">
        <f>IF($D798="","",IF(COUNTIF('Config'!$E$6:$E$13,$D798)&gt;0,"Entrada",IF(COUNTIF('Config'!$G$6:$G$21,$D798)&gt;0,"Saída","Verificar")))</f>
        <v/>
      </c>
    </row>
    <row r="799" spans="7:7" ht="16.5" customHeight="1">
      <c r="G799" s="47">
        <f>IF($D799="","",IF(COUNTIF('Config'!$E$6:$E$13,$D799)&gt;0,"Entrada",IF(COUNTIF('Config'!$G$6:$G$21,$D799)&gt;0,"Saída","Verificar")))</f>
        <v/>
      </c>
    </row>
    <row r="800" spans="7:7" ht="16.5" customHeight="1">
      <c r="G800" s="47">
        <f>IF($D800="","",IF(COUNTIF('Config'!$E$6:$E$13,$D800)&gt;0,"Entrada",IF(COUNTIF('Config'!$G$6:$G$21,$D800)&gt;0,"Saída","Verificar")))</f>
        <v/>
      </c>
    </row>
    <row r="801" spans="7:7" ht="16.5" customHeight="1">
      <c r="G801" s="47">
        <f>IF($D801="","",IF(COUNTIF('Config'!$E$6:$E$13,$D801)&gt;0,"Entrada",IF(COUNTIF('Config'!$G$6:$G$21,$D801)&gt;0,"Saída","Verificar")))</f>
        <v/>
      </c>
    </row>
    <row r="802" spans="7:7" ht="16.5" customHeight="1">
      <c r="G802" s="47">
        <f>IF($D802="","",IF(COUNTIF('Config'!$E$6:$E$13,$D802)&gt;0,"Entrada",IF(COUNTIF('Config'!$G$6:$G$21,$D802)&gt;0,"Saída","Verificar")))</f>
        <v/>
      </c>
    </row>
    <row r="803" spans="7:7" ht="16.5" customHeight="1">
      <c r="G803" s="47">
        <f>IF($D803="","",IF(COUNTIF('Config'!$E$6:$E$13,$D803)&gt;0,"Entrada",IF(COUNTIF('Config'!$G$6:$G$21,$D803)&gt;0,"Saída","Verificar")))</f>
        <v/>
      </c>
    </row>
    <row r="804" spans="7:7" ht="16.5" customHeight="1">
      <c r="G804" s="47">
        <f>IF($D804="","",IF(COUNTIF('Config'!$E$6:$E$13,$D804)&gt;0,"Entrada",IF(COUNTIF('Config'!$G$6:$G$21,$D804)&gt;0,"Saída","Verificar")))</f>
        <v/>
      </c>
    </row>
    <row r="805" spans="7:7" ht="16.5" customHeight="1">
      <c r="G805" s="47">
        <f>IF($D805="","",IF(COUNTIF('Config'!$E$6:$E$13,$D805)&gt;0,"Entrada",IF(COUNTIF('Config'!$G$6:$G$21,$D805)&gt;0,"Saída","Verificar")))</f>
        <v/>
      </c>
    </row>
    <row r="806" spans="7:7" ht="16.5" customHeight="1">
      <c r="G806" s="47">
        <f>IF($D806="","",IF(COUNTIF('Config'!$E$6:$E$13,$D806)&gt;0,"Entrada",IF(COUNTIF('Config'!$G$6:$G$21,$D806)&gt;0,"Saída","Verificar")))</f>
        <v/>
      </c>
    </row>
    <row r="807" spans="7:7" ht="16.5" customHeight="1">
      <c r="G807" s="47">
        <f>IF($D807="","",IF(COUNTIF('Config'!$E$6:$E$13,$D807)&gt;0,"Entrada",IF(COUNTIF('Config'!$G$6:$G$21,$D807)&gt;0,"Saída","Verificar")))</f>
        <v/>
      </c>
    </row>
    <row r="808" spans="7:7" ht="16.5" customHeight="1">
      <c r="G808" s="47">
        <f>IF($D808="","",IF(COUNTIF('Config'!$E$6:$E$13,$D808)&gt;0,"Entrada",IF(COUNTIF('Config'!$G$6:$G$21,$D808)&gt;0,"Saída","Verificar")))</f>
        <v/>
      </c>
    </row>
    <row r="809" spans="7:7" ht="16.5" customHeight="1">
      <c r="G809" s="47">
        <f>IF($D809="","",IF(COUNTIF('Config'!$E$6:$E$13,$D809)&gt;0,"Entrada",IF(COUNTIF('Config'!$G$6:$G$21,$D809)&gt;0,"Saída","Verificar")))</f>
        <v/>
      </c>
    </row>
    <row r="810" spans="7:7" ht="16.5" customHeight="1">
      <c r="G810" s="47">
        <f>IF($D810="","",IF(COUNTIF('Config'!$E$6:$E$13,$D810)&gt;0,"Entrada",IF(COUNTIF('Config'!$G$6:$G$21,$D810)&gt;0,"Saída","Verificar")))</f>
        <v/>
      </c>
    </row>
    <row r="811" spans="7:7" ht="16.5" customHeight="1">
      <c r="G811" s="47">
        <f>IF($D811="","",IF(COUNTIF('Config'!$E$6:$E$13,$D811)&gt;0,"Entrada",IF(COUNTIF('Config'!$G$6:$G$21,$D811)&gt;0,"Saída","Verificar")))</f>
        <v/>
      </c>
    </row>
    <row r="812" spans="7:7" ht="16.5" customHeight="1">
      <c r="G812" s="47">
        <f>IF($D812="","",IF(COUNTIF('Config'!$E$6:$E$13,$D812)&gt;0,"Entrada",IF(COUNTIF('Config'!$G$6:$G$21,$D812)&gt;0,"Saída","Verificar")))</f>
        <v/>
      </c>
    </row>
    <row r="813" spans="7:7" ht="16.5" customHeight="1">
      <c r="G813" s="47">
        <f>IF($D813="","",IF(COUNTIF('Config'!$E$6:$E$13,$D813)&gt;0,"Entrada",IF(COUNTIF('Config'!$G$6:$G$21,$D813)&gt;0,"Saída","Verificar")))</f>
        <v/>
      </c>
    </row>
    <row r="814" spans="7:7" ht="16.5" customHeight="1">
      <c r="G814" s="47">
        <f>IF($D814="","",IF(COUNTIF('Config'!$E$6:$E$13,$D814)&gt;0,"Entrada",IF(COUNTIF('Config'!$G$6:$G$21,$D814)&gt;0,"Saída","Verificar")))</f>
        <v/>
      </c>
    </row>
    <row r="815" spans="7:7" ht="16.5" customHeight="1">
      <c r="G815" s="47">
        <f>IF($D815="","",IF(COUNTIF('Config'!$E$6:$E$13,$D815)&gt;0,"Entrada",IF(COUNTIF('Config'!$G$6:$G$21,$D815)&gt;0,"Saída","Verificar")))</f>
        <v/>
      </c>
    </row>
    <row r="816" spans="7:7" ht="16.5" customHeight="1">
      <c r="G816" s="47">
        <f>IF($D816="","",IF(COUNTIF('Config'!$E$6:$E$13,$D816)&gt;0,"Entrada",IF(COUNTIF('Config'!$G$6:$G$21,$D816)&gt;0,"Saída","Verificar")))</f>
        <v/>
      </c>
    </row>
    <row r="817" spans="7:7" ht="16.5" customHeight="1">
      <c r="G817" s="47">
        <f>IF($D817="","",IF(COUNTIF('Config'!$E$6:$E$13,$D817)&gt;0,"Entrada",IF(COUNTIF('Config'!$G$6:$G$21,$D817)&gt;0,"Saída","Verificar")))</f>
        <v/>
      </c>
    </row>
    <row r="818" spans="7:7" ht="16.5" customHeight="1">
      <c r="G818" s="47">
        <f>IF($D818="","",IF(COUNTIF('Config'!$E$6:$E$13,$D818)&gt;0,"Entrada",IF(COUNTIF('Config'!$G$6:$G$21,$D818)&gt;0,"Saída","Verificar")))</f>
        <v/>
      </c>
    </row>
    <row r="819" spans="7:7" ht="16.5" customHeight="1">
      <c r="G819" s="47">
        <f>IF($D819="","",IF(COUNTIF('Config'!$E$6:$E$13,$D819)&gt;0,"Entrada",IF(COUNTIF('Config'!$G$6:$G$21,$D819)&gt;0,"Saída","Verificar")))</f>
        <v/>
      </c>
    </row>
    <row r="820" spans="7:7" ht="16.5" customHeight="1">
      <c r="G820" s="47">
        <f>IF($D820="","",IF(COUNTIF('Config'!$E$6:$E$13,$D820)&gt;0,"Entrada",IF(COUNTIF('Config'!$G$6:$G$21,$D820)&gt;0,"Saída","Verificar")))</f>
        <v/>
      </c>
    </row>
    <row r="821" spans="7:7" ht="16.5" customHeight="1">
      <c r="G821" s="47">
        <f>IF($D821="","",IF(COUNTIF('Config'!$E$6:$E$13,$D821)&gt;0,"Entrada",IF(COUNTIF('Config'!$G$6:$G$21,$D821)&gt;0,"Saída","Verificar")))</f>
        <v/>
      </c>
    </row>
    <row r="822" spans="7:7" ht="16.5" customHeight="1">
      <c r="G822" s="47">
        <f>IF($D822="","",IF(COUNTIF('Config'!$E$6:$E$13,$D822)&gt;0,"Entrada",IF(COUNTIF('Config'!$G$6:$G$21,$D822)&gt;0,"Saída","Verificar")))</f>
        <v/>
      </c>
    </row>
    <row r="823" spans="7:7" ht="16.5" customHeight="1">
      <c r="G823" s="47">
        <f>IF($D823="","",IF(COUNTIF('Config'!$E$6:$E$13,$D823)&gt;0,"Entrada",IF(COUNTIF('Config'!$G$6:$G$21,$D823)&gt;0,"Saída","Verificar")))</f>
        <v/>
      </c>
    </row>
    <row r="824" spans="7:7" ht="16.5" customHeight="1">
      <c r="G824" s="47">
        <f>IF($D824="","",IF(COUNTIF('Config'!$E$6:$E$13,$D824)&gt;0,"Entrada",IF(COUNTIF('Config'!$G$6:$G$21,$D824)&gt;0,"Saída","Verificar")))</f>
        <v/>
      </c>
    </row>
    <row r="825" spans="7:7" ht="16.5" customHeight="1">
      <c r="G825" s="47">
        <f>IF($D825="","",IF(COUNTIF('Config'!$E$6:$E$13,$D825)&gt;0,"Entrada",IF(COUNTIF('Config'!$G$6:$G$21,$D825)&gt;0,"Saída","Verificar")))</f>
        <v/>
      </c>
    </row>
    <row r="826" spans="7:7" ht="16.5" customHeight="1">
      <c r="G826" s="47">
        <f>IF($D826="","",IF(COUNTIF('Config'!$E$6:$E$13,$D826)&gt;0,"Entrada",IF(COUNTIF('Config'!$G$6:$G$21,$D826)&gt;0,"Saída","Verificar")))</f>
        <v/>
      </c>
    </row>
    <row r="827" spans="7:7" ht="16.5" customHeight="1">
      <c r="G827" s="47">
        <f>IF($D827="","",IF(COUNTIF('Config'!$E$6:$E$13,$D827)&gt;0,"Entrada",IF(COUNTIF('Config'!$G$6:$G$21,$D827)&gt;0,"Saída","Verificar")))</f>
        <v/>
      </c>
    </row>
    <row r="828" spans="7:7" ht="16.5" customHeight="1">
      <c r="G828" s="47">
        <f>IF($D828="","",IF(COUNTIF('Config'!$E$6:$E$13,$D828)&gt;0,"Entrada",IF(COUNTIF('Config'!$G$6:$G$21,$D828)&gt;0,"Saída","Verificar")))</f>
        <v/>
      </c>
    </row>
    <row r="829" spans="7:7" ht="16.5" customHeight="1">
      <c r="G829" s="47">
        <f>IF($D829="","",IF(COUNTIF('Config'!$E$6:$E$13,$D829)&gt;0,"Entrada",IF(COUNTIF('Config'!$G$6:$G$21,$D829)&gt;0,"Saída","Verificar")))</f>
        <v/>
      </c>
    </row>
    <row r="830" spans="7:7" ht="16.5" customHeight="1">
      <c r="G830" s="47">
        <f>IF($D830="","",IF(COUNTIF('Config'!$E$6:$E$13,$D830)&gt;0,"Entrada",IF(COUNTIF('Config'!$G$6:$G$21,$D830)&gt;0,"Saída","Verificar")))</f>
        <v/>
      </c>
    </row>
    <row r="831" spans="7:7" ht="16.5" customHeight="1">
      <c r="G831" s="47">
        <f>IF($D831="","",IF(COUNTIF('Config'!$E$6:$E$13,$D831)&gt;0,"Entrada",IF(COUNTIF('Config'!$G$6:$G$21,$D831)&gt;0,"Saída","Verificar")))</f>
        <v/>
      </c>
    </row>
    <row r="832" spans="7:7" ht="16.5" customHeight="1">
      <c r="G832" s="47">
        <f>IF($D832="","",IF(COUNTIF('Config'!$E$6:$E$13,$D832)&gt;0,"Entrada",IF(COUNTIF('Config'!$G$6:$G$21,$D832)&gt;0,"Saída","Verificar")))</f>
        <v/>
      </c>
    </row>
    <row r="833" spans="7:7" ht="16.5" customHeight="1">
      <c r="G833" s="47">
        <f>IF($D833="","",IF(COUNTIF('Config'!$E$6:$E$13,$D833)&gt;0,"Entrada",IF(COUNTIF('Config'!$G$6:$G$21,$D833)&gt;0,"Saída","Verificar")))</f>
        <v/>
      </c>
    </row>
    <row r="834" spans="7:7" ht="16.5" customHeight="1">
      <c r="G834" s="47">
        <f>IF($D834="","",IF(COUNTIF('Config'!$E$6:$E$13,$D834)&gt;0,"Entrada",IF(COUNTIF('Config'!$G$6:$G$21,$D834)&gt;0,"Saída","Verificar")))</f>
        <v/>
      </c>
    </row>
    <row r="835" spans="7:7" ht="16.5" customHeight="1">
      <c r="G835" s="47">
        <f>IF($D835="","",IF(COUNTIF('Config'!$E$6:$E$13,$D835)&gt;0,"Entrada",IF(COUNTIF('Config'!$G$6:$G$21,$D835)&gt;0,"Saída","Verificar")))</f>
        <v/>
      </c>
    </row>
    <row r="836" spans="7:7" ht="16.5" customHeight="1">
      <c r="G836" s="47">
        <f>IF($D836="","",IF(COUNTIF('Config'!$E$6:$E$13,$D836)&gt;0,"Entrada",IF(COUNTIF('Config'!$G$6:$G$21,$D836)&gt;0,"Saída","Verificar")))</f>
        <v/>
      </c>
    </row>
    <row r="837" spans="7:7" ht="16.5" customHeight="1">
      <c r="G837" s="47">
        <f>IF($D837="","",IF(COUNTIF('Config'!$E$6:$E$13,$D837)&gt;0,"Entrada",IF(COUNTIF('Config'!$G$6:$G$21,$D837)&gt;0,"Saída","Verificar")))</f>
        <v/>
      </c>
    </row>
    <row r="838" spans="7:7" ht="16.5" customHeight="1">
      <c r="G838" s="47">
        <f>IF($D838="","",IF(COUNTIF('Config'!$E$6:$E$13,$D838)&gt;0,"Entrada",IF(COUNTIF('Config'!$G$6:$G$21,$D838)&gt;0,"Saída","Verificar")))</f>
        <v/>
      </c>
    </row>
    <row r="839" spans="7:7" ht="16.5" customHeight="1">
      <c r="G839" s="47">
        <f>IF($D839="","",IF(COUNTIF('Config'!$E$6:$E$13,$D839)&gt;0,"Entrada",IF(COUNTIF('Config'!$G$6:$G$21,$D839)&gt;0,"Saída","Verificar")))</f>
        <v/>
      </c>
    </row>
    <row r="840" spans="7:7" ht="16.5" customHeight="1">
      <c r="G840" s="47">
        <f>IF($D840="","",IF(COUNTIF('Config'!$E$6:$E$13,$D840)&gt;0,"Entrada",IF(COUNTIF('Config'!$G$6:$G$21,$D840)&gt;0,"Saída","Verificar")))</f>
        <v/>
      </c>
    </row>
    <row r="841" spans="7:7" ht="16.5" customHeight="1">
      <c r="G841" s="47">
        <f>IF($D841="","",IF(COUNTIF('Config'!$E$6:$E$13,$D841)&gt;0,"Entrada",IF(COUNTIF('Config'!$G$6:$G$21,$D841)&gt;0,"Saída","Verificar")))</f>
        <v/>
      </c>
    </row>
    <row r="842" spans="7:7" ht="16.5" customHeight="1">
      <c r="G842" s="47">
        <f>IF($D842="","",IF(COUNTIF('Config'!$E$6:$E$13,$D842)&gt;0,"Entrada",IF(COUNTIF('Config'!$G$6:$G$21,$D842)&gt;0,"Saída","Verificar")))</f>
        <v/>
      </c>
    </row>
    <row r="843" spans="7:7" ht="16.5" customHeight="1">
      <c r="G843" s="47">
        <f>IF($D843="","",IF(COUNTIF('Config'!$E$6:$E$13,$D843)&gt;0,"Entrada",IF(COUNTIF('Config'!$G$6:$G$21,$D843)&gt;0,"Saída","Verificar")))</f>
        <v/>
      </c>
    </row>
    <row r="844" spans="7:7" ht="16.5" customHeight="1">
      <c r="G844" s="47">
        <f>IF($D844="","",IF(COUNTIF('Config'!$E$6:$E$13,$D844)&gt;0,"Entrada",IF(COUNTIF('Config'!$G$6:$G$21,$D844)&gt;0,"Saída","Verificar")))</f>
        <v/>
      </c>
    </row>
    <row r="845" spans="7:7" ht="16.5" customHeight="1">
      <c r="G845" s="47">
        <f>IF($D845="","",IF(COUNTIF('Config'!$E$6:$E$13,$D845)&gt;0,"Entrada",IF(COUNTIF('Config'!$G$6:$G$21,$D845)&gt;0,"Saída","Verificar")))</f>
        <v/>
      </c>
    </row>
    <row r="846" spans="7:7" ht="16.5" customHeight="1">
      <c r="G846" s="47">
        <f>IF($D846="","",IF(COUNTIF('Config'!$E$6:$E$13,$D846)&gt;0,"Entrada",IF(COUNTIF('Config'!$G$6:$G$21,$D846)&gt;0,"Saída","Verificar")))</f>
        <v/>
      </c>
    </row>
    <row r="847" spans="7:7" ht="16.5" customHeight="1">
      <c r="G847" s="47">
        <f>IF($D847="","",IF(COUNTIF('Config'!$E$6:$E$13,$D847)&gt;0,"Entrada",IF(COUNTIF('Config'!$G$6:$G$21,$D847)&gt;0,"Saída","Verificar")))</f>
        <v/>
      </c>
    </row>
    <row r="848" spans="7:7" ht="16.5" customHeight="1">
      <c r="G848" s="47">
        <f>IF($D848="","",IF(COUNTIF('Config'!$E$6:$E$13,$D848)&gt;0,"Entrada",IF(COUNTIF('Config'!$G$6:$G$21,$D848)&gt;0,"Saída","Verificar")))</f>
        <v/>
      </c>
    </row>
    <row r="849" spans="7:7" ht="16.5" customHeight="1">
      <c r="G849" s="47">
        <f>IF($D849="","",IF(COUNTIF('Config'!$E$6:$E$13,$D849)&gt;0,"Entrada",IF(COUNTIF('Config'!$G$6:$G$21,$D849)&gt;0,"Saída","Verificar")))</f>
        <v/>
      </c>
    </row>
    <row r="850" spans="7:7" ht="16.5" customHeight="1">
      <c r="G850" s="47">
        <f>IF($D850="","",IF(COUNTIF('Config'!$E$6:$E$13,$D850)&gt;0,"Entrada",IF(COUNTIF('Config'!$G$6:$G$21,$D850)&gt;0,"Saída","Verificar")))</f>
        <v/>
      </c>
    </row>
    <row r="851" spans="7:7" ht="16.5" customHeight="1">
      <c r="G851" s="47">
        <f>IF($D851="","",IF(COUNTIF('Config'!$E$6:$E$13,$D851)&gt;0,"Entrada",IF(COUNTIF('Config'!$G$6:$G$21,$D851)&gt;0,"Saída","Verificar")))</f>
        <v/>
      </c>
    </row>
    <row r="852" spans="7:7" ht="16.5" customHeight="1">
      <c r="G852" s="47">
        <f>IF($D852="","",IF(COUNTIF('Config'!$E$6:$E$13,$D852)&gt;0,"Entrada",IF(COUNTIF('Config'!$G$6:$G$21,$D852)&gt;0,"Saída","Verificar")))</f>
        <v/>
      </c>
    </row>
    <row r="853" spans="7:7" ht="16.5" customHeight="1">
      <c r="G853" s="47">
        <f>IF($D853="","",IF(COUNTIF('Config'!$E$6:$E$13,$D853)&gt;0,"Entrada",IF(COUNTIF('Config'!$G$6:$G$21,$D853)&gt;0,"Saída","Verificar")))</f>
        <v/>
      </c>
    </row>
    <row r="854" spans="7:7" ht="16.5" customHeight="1">
      <c r="G854" s="47">
        <f>IF($D854="","",IF(COUNTIF('Config'!$E$6:$E$13,$D854)&gt;0,"Entrada",IF(COUNTIF('Config'!$G$6:$G$21,$D854)&gt;0,"Saída","Verificar")))</f>
        <v/>
      </c>
    </row>
    <row r="855" spans="7:7" ht="16.5" customHeight="1">
      <c r="G855" s="47">
        <f>IF($D855="","",IF(COUNTIF('Config'!$E$6:$E$13,$D855)&gt;0,"Entrada",IF(COUNTIF('Config'!$G$6:$G$21,$D855)&gt;0,"Saída","Verificar")))</f>
        <v/>
      </c>
    </row>
    <row r="856" spans="7:7" ht="16.5" customHeight="1">
      <c r="G856" s="47">
        <f>IF($D856="","",IF(COUNTIF('Config'!$E$6:$E$13,$D856)&gt;0,"Entrada",IF(COUNTIF('Config'!$G$6:$G$21,$D856)&gt;0,"Saída","Verificar")))</f>
        <v/>
      </c>
    </row>
    <row r="857" spans="7:7" ht="16.5" customHeight="1">
      <c r="G857" s="47">
        <f>IF($D857="","",IF(COUNTIF('Config'!$E$6:$E$13,$D857)&gt;0,"Entrada",IF(COUNTIF('Config'!$G$6:$G$21,$D857)&gt;0,"Saída","Verificar")))</f>
        <v/>
      </c>
    </row>
    <row r="858" spans="7:7" ht="16.5" customHeight="1">
      <c r="G858" s="47">
        <f>IF($D858="","",IF(COUNTIF('Config'!$E$6:$E$13,$D858)&gt;0,"Entrada",IF(COUNTIF('Config'!$G$6:$G$21,$D858)&gt;0,"Saída","Verificar")))</f>
        <v/>
      </c>
    </row>
    <row r="859" spans="7:7" ht="16.5" customHeight="1">
      <c r="G859" s="47">
        <f>IF($D859="","",IF(COUNTIF('Config'!$E$6:$E$13,$D859)&gt;0,"Entrada",IF(COUNTIF('Config'!$G$6:$G$21,$D859)&gt;0,"Saída","Verificar")))</f>
        <v/>
      </c>
    </row>
    <row r="860" spans="7:7" ht="16.5" customHeight="1">
      <c r="G860" s="47">
        <f>IF($D860="","",IF(COUNTIF('Config'!$E$6:$E$13,$D860)&gt;0,"Entrada",IF(COUNTIF('Config'!$G$6:$G$21,$D860)&gt;0,"Saída","Verificar")))</f>
        <v/>
      </c>
    </row>
    <row r="861" spans="7:7" ht="16.5" customHeight="1">
      <c r="G861" s="47">
        <f>IF($D861="","",IF(COUNTIF('Config'!$E$6:$E$13,$D861)&gt;0,"Entrada",IF(COUNTIF('Config'!$G$6:$G$21,$D861)&gt;0,"Saída","Verificar")))</f>
        <v/>
      </c>
    </row>
    <row r="862" spans="7:7" ht="16.5" customHeight="1">
      <c r="G862" s="47">
        <f>IF($D862="","",IF(COUNTIF('Config'!$E$6:$E$13,$D862)&gt;0,"Entrada",IF(COUNTIF('Config'!$G$6:$G$21,$D862)&gt;0,"Saída","Verificar")))</f>
        <v/>
      </c>
    </row>
    <row r="863" spans="7:7" ht="16.5" customHeight="1">
      <c r="G863" s="47">
        <f>IF($D863="","",IF(COUNTIF('Config'!$E$6:$E$13,$D863)&gt;0,"Entrada",IF(COUNTIF('Config'!$G$6:$G$21,$D863)&gt;0,"Saída","Verificar")))</f>
        <v/>
      </c>
    </row>
    <row r="864" spans="7:7" ht="16.5" customHeight="1">
      <c r="G864" s="47">
        <f>IF($D864="","",IF(COUNTIF('Config'!$E$6:$E$13,$D864)&gt;0,"Entrada",IF(COUNTIF('Config'!$G$6:$G$21,$D864)&gt;0,"Saída","Verificar")))</f>
        <v/>
      </c>
    </row>
    <row r="865" spans="7:7" ht="16.5" customHeight="1">
      <c r="G865" s="47">
        <f>IF($D865="","",IF(COUNTIF('Config'!$E$6:$E$13,$D865)&gt;0,"Entrada",IF(COUNTIF('Config'!$G$6:$G$21,$D865)&gt;0,"Saída","Verificar")))</f>
        <v/>
      </c>
    </row>
    <row r="866" spans="7:7" ht="16.5" customHeight="1">
      <c r="G866" s="47">
        <f>IF($D866="","",IF(COUNTIF('Config'!$E$6:$E$13,$D866)&gt;0,"Entrada",IF(COUNTIF('Config'!$G$6:$G$21,$D866)&gt;0,"Saída","Verificar")))</f>
        <v/>
      </c>
    </row>
    <row r="867" spans="7:7" ht="16.5" customHeight="1">
      <c r="G867" s="47">
        <f>IF($D867="","",IF(COUNTIF('Config'!$E$6:$E$13,$D867)&gt;0,"Entrada",IF(COUNTIF('Config'!$G$6:$G$21,$D867)&gt;0,"Saída","Verificar")))</f>
        <v/>
      </c>
    </row>
    <row r="868" spans="7:7" ht="16.5" customHeight="1">
      <c r="G868" s="47">
        <f>IF($D868="","",IF(COUNTIF('Config'!$E$6:$E$13,$D868)&gt;0,"Entrada",IF(COUNTIF('Config'!$G$6:$G$21,$D868)&gt;0,"Saída","Verificar")))</f>
        <v/>
      </c>
    </row>
    <row r="869" spans="7:7" ht="16.5" customHeight="1">
      <c r="G869" s="47">
        <f>IF($D869="","",IF(COUNTIF('Config'!$E$6:$E$13,$D869)&gt;0,"Entrada",IF(COUNTIF('Config'!$G$6:$G$21,$D869)&gt;0,"Saída","Verificar")))</f>
        <v/>
      </c>
    </row>
    <row r="870" spans="7:7" ht="16.5" customHeight="1">
      <c r="G870" s="47">
        <f>IF($D870="","",IF(COUNTIF('Config'!$E$6:$E$13,$D870)&gt;0,"Entrada",IF(COUNTIF('Config'!$G$6:$G$21,$D870)&gt;0,"Saída","Verificar")))</f>
        <v/>
      </c>
    </row>
    <row r="871" spans="7:7" ht="16.5" customHeight="1">
      <c r="G871" s="47">
        <f>IF($D871="","",IF(COUNTIF('Config'!$E$6:$E$13,$D871)&gt;0,"Entrada",IF(COUNTIF('Config'!$G$6:$G$21,$D871)&gt;0,"Saída","Verificar")))</f>
        <v/>
      </c>
    </row>
    <row r="872" spans="7:7" ht="16.5" customHeight="1">
      <c r="G872" s="47">
        <f>IF($D872="","",IF(COUNTIF('Config'!$E$6:$E$13,$D872)&gt;0,"Entrada",IF(COUNTIF('Config'!$G$6:$G$21,$D872)&gt;0,"Saída","Verificar")))</f>
        <v/>
      </c>
    </row>
    <row r="873" spans="7:7" ht="16.5" customHeight="1">
      <c r="G873" s="47">
        <f>IF($D873="","",IF(COUNTIF('Config'!$E$6:$E$13,$D873)&gt;0,"Entrada",IF(COUNTIF('Config'!$G$6:$G$21,$D873)&gt;0,"Saída","Verificar")))</f>
        <v/>
      </c>
    </row>
    <row r="874" spans="7:7" ht="16.5" customHeight="1">
      <c r="G874" s="47">
        <f>IF($D874="","",IF(COUNTIF('Config'!$E$6:$E$13,$D874)&gt;0,"Entrada",IF(COUNTIF('Config'!$G$6:$G$21,$D874)&gt;0,"Saída","Verificar")))</f>
        <v/>
      </c>
    </row>
    <row r="875" spans="7:7" ht="16.5" customHeight="1">
      <c r="G875" s="47">
        <f>IF($D875="","",IF(COUNTIF('Config'!$E$6:$E$13,$D875)&gt;0,"Entrada",IF(COUNTIF('Config'!$G$6:$G$21,$D875)&gt;0,"Saída","Verificar")))</f>
        <v/>
      </c>
    </row>
    <row r="876" spans="7:7" ht="16.5" customHeight="1">
      <c r="G876" s="47">
        <f>IF($D876="","",IF(COUNTIF('Config'!$E$6:$E$13,$D876)&gt;0,"Entrada",IF(COUNTIF('Config'!$G$6:$G$21,$D876)&gt;0,"Saída","Verificar")))</f>
        <v/>
      </c>
    </row>
    <row r="877" spans="7:7" ht="16.5" customHeight="1">
      <c r="G877" s="47">
        <f>IF($D877="","",IF(COUNTIF('Config'!$E$6:$E$13,$D877)&gt;0,"Entrada",IF(COUNTIF('Config'!$G$6:$G$21,$D877)&gt;0,"Saída","Verificar")))</f>
        <v/>
      </c>
    </row>
    <row r="878" spans="7:7" ht="16.5" customHeight="1">
      <c r="G878" s="47">
        <f>IF($D878="","",IF(COUNTIF('Config'!$E$6:$E$13,$D878)&gt;0,"Entrada",IF(COUNTIF('Config'!$G$6:$G$21,$D878)&gt;0,"Saída","Verificar")))</f>
        <v/>
      </c>
    </row>
    <row r="879" spans="7:7" ht="16.5" customHeight="1">
      <c r="G879" s="47">
        <f>IF($D879="","",IF(COUNTIF('Config'!$E$6:$E$13,$D879)&gt;0,"Entrada",IF(COUNTIF('Config'!$G$6:$G$21,$D879)&gt;0,"Saída","Verificar")))</f>
        <v/>
      </c>
    </row>
    <row r="880" spans="7:7" ht="16.5" customHeight="1">
      <c r="G880" s="47">
        <f>IF($D880="","",IF(COUNTIF('Config'!$E$6:$E$13,$D880)&gt;0,"Entrada",IF(COUNTIF('Config'!$G$6:$G$21,$D880)&gt;0,"Saída","Verificar")))</f>
        <v/>
      </c>
    </row>
    <row r="881" spans="7:7" ht="16.5" customHeight="1">
      <c r="G881" s="47">
        <f>IF($D881="","",IF(COUNTIF('Config'!$E$6:$E$13,$D881)&gt;0,"Entrada",IF(COUNTIF('Config'!$G$6:$G$21,$D881)&gt;0,"Saída","Verificar")))</f>
        <v/>
      </c>
    </row>
    <row r="882" spans="7:7" ht="16.5" customHeight="1">
      <c r="G882" s="47">
        <f>IF($D882="","",IF(COUNTIF('Config'!$E$6:$E$13,$D882)&gt;0,"Entrada",IF(COUNTIF('Config'!$G$6:$G$21,$D882)&gt;0,"Saída","Verificar")))</f>
        <v/>
      </c>
    </row>
    <row r="883" spans="7:7" ht="16.5" customHeight="1">
      <c r="G883" s="47">
        <f>IF($D883="","",IF(COUNTIF('Config'!$E$6:$E$13,$D883)&gt;0,"Entrada",IF(COUNTIF('Config'!$G$6:$G$21,$D883)&gt;0,"Saída","Verificar")))</f>
        <v/>
      </c>
    </row>
    <row r="884" spans="7:7" ht="16.5" customHeight="1">
      <c r="G884" s="47">
        <f>IF($D884="","",IF(COUNTIF('Config'!$E$6:$E$13,$D884)&gt;0,"Entrada",IF(COUNTIF('Config'!$G$6:$G$21,$D884)&gt;0,"Saída","Verificar")))</f>
        <v/>
      </c>
    </row>
    <row r="885" spans="7:7" ht="16.5" customHeight="1">
      <c r="G885" s="47">
        <f>IF($D885="","",IF(COUNTIF('Config'!$E$6:$E$13,$D885)&gt;0,"Entrada",IF(COUNTIF('Config'!$G$6:$G$21,$D885)&gt;0,"Saída","Verificar")))</f>
        <v/>
      </c>
    </row>
    <row r="886" spans="7:7" ht="16.5" customHeight="1">
      <c r="G886" s="47">
        <f>IF($D886="","",IF(COUNTIF('Config'!$E$6:$E$13,$D886)&gt;0,"Entrada",IF(COUNTIF('Config'!$G$6:$G$21,$D886)&gt;0,"Saída","Verificar")))</f>
        <v/>
      </c>
    </row>
    <row r="887" spans="7:7" ht="16.5" customHeight="1">
      <c r="G887" s="47">
        <f>IF($D887="","",IF(COUNTIF('Config'!$E$6:$E$13,$D887)&gt;0,"Entrada",IF(COUNTIF('Config'!$G$6:$G$21,$D887)&gt;0,"Saída","Verificar")))</f>
        <v/>
      </c>
    </row>
    <row r="888" spans="7:7" ht="16.5" customHeight="1">
      <c r="G888" s="47">
        <f>IF($D888="","",IF(COUNTIF('Config'!$E$6:$E$13,$D888)&gt;0,"Entrada",IF(COUNTIF('Config'!$G$6:$G$21,$D888)&gt;0,"Saída","Verificar")))</f>
        <v/>
      </c>
    </row>
    <row r="889" spans="7:7" ht="16.5" customHeight="1">
      <c r="G889" s="47">
        <f>IF($D889="","",IF(COUNTIF('Config'!$E$6:$E$13,$D889)&gt;0,"Entrada",IF(COUNTIF('Config'!$G$6:$G$21,$D889)&gt;0,"Saída","Verificar")))</f>
        <v/>
      </c>
    </row>
    <row r="890" spans="7:7" ht="16.5" customHeight="1">
      <c r="G890" s="47">
        <f>IF($D890="","",IF(COUNTIF('Config'!$E$6:$E$13,$D890)&gt;0,"Entrada",IF(COUNTIF('Config'!$G$6:$G$21,$D890)&gt;0,"Saída","Verificar")))</f>
        <v/>
      </c>
    </row>
    <row r="891" spans="7:7" ht="16.5" customHeight="1">
      <c r="G891" s="47">
        <f>IF($D891="","",IF(COUNTIF('Config'!$E$6:$E$13,$D891)&gt;0,"Entrada",IF(COUNTIF('Config'!$G$6:$G$21,$D891)&gt;0,"Saída","Verificar")))</f>
        <v/>
      </c>
    </row>
    <row r="892" spans="7:7" ht="16.5" customHeight="1">
      <c r="G892" s="47">
        <f>IF($D892="","",IF(COUNTIF('Config'!$E$6:$E$13,$D892)&gt;0,"Entrada",IF(COUNTIF('Config'!$G$6:$G$21,$D892)&gt;0,"Saída","Verificar")))</f>
        <v/>
      </c>
    </row>
    <row r="893" spans="7:7" ht="16.5" customHeight="1">
      <c r="G893" s="47">
        <f>IF($D893="","",IF(COUNTIF('Config'!$E$6:$E$13,$D893)&gt;0,"Entrada",IF(COUNTIF('Config'!$G$6:$G$21,$D893)&gt;0,"Saída","Verificar")))</f>
        <v/>
      </c>
    </row>
    <row r="894" spans="7:7" ht="16.5" customHeight="1">
      <c r="G894" s="47">
        <f>IF($D894="","",IF(COUNTIF('Config'!$E$6:$E$13,$D894)&gt;0,"Entrada",IF(COUNTIF('Config'!$G$6:$G$21,$D894)&gt;0,"Saída","Verificar")))</f>
        <v/>
      </c>
    </row>
    <row r="895" spans="7:7" ht="16.5" customHeight="1">
      <c r="G895" s="47">
        <f>IF($D895="","",IF(COUNTIF('Config'!$E$6:$E$13,$D895)&gt;0,"Entrada",IF(COUNTIF('Config'!$G$6:$G$21,$D895)&gt;0,"Saída","Verificar")))</f>
        <v/>
      </c>
    </row>
    <row r="896" spans="7:7" ht="16.5" customHeight="1">
      <c r="G896" s="47">
        <f>IF($D896="","",IF(COUNTIF('Config'!$E$6:$E$13,$D896)&gt;0,"Entrada",IF(COUNTIF('Config'!$G$6:$G$21,$D896)&gt;0,"Saída","Verificar")))</f>
        <v/>
      </c>
    </row>
    <row r="897" spans="7:7" ht="16.5" customHeight="1">
      <c r="G897" s="47">
        <f>IF($D897="","",IF(COUNTIF('Config'!$E$6:$E$13,$D897)&gt;0,"Entrada",IF(COUNTIF('Config'!$G$6:$G$21,$D897)&gt;0,"Saída","Verificar")))</f>
        <v/>
      </c>
    </row>
    <row r="898" spans="7:7" ht="16.5" customHeight="1">
      <c r="G898" s="47">
        <f>IF($D898="","",IF(COUNTIF('Config'!$E$6:$E$13,$D898)&gt;0,"Entrada",IF(COUNTIF('Config'!$G$6:$G$21,$D898)&gt;0,"Saída","Verificar")))</f>
        <v/>
      </c>
    </row>
    <row r="899" spans="7:7" ht="16.5" customHeight="1">
      <c r="G899" s="47">
        <f>IF($D899="","",IF(COUNTIF('Config'!$E$6:$E$13,$D899)&gt;0,"Entrada",IF(COUNTIF('Config'!$G$6:$G$21,$D899)&gt;0,"Saída","Verificar")))</f>
        <v/>
      </c>
    </row>
    <row r="900" spans="7:7" ht="16.5" customHeight="1">
      <c r="G900" s="47">
        <f>IF($D900="","",IF(COUNTIF('Config'!$E$6:$E$13,$D900)&gt;0,"Entrada",IF(COUNTIF('Config'!$G$6:$G$21,$D900)&gt;0,"Saída","Verificar")))</f>
        <v/>
      </c>
    </row>
    <row r="901" spans="7:7" ht="16.5" customHeight="1">
      <c r="G901" s="47">
        <f>IF($D901="","",IF(COUNTIF('Config'!$E$6:$E$13,$D901)&gt;0,"Entrada",IF(COUNTIF('Config'!$G$6:$G$21,$D901)&gt;0,"Saída","Verificar")))</f>
        <v/>
      </c>
    </row>
    <row r="902" spans="7:7" ht="16.5" customHeight="1">
      <c r="G902" s="47">
        <f>IF($D902="","",IF(COUNTIF('Config'!$E$6:$E$13,$D902)&gt;0,"Entrada",IF(COUNTIF('Config'!$G$6:$G$21,$D902)&gt;0,"Saída","Verificar")))</f>
        <v/>
      </c>
    </row>
    <row r="903" spans="7:7" ht="16.5" customHeight="1">
      <c r="G903" s="47">
        <f>IF($D903="","",IF(COUNTIF('Config'!$E$6:$E$13,$D903)&gt;0,"Entrada",IF(COUNTIF('Config'!$G$6:$G$21,$D903)&gt;0,"Saída","Verificar")))</f>
        <v/>
      </c>
    </row>
    <row r="904" spans="7:7" ht="16.5" customHeight="1">
      <c r="G904" s="47">
        <f>IF($D904="","",IF(COUNTIF('Config'!$E$6:$E$13,$D904)&gt;0,"Entrada",IF(COUNTIF('Config'!$G$6:$G$21,$D904)&gt;0,"Saída","Verificar")))</f>
        <v/>
      </c>
    </row>
    <row r="905" spans="7:7" ht="16.5" customHeight="1">
      <c r="G905" s="47">
        <f>IF($D905="","",IF(COUNTIF('Config'!$E$6:$E$13,$D905)&gt;0,"Entrada",IF(COUNTIF('Config'!$G$6:$G$21,$D905)&gt;0,"Saída","Verificar")))</f>
        <v/>
      </c>
    </row>
    <row r="906" spans="7:7" ht="16.5" customHeight="1">
      <c r="G906" s="47">
        <f>IF($D906="","",IF(COUNTIF('Config'!$E$6:$E$13,$D906)&gt;0,"Entrada",IF(COUNTIF('Config'!$G$6:$G$21,$D906)&gt;0,"Saída","Verificar")))</f>
        <v/>
      </c>
    </row>
    <row r="907" spans="7:7" ht="16.5" customHeight="1">
      <c r="G907" s="47">
        <f>IF($D907="","",IF(COUNTIF('Config'!$E$6:$E$13,$D907)&gt;0,"Entrada",IF(COUNTIF('Config'!$G$6:$G$21,$D907)&gt;0,"Saída","Verificar")))</f>
        <v/>
      </c>
    </row>
    <row r="908" spans="7:7" ht="16.5" customHeight="1">
      <c r="G908" s="47">
        <f>IF($D908="","",IF(COUNTIF('Config'!$E$6:$E$13,$D908)&gt;0,"Entrada",IF(COUNTIF('Config'!$G$6:$G$21,$D908)&gt;0,"Saída","Verificar")))</f>
        <v/>
      </c>
    </row>
    <row r="909" spans="7:7" ht="16.5" customHeight="1">
      <c r="G909" s="47">
        <f>IF($D909="","",IF(COUNTIF('Config'!$E$6:$E$13,$D909)&gt;0,"Entrada",IF(COUNTIF('Config'!$G$6:$G$21,$D909)&gt;0,"Saída","Verificar")))</f>
        <v/>
      </c>
    </row>
    <row r="910" spans="7:7" ht="16.5" customHeight="1">
      <c r="G910" s="47">
        <f>IF($D910="","",IF(COUNTIF('Config'!$E$6:$E$13,$D910)&gt;0,"Entrada",IF(COUNTIF('Config'!$G$6:$G$21,$D910)&gt;0,"Saída","Verificar")))</f>
        <v/>
      </c>
    </row>
    <row r="911" spans="7:7" ht="16.5" customHeight="1">
      <c r="G911" s="47">
        <f>IF($D911="","",IF(COUNTIF('Config'!$E$6:$E$13,$D911)&gt;0,"Entrada",IF(COUNTIF('Config'!$G$6:$G$21,$D911)&gt;0,"Saída","Verificar")))</f>
        <v/>
      </c>
    </row>
    <row r="912" spans="7:7" ht="16.5" customHeight="1">
      <c r="G912" s="47">
        <f>IF($D912="","",IF(COUNTIF('Config'!$E$6:$E$13,$D912)&gt;0,"Entrada",IF(COUNTIF('Config'!$G$6:$G$21,$D912)&gt;0,"Saída","Verificar")))</f>
        <v/>
      </c>
    </row>
    <row r="913" spans="7:7" ht="16.5" customHeight="1">
      <c r="G913" s="47">
        <f>IF($D913="","",IF(COUNTIF('Config'!$E$6:$E$13,$D913)&gt;0,"Entrada",IF(COUNTIF('Config'!$G$6:$G$21,$D913)&gt;0,"Saída","Verificar")))</f>
        <v/>
      </c>
    </row>
    <row r="914" spans="7:7" ht="16.5" customHeight="1">
      <c r="G914" s="47">
        <f>IF($D914="","",IF(COUNTIF('Config'!$E$6:$E$13,$D914)&gt;0,"Entrada",IF(COUNTIF('Config'!$G$6:$G$21,$D914)&gt;0,"Saída","Verificar")))</f>
        <v/>
      </c>
    </row>
    <row r="915" spans="7:7" ht="16.5" customHeight="1">
      <c r="G915" s="47">
        <f>IF($D915="","",IF(COUNTIF('Config'!$E$6:$E$13,$D915)&gt;0,"Entrada",IF(COUNTIF('Config'!$G$6:$G$21,$D915)&gt;0,"Saída","Verificar")))</f>
        <v/>
      </c>
    </row>
    <row r="916" spans="7:7" ht="16.5" customHeight="1">
      <c r="G916" s="47">
        <f>IF($D916="","",IF(COUNTIF('Config'!$E$6:$E$13,$D916)&gt;0,"Entrada",IF(COUNTIF('Config'!$G$6:$G$21,$D916)&gt;0,"Saída","Verificar")))</f>
        <v/>
      </c>
    </row>
    <row r="917" spans="7:7" ht="16.5" customHeight="1">
      <c r="G917" s="47">
        <f>IF($D917="","",IF(COUNTIF('Config'!$E$6:$E$13,$D917)&gt;0,"Entrada",IF(COUNTIF('Config'!$G$6:$G$21,$D917)&gt;0,"Saída","Verificar")))</f>
        <v/>
      </c>
    </row>
    <row r="918" spans="7:7" ht="16.5" customHeight="1">
      <c r="G918" s="47">
        <f>IF($D918="","",IF(COUNTIF('Config'!$E$6:$E$13,$D918)&gt;0,"Entrada",IF(COUNTIF('Config'!$G$6:$G$21,$D918)&gt;0,"Saída","Verificar")))</f>
        <v/>
      </c>
    </row>
    <row r="919" spans="7:7" ht="16.5" customHeight="1">
      <c r="G919" s="47">
        <f>IF($D919="","",IF(COUNTIF('Config'!$E$6:$E$13,$D919)&gt;0,"Entrada",IF(COUNTIF('Config'!$G$6:$G$21,$D919)&gt;0,"Saída","Verificar")))</f>
        <v/>
      </c>
    </row>
    <row r="920" spans="7:7" ht="16.5" customHeight="1">
      <c r="G920" s="47">
        <f>IF($D920="","",IF(COUNTIF('Config'!$E$6:$E$13,$D920)&gt;0,"Entrada",IF(COUNTIF('Config'!$G$6:$G$21,$D920)&gt;0,"Saída","Verificar")))</f>
        <v/>
      </c>
    </row>
    <row r="921" spans="7:7" ht="16.5" customHeight="1">
      <c r="G921" s="47">
        <f>IF($D921="","",IF(COUNTIF('Config'!$E$6:$E$13,$D921)&gt;0,"Entrada",IF(COUNTIF('Config'!$G$6:$G$21,$D921)&gt;0,"Saída","Verificar")))</f>
        <v/>
      </c>
    </row>
    <row r="922" spans="7:7" ht="16.5" customHeight="1">
      <c r="G922" s="47">
        <f>IF($D922="","",IF(COUNTIF('Config'!$E$6:$E$13,$D922)&gt;0,"Entrada",IF(COUNTIF('Config'!$G$6:$G$21,$D922)&gt;0,"Saída","Verificar")))</f>
        <v/>
      </c>
    </row>
    <row r="923" spans="7:7" ht="16.5" customHeight="1">
      <c r="G923" s="47">
        <f>IF($D923="","",IF(COUNTIF('Config'!$E$6:$E$13,$D923)&gt;0,"Entrada",IF(COUNTIF('Config'!$G$6:$G$21,$D923)&gt;0,"Saída","Verificar")))</f>
        <v/>
      </c>
    </row>
    <row r="924" spans="7:7" ht="16.5" customHeight="1">
      <c r="G924" s="47">
        <f>IF($D924="","",IF(COUNTIF('Config'!$E$6:$E$13,$D924)&gt;0,"Entrada",IF(COUNTIF('Config'!$G$6:$G$21,$D924)&gt;0,"Saída","Verificar")))</f>
        <v/>
      </c>
    </row>
    <row r="925" spans="7:7" ht="16.5" customHeight="1">
      <c r="G925" s="47">
        <f>IF($D925="","",IF(COUNTIF('Config'!$E$6:$E$13,$D925)&gt;0,"Entrada",IF(COUNTIF('Config'!$G$6:$G$21,$D925)&gt;0,"Saída","Verificar")))</f>
        <v/>
      </c>
    </row>
    <row r="926" spans="7:7" ht="16.5" customHeight="1">
      <c r="G926" s="47">
        <f>IF($D926="","",IF(COUNTIF('Config'!$E$6:$E$13,$D926)&gt;0,"Entrada",IF(COUNTIF('Config'!$G$6:$G$21,$D926)&gt;0,"Saída","Verificar")))</f>
        <v/>
      </c>
    </row>
    <row r="927" spans="7:7" ht="16.5" customHeight="1">
      <c r="G927" s="47">
        <f>IF($D927="","",IF(COUNTIF('Config'!$E$6:$E$13,$D927)&gt;0,"Entrada",IF(COUNTIF('Config'!$G$6:$G$21,$D927)&gt;0,"Saída","Verificar")))</f>
        <v/>
      </c>
    </row>
    <row r="928" spans="7:7" ht="16.5" customHeight="1">
      <c r="G928" s="47">
        <f>IF($D928="","",IF(COUNTIF('Config'!$E$6:$E$13,$D928)&gt;0,"Entrada",IF(COUNTIF('Config'!$G$6:$G$21,$D928)&gt;0,"Saída","Verificar")))</f>
        <v/>
      </c>
    </row>
    <row r="929" spans="7:7" ht="16.5" customHeight="1">
      <c r="G929" s="47">
        <f>IF($D929="","",IF(COUNTIF('Config'!$E$6:$E$13,$D929)&gt;0,"Entrada",IF(COUNTIF('Config'!$G$6:$G$21,$D929)&gt;0,"Saída","Verificar")))</f>
        <v/>
      </c>
    </row>
    <row r="930" spans="7:7" ht="16.5" customHeight="1">
      <c r="G930" s="47">
        <f>IF($D930="","",IF(COUNTIF('Config'!$E$6:$E$13,$D930)&gt;0,"Entrada",IF(COUNTIF('Config'!$G$6:$G$21,$D930)&gt;0,"Saída","Verificar")))</f>
        <v/>
      </c>
    </row>
    <row r="931" spans="7:7" ht="16.5" customHeight="1">
      <c r="G931" s="47">
        <f>IF($D931="","",IF(COUNTIF('Config'!$E$6:$E$13,$D931)&gt;0,"Entrada",IF(COUNTIF('Config'!$G$6:$G$21,$D931)&gt;0,"Saída","Verificar")))</f>
        <v/>
      </c>
    </row>
    <row r="932" spans="7:7" ht="16.5" customHeight="1">
      <c r="G932" s="47">
        <f>IF($D932="","",IF(COUNTIF('Config'!$E$6:$E$13,$D932)&gt;0,"Entrada",IF(COUNTIF('Config'!$G$6:$G$21,$D932)&gt;0,"Saída","Verificar")))</f>
        <v/>
      </c>
    </row>
    <row r="933" spans="7:7" ht="16.5" customHeight="1">
      <c r="G933" s="47">
        <f>IF($D933="","",IF(COUNTIF('Config'!$E$6:$E$13,$D933)&gt;0,"Entrada",IF(COUNTIF('Config'!$G$6:$G$21,$D933)&gt;0,"Saída","Verificar")))</f>
        <v/>
      </c>
    </row>
    <row r="934" spans="7:7" ht="16.5" customHeight="1">
      <c r="G934" s="47">
        <f>IF($D934="","",IF(COUNTIF('Config'!$E$6:$E$13,$D934)&gt;0,"Entrada",IF(COUNTIF('Config'!$G$6:$G$21,$D934)&gt;0,"Saída","Verificar")))</f>
        <v/>
      </c>
    </row>
    <row r="935" spans="7:7" ht="16.5" customHeight="1">
      <c r="G935" s="47">
        <f>IF($D935="","",IF(COUNTIF('Config'!$E$6:$E$13,$D935)&gt;0,"Entrada",IF(COUNTIF('Config'!$G$6:$G$21,$D935)&gt;0,"Saída","Verificar")))</f>
        <v/>
      </c>
    </row>
    <row r="936" spans="7:7" ht="16.5" customHeight="1">
      <c r="G936" s="47">
        <f>IF($D936="","",IF(COUNTIF('Config'!$E$6:$E$13,$D936)&gt;0,"Entrada",IF(COUNTIF('Config'!$G$6:$G$21,$D936)&gt;0,"Saída","Verificar")))</f>
        <v/>
      </c>
    </row>
    <row r="937" spans="7:7" ht="16.5" customHeight="1">
      <c r="G937" s="47">
        <f>IF($D937="","",IF(COUNTIF('Config'!$E$6:$E$13,$D937)&gt;0,"Entrada",IF(COUNTIF('Config'!$G$6:$G$21,$D937)&gt;0,"Saída","Verificar")))</f>
        <v/>
      </c>
    </row>
    <row r="938" spans="7:7" ht="16.5" customHeight="1">
      <c r="G938" s="47">
        <f>IF($D938="","",IF(COUNTIF('Config'!$E$6:$E$13,$D938)&gt;0,"Entrada",IF(COUNTIF('Config'!$G$6:$G$21,$D938)&gt;0,"Saída","Verificar")))</f>
        <v/>
      </c>
    </row>
    <row r="939" spans="7:7" ht="16.5" customHeight="1">
      <c r="G939" s="47">
        <f>IF($D939="","",IF(COUNTIF('Config'!$E$6:$E$13,$D939)&gt;0,"Entrada",IF(COUNTIF('Config'!$G$6:$G$21,$D939)&gt;0,"Saída","Verificar")))</f>
        <v/>
      </c>
    </row>
    <row r="940" spans="7:7" ht="16.5" customHeight="1">
      <c r="G940" s="47">
        <f>IF($D940="","",IF(COUNTIF('Config'!$E$6:$E$13,$D940)&gt;0,"Entrada",IF(COUNTIF('Config'!$G$6:$G$21,$D940)&gt;0,"Saída","Verificar")))</f>
        <v/>
      </c>
    </row>
    <row r="941" spans="7:7" ht="16.5" customHeight="1">
      <c r="G941" s="47">
        <f>IF($D941="","",IF(COUNTIF('Config'!$E$6:$E$13,$D941)&gt;0,"Entrada",IF(COUNTIF('Config'!$G$6:$G$21,$D941)&gt;0,"Saída","Verificar")))</f>
        <v/>
      </c>
    </row>
    <row r="942" spans="7:7" ht="16.5" customHeight="1">
      <c r="G942" s="47">
        <f>IF($D942="","",IF(COUNTIF('Config'!$E$6:$E$13,$D942)&gt;0,"Entrada",IF(COUNTIF('Config'!$G$6:$G$21,$D942)&gt;0,"Saída","Verificar")))</f>
        <v/>
      </c>
    </row>
    <row r="943" spans="7:7" ht="16.5" customHeight="1">
      <c r="G943" s="47">
        <f>IF($D943="","",IF(COUNTIF('Config'!$E$6:$E$13,$D943)&gt;0,"Entrada",IF(COUNTIF('Config'!$G$6:$G$21,$D943)&gt;0,"Saída","Verificar")))</f>
        <v/>
      </c>
    </row>
    <row r="944" spans="7:7" ht="16.5" customHeight="1">
      <c r="G944" s="47">
        <f>IF($D944="","",IF(COUNTIF('Config'!$E$6:$E$13,$D944)&gt;0,"Entrada",IF(COUNTIF('Config'!$G$6:$G$21,$D944)&gt;0,"Saída","Verificar")))</f>
        <v/>
      </c>
    </row>
    <row r="945" spans="7:7" ht="16.5" customHeight="1">
      <c r="G945" s="47">
        <f>IF($D945="","",IF(COUNTIF('Config'!$E$6:$E$13,$D945)&gt;0,"Entrada",IF(COUNTIF('Config'!$G$6:$G$21,$D945)&gt;0,"Saída","Verificar")))</f>
        <v/>
      </c>
    </row>
    <row r="946" spans="7:7" ht="16.5" customHeight="1">
      <c r="G946" s="47">
        <f>IF($D946="","",IF(COUNTIF('Config'!$E$6:$E$13,$D946)&gt;0,"Entrada",IF(COUNTIF('Config'!$G$6:$G$21,$D946)&gt;0,"Saída","Verificar")))</f>
        <v/>
      </c>
    </row>
    <row r="947" spans="7:7" ht="16.5" customHeight="1">
      <c r="G947" s="47">
        <f>IF($D947="","",IF(COUNTIF('Config'!$E$6:$E$13,$D947)&gt;0,"Entrada",IF(COUNTIF('Config'!$G$6:$G$21,$D947)&gt;0,"Saída","Verificar")))</f>
        <v/>
      </c>
    </row>
    <row r="948" spans="7:7" ht="16.5" customHeight="1">
      <c r="G948" s="47">
        <f>IF($D948="","",IF(COUNTIF('Config'!$E$6:$E$13,$D948)&gt;0,"Entrada",IF(COUNTIF('Config'!$G$6:$G$21,$D948)&gt;0,"Saída","Verificar")))</f>
        <v/>
      </c>
    </row>
    <row r="949" spans="7:7" ht="16.5" customHeight="1">
      <c r="G949" s="47">
        <f>IF($D949="","",IF(COUNTIF('Config'!$E$6:$E$13,$D949)&gt;0,"Entrada",IF(COUNTIF('Config'!$G$6:$G$21,$D949)&gt;0,"Saída","Verificar")))</f>
        <v/>
      </c>
    </row>
    <row r="950" spans="7:7" ht="16.5" customHeight="1">
      <c r="G950" s="47">
        <f>IF($D950="","",IF(COUNTIF('Config'!$E$6:$E$13,$D950)&gt;0,"Entrada",IF(COUNTIF('Config'!$G$6:$G$21,$D950)&gt;0,"Saída","Verificar")))</f>
        <v/>
      </c>
    </row>
    <row r="951" spans="7:7" ht="16.5" customHeight="1">
      <c r="G951" s="47">
        <f>IF($D951="","",IF(COUNTIF('Config'!$E$6:$E$13,$D951)&gt;0,"Entrada",IF(COUNTIF('Config'!$G$6:$G$21,$D951)&gt;0,"Saída","Verificar")))</f>
        <v/>
      </c>
    </row>
    <row r="952" spans="7:7" ht="16.5" customHeight="1">
      <c r="G952" s="47">
        <f>IF($D952="","",IF(COUNTIF('Config'!$E$6:$E$13,$D952)&gt;0,"Entrada",IF(COUNTIF('Config'!$G$6:$G$21,$D952)&gt;0,"Saída","Verificar")))</f>
        <v/>
      </c>
    </row>
    <row r="953" spans="7:7" ht="16.5" customHeight="1">
      <c r="G953" s="47">
        <f>IF($D953="","",IF(COUNTIF('Config'!$E$6:$E$13,$D953)&gt;0,"Entrada",IF(COUNTIF('Config'!$G$6:$G$21,$D953)&gt;0,"Saída","Verificar")))</f>
        <v/>
      </c>
    </row>
    <row r="954" spans="7:7" ht="16.5" customHeight="1">
      <c r="G954" s="47">
        <f>IF($D954="","",IF(COUNTIF('Config'!$E$6:$E$13,$D954)&gt;0,"Entrada",IF(COUNTIF('Config'!$G$6:$G$21,$D954)&gt;0,"Saída","Verificar")))</f>
        <v/>
      </c>
    </row>
    <row r="955" spans="7:7" ht="16.5" customHeight="1">
      <c r="G955" s="47">
        <f>IF($D955="","",IF(COUNTIF('Config'!$E$6:$E$13,$D955)&gt;0,"Entrada",IF(COUNTIF('Config'!$G$6:$G$21,$D955)&gt;0,"Saída","Verificar")))</f>
        <v/>
      </c>
    </row>
    <row r="956" spans="7:7" ht="16.5" customHeight="1">
      <c r="G956" s="47">
        <f>IF($D956="","",IF(COUNTIF('Config'!$E$6:$E$13,$D956)&gt;0,"Entrada",IF(COUNTIF('Config'!$G$6:$G$21,$D956)&gt;0,"Saída","Verificar")))</f>
        <v/>
      </c>
    </row>
    <row r="957" spans="7:7" ht="16.5" customHeight="1">
      <c r="G957" s="47">
        <f>IF($D957="","",IF(COUNTIF('Config'!$E$6:$E$13,$D957)&gt;0,"Entrada",IF(COUNTIF('Config'!$G$6:$G$21,$D957)&gt;0,"Saída","Verificar")))</f>
        <v/>
      </c>
    </row>
    <row r="958" spans="7:7" ht="16.5" customHeight="1">
      <c r="G958" s="47">
        <f>IF($D958="","",IF(COUNTIF('Config'!$E$6:$E$13,$D958)&gt;0,"Entrada",IF(COUNTIF('Config'!$G$6:$G$21,$D958)&gt;0,"Saída","Verificar")))</f>
        <v/>
      </c>
    </row>
    <row r="959" spans="7:7" ht="16.5" customHeight="1">
      <c r="G959" s="47">
        <f>IF($D959="","",IF(COUNTIF('Config'!$E$6:$E$13,$D959)&gt;0,"Entrada",IF(COUNTIF('Config'!$G$6:$G$21,$D959)&gt;0,"Saída","Verificar")))</f>
        <v/>
      </c>
    </row>
    <row r="960" spans="7:7" ht="16.5" customHeight="1">
      <c r="G960" s="47">
        <f>IF($D960="","",IF(COUNTIF('Config'!$E$6:$E$13,$D960)&gt;0,"Entrada",IF(COUNTIF('Config'!$G$6:$G$21,$D960)&gt;0,"Saída","Verificar")))</f>
        <v/>
      </c>
    </row>
    <row r="961" spans="7:7" ht="16.5" customHeight="1">
      <c r="G961" s="47">
        <f>IF($D961="","",IF(COUNTIF('Config'!$E$6:$E$13,$D961)&gt;0,"Entrada",IF(COUNTIF('Config'!$G$6:$G$21,$D961)&gt;0,"Saída","Verificar")))</f>
        <v/>
      </c>
    </row>
    <row r="962" spans="7:7" ht="16.5" customHeight="1">
      <c r="G962" s="47">
        <f>IF($D962="","",IF(COUNTIF('Config'!$E$6:$E$13,$D962)&gt;0,"Entrada",IF(COUNTIF('Config'!$G$6:$G$21,$D962)&gt;0,"Saída","Verificar")))</f>
        <v/>
      </c>
    </row>
    <row r="963" spans="7:7" ht="16.5" customHeight="1">
      <c r="G963" s="47">
        <f>IF($D963="","",IF(COUNTIF('Config'!$E$6:$E$13,$D963)&gt;0,"Entrada",IF(COUNTIF('Config'!$G$6:$G$21,$D963)&gt;0,"Saída","Verificar")))</f>
        <v/>
      </c>
    </row>
    <row r="964" spans="7:7" ht="16.5" customHeight="1">
      <c r="G964" s="47">
        <f>IF($D964="","",IF(COUNTIF('Config'!$E$6:$E$13,$D964)&gt;0,"Entrada",IF(COUNTIF('Config'!$G$6:$G$21,$D964)&gt;0,"Saída","Verificar")))</f>
        <v/>
      </c>
    </row>
    <row r="965" spans="7:7" ht="16.5" customHeight="1">
      <c r="G965" s="47">
        <f>IF($D965="","",IF(COUNTIF('Config'!$E$6:$E$13,$D965)&gt;0,"Entrada",IF(COUNTIF('Config'!$G$6:$G$21,$D965)&gt;0,"Saída","Verificar")))</f>
        <v/>
      </c>
    </row>
    <row r="966" spans="7:7" ht="16.5" customHeight="1">
      <c r="G966" s="47">
        <f>IF($D966="","",IF(COUNTIF('Config'!$E$6:$E$13,$D966)&gt;0,"Entrada",IF(COUNTIF('Config'!$G$6:$G$21,$D966)&gt;0,"Saída","Verificar")))</f>
        <v/>
      </c>
    </row>
    <row r="967" spans="7:7" ht="16.5" customHeight="1">
      <c r="G967" s="47">
        <f>IF($D967="","",IF(COUNTIF('Config'!$E$6:$E$13,$D967)&gt;0,"Entrada",IF(COUNTIF('Config'!$G$6:$G$21,$D967)&gt;0,"Saída","Verificar")))</f>
        <v/>
      </c>
    </row>
    <row r="968" spans="7:7" ht="16.5" customHeight="1">
      <c r="G968" s="47">
        <f>IF($D968="","",IF(COUNTIF('Config'!$E$6:$E$13,$D968)&gt;0,"Entrada",IF(COUNTIF('Config'!$G$6:$G$21,$D968)&gt;0,"Saída","Verificar")))</f>
        <v/>
      </c>
    </row>
    <row r="969" spans="7:7" ht="16.5" customHeight="1">
      <c r="G969" s="47">
        <f>IF($D969="","",IF(COUNTIF('Config'!$E$6:$E$13,$D969)&gt;0,"Entrada",IF(COUNTIF('Config'!$G$6:$G$21,$D969)&gt;0,"Saída","Verificar")))</f>
        <v/>
      </c>
    </row>
    <row r="970" spans="7:7" ht="16.5" customHeight="1">
      <c r="G970" s="47">
        <f>IF($D970="","",IF(COUNTIF('Config'!$E$6:$E$13,$D970)&gt;0,"Entrada",IF(COUNTIF('Config'!$G$6:$G$21,$D970)&gt;0,"Saída","Verificar")))</f>
        <v/>
      </c>
    </row>
    <row r="971" spans="7:7" ht="16.5" customHeight="1">
      <c r="G971" s="47">
        <f>IF($D971="","",IF(COUNTIF('Config'!$E$6:$E$13,$D971)&gt;0,"Entrada",IF(COUNTIF('Config'!$G$6:$G$21,$D971)&gt;0,"Saída","Verificar")))</f>
        <v/>
      </c>
    </row>
    <row r="972" spans="7:7" ht="16.5" customHeight="1">
      <c r="G972" s="47">
        <f>IF($D972="","",IF(COUNTIF('Config'!$E$6:$E$13,$D972)&gt;0,"Entrada",IF(COUNTIF('Config'!$G$6:$G$21,$D972)&gt;0,"Saída","Verificar")))</f>
        <v/>
      </c>
    </row>
    <row r="973" spans="7:7" ht="16.5" customHeight="1">
      <c r="G973" s="47">
        <f>IF($D973="","",IF(COUNTIF('Config'!$E$6:$E$13,$D973)&gt;0,"Entrada",IF(COUNTIF('Config'!$G$6:$G$21,$D973)&gt;0,"Saída","Verificar")))</f>
        <v/>
      </c>
    </row>
    <row r="974" spans="7:7" ht="16.5" customHeight="1">
      <c r="G974" s="47">
        <f>IF($D974="","",IF(COUNTIF('Config'!$E$6:$E$13,$D974)&gt;0,"Entrada",IF(COUNTIF('Config'!$G$6:$G$21,$D974)&gt;0,"Saída","Verificar")))</f>
        <v/>
      </c>
    </row>
    <row r="975" spans="7:7" ht="16.5" customHeight="1">
      <c r="G975" s="47">
        <f>IF($D975="","",IF(COUNTIF('Config'!$E$6:$E$13,$D975)&gt;0,"Entrada",IF(COUNTIF('Config'!$G$6:$G$21,$D975)&gt;0,"Saída","Verificar")))</f>
        <v/>
      </c>
    </row>
    <row r="976" spans="7:7" ht="16.5" customHeight="1">
      <c r="G976" s="47">
        <f>IF($D976="","",IF(COUNTIF('Config'!$E$6:$E$13,$D976)&gt;0,"Entrada",IF(COUNTIF('Config'!$G$6:$G$21,$D976)&gt;0,"Saída","Verificar")))</f>
        <v/>
      </c>
    </row>
    <row r="977" spans="7:7" ht="16.5" customHeight="1">
      <c r="G977" s="47">
        <f>IF($D977="","",IF(COUNTIF('Config'!$E$6:$E$13,$D977)&gt;0,"Entrada",IF(COUNTIF('Config'!$G$6:$G$21,$D977)&gt;0,"Saída","Verificar")))</f>
        <v/>
      </c>
    </row>
    <row r="978" spans="7:7" ht="16.5" customHeight="1">
      <c r="G978" s="47">
        <f>IF($D978="","",IF(COUNTIF('Config'!$E$6:$E$13,$D978)&gt;0,"Entrada",IF(COUNTIF('Config'!$G$6:$G$21,$D978)&gt;0,"Saída","Verificar")))</f>
        <v/>
      </c>
    </row>
    <row r="979" spans="7:7" ht="16.5" customHeight="1">
      <c r="G979" s="47">
        <f>IF($D979="","",IF(COUNTIF('Config'!$E$6:$E$13,$D979)&gt;0,"Entrada",IF(COUNTIF('Config'!$G$6:$G$21,$D979)&gt;0,"Saída","Verificar")))</f>
        <v/>
      </c>
    </row>
    <row r="980" spans="7:7" ht="16.5" customHeight="1">
      <c r="G980" s="47">
        <f>IF($D980="","",IF(COUNTIF('Config'!$E$6:$E$13,$D980)&gt;0,"Entrada",IF(COUNTIF('Config'!$G$6:$G$21,$D980)&gt;0,"Saída","Verificar")))</f>
        <v/>
      </c>
    </row>
    <row r="981" spans="7:7" ht="16.5" customHeight="1">
      <c r="G981" s="47">
        <f>IF($D981="","",IF(COUNTIF('Config'!$E$6:$E$13,$D981)&gt;0,"Entrada",IF(COUNTIF('Config'!$G$6:$G$21,$D981)&gt;0,"Saída","Verificar")))</f>
        <v/>
      </c>
    </row>
    <row r="982" spans="7:7" ht="16.5" customHeight="1">
      <c r="G982" s="47">
        <f>IF($D982="","",IF(COUNTIF('Config'!$E$6:$E$13,$D982)&gt;0,"Entrada",IF(COUNTIF('Config'!$G$6:$G$21,$D982)&gt;0,"Saída","Verificar")))</f>
        <v/>
      </c>
    </row>
    <row r="983" spans="7:7" ht="16.5" customHeight="1">
      <c r="G983" s="47">
        <f>IF($D983="","",IF(COUNTIF('Config'!$E$6:$E$13,$D983)&gt;0,"Entrada",IF(COUNTIF('Config'!$G$6:$G$21,$D983)&gt;0,"Saída","Verificar")))</f>
        <v/>
      </c>
    </row>
    <row r="984" spans="7:7" ht="16.5" customHeight="1">
      <c r="G984" s="47">
        <f>IF($D984="","",IF(COUNTIF('Config'!$E$6:$E$13,$D984)&gt;0,"Entrada",IF(COUNTIF('Config'!$G$6:$G$21,$D984)&gt;0,"Saída","Verificar")))</f>
        <v/>
      </c>
    </row>
    <row r="985" spans="7:7" ht="16.5" customHeight="1">
      <c r="G985" s="47">
        <f>IF($D985="","",IF(COUNTIF('Config'!$E$6:$E$13,$D985)&gt;0,"Entrada",IF(COUNTIF('Config'!$G$6:$G$21,$D985)&gt;0,"Saída","Verificar")))</f>
        <v/>
      </c>
    </row>
    <row r="986" spans="7:7" ht="16.5" customHeight="1">
      <c r="G986" s="47">
        <f>IF($D986="","",IF(COUNTIF('Config'!$E$6:$E$13,$D986)&gt;0,"Entrada",IF(COUNTIF('Config'!$G$6:$G$21,$D986)&gt;0,"Saída","Verificar")))</f>
        <v/>
      </c>
    </row>
    <row r="987" spans="7:7" ht="16.5" customHeight="1">
      <c r="G987" s="47">
        <f>IF($D987="","",IF(COUNTIF('Config'!$E$6:$E$13,$D987)&gt;0,"Entrada",IF(COUNTIF('Config'!$G$6:$G$21,$D987)&gt;0,"Saída","Verificar")))</f>
        <v/>
      </c>
    </row>
    <row r="988" spans="7:7" ht="16.5" customHeight="1">
      <c r="G988" s="47">
        <f>IF($D988="","",IF(COUNTIF('Config'!$E$6:$E$13,$D988)&gt;0,"Entrada",IF(COUNTIF('Config'!$G$6:$G$21,$D988)&gt;0,"Saída","Verificar")))</f>
        <v/>
      </c>
    </row>
    <row r="989" spans="7:7" ht="16.5" customHeight="1">
      <c r="G989" s="47">
        <f>IF($D989="","",IF(COUNTIF('Config'!$E$6:$E$13,$D989)&gt;0,"Entrada",IF(COUNTIF('Config'!$G$6:$G$21,$D989)&gt;0,"Saída","Verificar")))</f>
        <v/>
      </c>
    </row>
    <row r="990" spans="7:7" ht="16.5" customHeight="1">
      <c r="G990" s="47">
        <f>IF($D990="","",IF(COUNTIF('Config'!$E$6:$E$13,$D990)&gt;0,"Entrada",IF(COUNTIF('Config'!$G$6:$G$21,$D990)&gt;0,"Saída","Verificar")))</f>
        <v/>
      </c>
    </row>
    <row r="991" spans="7:7" ht="16.5" customHeight="1">
      <c r="G991" s="47">
        <f>IF($D991="","",IF(COUNTIF('Config'!$E$6:$E$13,$D991)&gt;0,"Entrada",IF(COUNTIF('Config'!$G$6:$G$21,$D991)&gt;0,"Saída","Verificar")))</f>
        <v/>
      </c>
    </row>
    <row r="992" spans="7:7" ht="16.5" customHeight="1">
      <c r="G992" s="47">
        <f>IF($D992="","",IF(COUNTIF('Config'!$E$6:$E$13,$D992)&gt;0,"Entrada",IF(COUNTIF('Config'!$G$6:$G$21,$D992)&gt;0,"Saída","Verificar")))</f>
        <v/>
      </c>
    </row>
    <row r="993" spans="7:7" ht="16.5" customHeight="1">
      <c r="G993" s="47">
        <f>IF($D993="","",IF(COUNTIF('Config'!$E$6:$E$13,$D993)&gt;0,"Entrada",IF(COUNTIF('Config'!$G$6:$G$21,$D993)&gt;0,"Saída","Verificar")))</f>
        <v/>
      </c>
    </row>
    <row r="994" spans="7:7" ht="16.5" customHeight="1">
      <c r="G994" s="47">
        <f>IF($D994="","",IF(COUNTIF('Config'!$E$6:$E$13,$D994)&gt;0,"Entrada",IF(COUNTIF('Config'!$G$6:$G$21,$D994)&gt;0,"Saída","Verificar")))</f>
        <v/>
      </c>
    </row>
    <row r="995" spans="7:7" ht="16.5" customHeight="1">
      <c r="G995" s="47">
        <f>IF($D995="","",IF(COUNTIF('Config'!$E$6:$E$13,$D995)&gt;0,"Entrada",IF(COUNTIF('Config'!$G$6:$G$21,$D995)&gt;0,"Saída","Verificar")))</f>
        <v/>
      </c>
    </row>
    <row r="996" spans="7:7" ht="16.5" customHeight="1">
      <c r="G996" s="47">
        <f>IF($D996="","",IF(COUNTIF('Config'!$E$6:$E$13,$D996)&gt;0,"Entrada",IF(COUNTIF('Config'!$G$6:$G$21,$D996)&gt;0,"Saída","Verificar")))</f>
        <v/>
      </c>
    </row>
    <row r="997" spans="7:7" ht="16.5" customHeight="1">
      <c r="G997" s="47">
        <f>IF($D997="","",IF(COUNTIF('Config'!$E$6:$E$13,$D997)&gt;0,"Entrada",IF(COUNTIF('Config'!$G$6:$G$21,$D997)&gt;0,"Saída","Verificar")))</f>
        <v/>
      </c>
    </row>
    <row r="998" spans="7:7" ht="16.5" customHeight="1">
      <c r="G998" s="47">
        <f>IF($D998="","",IF(COUNTIF('Config'!$E$6:$E$13,$D998)&gt;0,"Entrada",IF(COUNTIF('Config'!$G$6:$G$21,$D998)&gt;0,"Saída","Verificar")))</f>
        <v/>
      </c>
    </row>
    <row r="999" spans="7:7" ht="16.5" customHeight="1">
      <c r="G999" s="47">
        <f>IF($D999="","",IF(COUNTIF('Config'!$E$6:$E$13,$D999)&gt;0,"Entrada",IF(COUNTIF('Config'!$G$6:$G$21,$D999)&gt;0,"Saída","Verificar")))</f>
        <v/>
      </c>
    </row>
    <row r="1000" spans="7:7" ht="16.5" customHeight="1">
      <c r="G1000" s="47">
        <f>IF($D1000="","",IF(COUNTIF('Config'!$E$6:$E$13,$D1000)&gt;0,"Entrada",IF(COUNTIF('Config'!$G$6:$G$21,$D1000)&gt;0,"Saída","Verificar")))</f>
        <v/>
      </c>
    </row>
    <row r="1001" spans="7:7" ht="16.5" customHeight="1">
      <c r="G1001" s="47">
        <f>IF($D1001="","",IF(COUNTIF('Config'!$E$6:$E$13,$D1001)&gt;0,"Entrada",IF(COUNTIF('Config'!$G$6:$G$21,$D1001)&gt;0,"Saída","Verificar")))</f>
        <v/>
      </c>
    </row>
    <row r="1002" spans="7:7" ht="16.5" customHeight="1">
      <c r="G1002" s="47">
        <f>IF($D1002="","",IF(COUNTIF('Config'!$E$6:$E$13,$D1002)&gt;0,"Entrada",IF(COUNTIF('Config'!$G$6:$G$21,$D1002)&gt;0,"Saída","Verificar")))</f>
        <v/>
      </c>
    </row>
    <row r="1003" spans="7:7" ht="16.5" customHeight="1">
      <c r="G1003" s="47">
        <f>IF($D1003="","",IF(COUNTIF('Config'!$E$6:$E$13,$D1003)&gt;0,"Entrada",IF(COUNTIF('Config'!$G$6:$G$21,$D1003)&gt;0,"Saída","Verificar")))</f>
        <v/>
      </c>
    </row>
    <row r="1004" spans="7:7" ht="16.5" customHeight="1">
      <c r="G1004" s="47">
        <f>IF($D1004="","",IF(COUNTIF('Config'!$E$6:$E$13,$D1004)&gt;0,"Entrada",IF(COUNTIF('Config'!$G$6:$G$21,$D1004)&gt;0,"Saída","Verificar")))</f>
        <v/>
      </c>
    </row>
    <row r="1005" spans="7:7" ht="16.5" customHeight="1">
      <c r="G1005" s="47">
        <f>IF($D1005="","",IF(COUNTIF('Config'!$E$6:$E$13,$D1005)&gt;0,"Entrada",IF(COUNTIF('Config'!$G$6:$G$21,$D1005)&gt;0,"Saída","Verificar")))</f>
        <v/>
      </c>
    </row>
    <row r="1006" spans="7:7" ht="16.5" customHeight="1">
      <c r="G1006" s="47">
        <f>IF($D1006="","",IF(COUNTIF('Config'!$E$6:$E$13,$D1006)&gt;0,"Entrada",IF(COUNTIF('Config'!$G$6:$G$21,$D1006)&gt;0,"Saída","Verificar")))</f>
        <v/>
      </c>
    </row>
    <row r="1007" spans="7:7" ht="16.5" customHeight="1">
      <c r="G1007" s="47">
        <f>IF($D1007="","",IF(COUNTIF('Config'!$E$6:$E$13,$D1007)&gt;0,"Entrada",IF(COUNTIF('Config'!$G$6:$G$21,$D1007)&gt;0,"Saída","Verificar")))</f>
        <v/>
      </c>
    </row>
    <row r="1008" spans="7:7" ht="16.5" customHeight="1">
      <c r="G1008" s="47">
        <f>IF($D1008="","",IF(COUNTIF('Config'!$E$6:$E$13,$D1008)&gt;0,"Entrada",IF(COUNTIF('Config'!$G$6:$G$21,$D1008)&gt;0,"Saída","Verificar")))</f>
        <v/>
      </c>
    </row>
    <row r="1009" spans="7:7" ht="16.5" customHeight="1">
      <c r="G1009" s="47">
        <f>IF($D1009="","",IF(COUNTIF('Config'!$E$6:$E$13,$D1009)&gt;0,"Entrada",IF(COUNTIF('Config'!$G$6:$G$21,$D1009)&gt;0,"Saída","Verificar")))</f>
        <v/>
      </c>
    </row>
    <row r="1010" spans="7:7" ht="16.5" customHeight="1">
      <c r="G1010" s="47">
        <f>IF($D1010="","",IF(COUNTIF('Config'!$E$6:$E$13,$D1010)&gt;0,"Entrada",IF(COUNTIF('Config'!$G$6:$G$21,$D1010)&gt;0,"Saída","Verificar")))</f>
        <v/>
      </c>
    </row>
    <row r="1011" spans="7:7" ht="16.5" customHeight="1">
      <c r="G1011" s="47">
        <f>IF($D1011="","",IF(COUNTIF('Config'!$E$6:$E$13,$D1011)&gt;0,"Entrada",IF(COUNTIF('Config'!$G$6:$G$21,$D1011)&gt;0,"Saída","Verificar")))</f>
        <v/>
      </c>
    </row>
    <row r="1012" spans="7:7" ht="16.5" customHeight="1">
      <c r="G1012" s="47">
        <f>IF($D1012="","",IF(COUNTIF('Config'!$E$6:$E$13,$D1012)&gt;0,"Entrada",IF(COUNTIF('Config'!$G$6:$G$21,$D1012)&gt;0,"Saída","Verificar")))</f>
        <v/>
      </c>
    </row>
    <row r="1013" spans="7:7" ht="16.5" customHeight="1">
      <c r="G1013" s="47">
        <f>IF($D1013="","",IF(COUNTIF('Config'!$E$6:$E$13,$D1013)&gt;0,"Entrada",IF(COUNTIF('Config'!$G$6:$G$21,$D1013)&gt;0,"Saída","Verificar")))</f>
        <v/>
      </c>
    </row>
    <row r="1014" spans="7:7" ht="16.5" customHeight="1">
      <c r="G1014" s="47">
        <f>IF($D1014="","",IF(COUNTIF('Config'!$E$6:$E$13,$D1014)&gt;0,"Entrada",IF(COUNTIF('Config'!$G$6:$G$21,$D1014)&gt;0,"Saída","Verificar")))</f>
        <v/>
      </c>
    </row>
    <row r="1015" spans="7:7" ht="16.5" customHeight="1">
      <c r="G1015" s="47">
        <f>IF($D1015="","",IF(COUNTIF('Config'!$E$6:$E$13,$D1015)&gt;0,"Entrada",IF(COUNTIF('Config'!$G$6:$G$21,$D1015)&gt;0,"Saída","Verificar")))</f>
        <v/>
      </c>
    </row>
    <row r="1016" spans="7:7" ht="16.5" customHeight="1">
      <c r="G1016" s="47">
        <f>IF($D1016="","",IF(COUNTIF('Config'!$E$6:$E$13,$D1016)&gt;0,"Entrada",IF(COUNTIF('Config'!$G$6:$G$21,$D1016)&gt;0,"Saída","Verificar")))</f>
        <v/>
      </c>
    </row>
    <row r="1017" spans="7:7" ht="16.5" customHeight="1">
      <c r="G1017" s="47">
        <f>IF($D1017="","",IF(COUNTIF('Config'!$E$6:$E$13,$D1017)&gt;0,"Entrada",IF(COUNTIF('Config'!$G$6:$G$21,$D1017)&gt;0,"Saída","Verificar")))</f>
        <v/>
      </c>
    </row>
    <row r="1018" spans="7:7" ht="16.5" customHeight="1">
      <c r="G1018" s="47">
        <f>IF($D1018="","",IF(COUNTIF('Config'!$E$6:$E$13,$D1018)&gt;0,"Entrada",IF(COUNTIF('Config'!$G$6:$G$21,$D1018)&gt;0,"Saída","Verificar")))</f>
        <v/>
      </c>
    </row>
    <row r="1019" spans="7:7" ht="16.5" customHeight="1">
      <c r="G1019" s="47">
        <f>IF($D1019="","",IF(COUNTIF('Config'!$E$6:$E$13,$D1019)&gt;0,"Entrada",IF(COUNTIF('Config'!$G$6:$G$21,$D1019)&gt;0,"Saída","Verificar")))</f>
        <v/>
      </c>
    </row>
    <row r="1020" spans="7:7" ht="16.5" customHeight="1">
      <c r="G1020" s="47">
        <f>IF($D1020="","",IF(COUNTIF('Config'!$E$6:$E$13,$D1020)&gt;0,"Entrada",IF(COUNTIF('Config'!$G$6:$G$21,$D1020)&gt;0,"Saída","Verificar")))</f>
        <v/>
      </c>
    </row>
    <row r="1021" spans="7:7" ht="16.5" customHeight="1">
      <c r="G1021" s="47">
        <f>IF($D1021="","",IF(COUNTIF('Config'!$E$6:$E$13,$D1021)&gt;0,"Entrada",IF(COUNTIF('Config'!$G$6:$G$21,$D1021)&gt;0,"Saída","Verificar")))</f>
        <v/>
      </c>
    </row>
    <row r="1022" spans="7:7" ht="16.5" customHeight="1">
      <c r="G1022" s="47">
        <f>IF($D1022="","",IF(COUNTIF('Config'!$E$6:$E$13,$D1022)&gt;0,"Entrada",IF(COUNTIF('Config'!$G$6:$G$21,$D1022)&gt;0,"Saída","Verificar")))</f>
        <v/>
      </c>
    </row>
    <row r="1023" spans="7:7" ht="16.5" customHeight="1">
      <c r="G1023" s="47">
        <f>IF($D1023="","",IF(COUNTIF('Config'!$E$6:$E$13,$D1023)&gt;0,"Entrada",IF(COUNTIF('Config'!$G$6:$G$21,$D1023)&gt;0,"Saída","Verificar")))</f>
        <v/>
      </c>
    </row>
    <row r="1024" spans="7:7" ht="16.5" customHeight="1">
      <c r="G1024" s="47">
        <f>IF($D1024="","",IF(COUNTIF('Config'!$E$6:$E$13,$D1024)&gt;0,"Entrada",IF(COUNTIF('Config'!$G$6:$G$21,$D1024)&gt;0,"Saída","Verificar")))</f>
        <v/>
      </c>
    </row>
    <row r="1025" spans="7:7" ht="16.5" customHeight="1">
      <c r="G1025" s="47">
        <f>IF($D1025="","",IF(COUNTIF('Config'!$E$6:$E$13,$D1025)&gt;0,"Entrada",IF(COUNTIF('Config'!$G$6:$G$21,$D1025)&gt;0,"Saída","Verificar")))</f>
        <v/>
      </c>
    </row>
    <row r="1026" spans="7:7" ht="16.5" customHeight="1">
      <c r="G1026" s="47">
        <f>IF($D1026="","",IF(COUNTIF('Config'!$E$6:$E$13,$D1026)&gt;0,"Entrada",IF(COUNTIF('Config'!$G$6:$G$21,$D1026)&gt;0,"Saída","Verificar")))</f>
        <v/>
      </c>
    </row>
    <row r="1027" spans="7:7" ht="16.5" customHeight="1">
      <c r="G1027" s="47">
        <f>IF($D1027="","",IF(COUNTIF('Config'!$E$6:$E$13,$D1027)&gt;0,"Entrada",IF(COUNTIF('Config'!$G$6:$G$21,$D1027)&gt;0,"Saída","Verificar")))</f>
        <v/>
      </c>
    </row>
    <row r="1028" spans="7:7" ht="16.5" customHeight="1">
      <c r="G1028" s="47">
        <f>IF($D1028="","",IF(COUNTIF('Config'!$E$6:$E$13,$D1028)&gt;0,"Entrada",IF(COUNTIF('Config'!$G$6:$G$21,$D1028)&gt;0,"Saída","Verificar")))</f>
        <v/>
      </c>
    </row>
    <row r="1029" spans="7:7" ht="16.5" customHeight="1">
      <c r="G1029" s="47">
        <f>IF($D1029="","",IF(COUNTIF('Config'!$E$6:$E$13,$D1029)&gt;0,"Entrada",IF(COUNTIF('Config'!$G$6:$G$21,$D1029)&gt;0,"Saída","Verificar")))</f>
        <v/>
      </c>
    </row>
    <row r="1030" spans="7:7" ht="16.5" customHeight="1">
      <c r="G1030" s="47">
        <f>IF($D1030="","",IF(COUNTIF('Config'!$E$6:$E$13,$D1030)&gt;0,"Entrada",IF(COUNTIF('Config'!$G$6:$G$21,$D1030)&gt;0,"Saída","Verificar")))</f>
        <v/>
      </c>
    </row>
    <row r="1031" spans="7:7" ht="16.5" customHeight="1">
      <c r="G1031" s="47">
        <f>IF($D1031="","",IF(COUNTIF('Config'!$E$6:$E$13,$D1031)&gt;0,"Entrada",IF(COUNTIF('Config'!$G$6:$G$21,$D1031)&gt;0,"Saída","Verificar")))</f>
        <v/>
      </c>
    </row>
    <row r="1032" spans="7:7" ht="16.5" customHeight="1">
      <c r="G1032" s="47">
        <f>IF($D1032="","",IF(COUNTIF('Config'!$E$6:$E$13,$D1032)&gt;0,"Entrada",IF(COUNTIF('Config'!$G$6:$G$21,$D1032)&gt;0,"Saída","Verificar")))</f>
        <v/>
      </c>
    </row>
    <row r="1033" spans="7:7" ht="16.5" customHeight="1">
      <c r="G1033" s="47">
        <f>IF($D1033="","",IF(COUNTIF('Config'!$E$6:$E$13,$D1033)&gt;0,"Entrada",IF(COUNTIF('Config'!$G$6:$G$21,$D1033)&gt;0,"Saída","Verificar")))</f>
        <v/>
      </c>
    </row>
    <row r="1034" spans="7:7" ht="16.5" customHeight="1">
      <c r="G1034" s="47">
        <f>IF($D1034="","",IF(COUNTIF('Config'!$E$6:$E$13,$D1034)&gt;0,"Entrada",IF(COUNTIF('Config'!$G$6:$G$21,$D1034)&gt;0,"Saída","Verificar")))</f>
        <v/>
      </c>
    </row>
    <row r="1035" spans="7:7" ht="16.5" customHeight="1">
      <c r="G1035" s="47">
        <f>IF($D1035="","",IF(COUNTIF('Config'!$E$6:$E$13,$D1035)&gt;0,"Entrada",IF(COUNTIF('Config'!$G$6:$G$21,$D1035)&gt;0,"Saída","Verificar")))</f>
        <v/>
      </c>
    </row>
    <row r="1036" spans="7:7" ht="16.5" customHeight="1">
      <c r="G1036" s="47">
        <f>IF($D1036="","",IF(COUNTIF('Config'!$E$6:$E$13,$D1036)&gt;0,"Entrada",IF(COUNTIF('Config'!$G$6:$G$21,$D1036)&gt;0,"Saída","Verificar")))</f>
        <v/>
      </c>
    </row>
    <row r="1037" spans="7:7" ht="16.5" customHeight="1">
      <c r="G1037" s="47">
        <f>IF($D1037="","",IF(COUNTIF('Config'!$E$6:$E$13,$D1037)&gt;0,"Entrada",IF(COUNTIF('Config'!$G$6:$G$21,$D1037)&gt;0,"Saída","Verificar")))</f>
        <v/>
      </c>
    </row>
    <row r="1038" spans="7:7" ht="16.5" customHeight="1">
      <c r="G1038" s="47">
        <f>IF($D1038="","",IF(COUNTIF('Config'!$E$6:$E$13,$D1038)&gt;0,"Entrada",IF(COUNTIF('Config'!$G$6:$G$21,$D1038)&gt;0,"Saída","Verificar")))</f>
        <v/>
      </c>
    </row>
    <row r="1039" spans="7:7" ht="16.5" customHeight="1">
      <c r="G1039" s="47">
        <f>IF($D1039="","",IF(COUNTIF('Config'!$E$6:$E$13,$D1039)&gt;0,"Entrada",IF(COUNTIF('Config'!$G$6:$G$21,$D1039)&gt;0,"Saída","Verificar")))</f>
        <v/>
      </c>
    </row>
    <row r="1040" spans="7:7" ht="16.5" customHeight="1">
      <c r="G1040" s="47">
        <f>IF($D1040="","",IF(COUNTIF('Config'!$E$6:$E$13,$D1040)&gt;0,"Entrada",IF(COUNTIF('Config'!$G$6:$G$21,$D1040)&gt;0,"Saída","Verificar")))</f>
        <v/>
      </c>
    </row>
    <row r="1041" spans="7:7" ht="16.5" customHeight="1">
      <c r="G1041" s="47">
        <f>IF($D1041="","",IF(COUNTIF('Config'!$E$6:$E$13,$D1041)&gt;0,"Entrada",IF(COUNTIF('Config'!$G$6:$G$21,$D1041)&gt;0,"Saída","Verificar")))</f>
        <v/>
      </c>
    </row>
    <row r="1042" spans="7:7" ht="16.5" customHeight="1">
      <c r="G1042" s="47">
        <f>IF($D1042="","",IF(COUNTIF('Config'!$E$6:$E$13,$D1042)&gt;0,"Entrada",IF(COUNTIF('Config'!$G$6:$G$21,$D1042)&gt;0,"Saída","Verificar")))</f>
        <v/>
      </c>
    </row>
    <row r="1043" spans="7:7" ht="16.5" customHeight="1">
      <c r="G1043" s="47">
        <f>IF($D1043="","",IF(COUNTIF('Config'!$E$6:$E$13,$D1043)&gt;0,"Entrada",IF(COUNTIF('Config'!$G$6:$G$21,$D1043)&gt;0,"Saída","Verificar")))</f>
        <v/>
      </c>
    </row>
    <row r="1044" spans="7:7" ht="16.5" customHeight="1">
      <c r="G1044" s="47">
        <f>IF($D1044="","",IF(COUNTIF('Config'!$E$6:$E$13,$D1044)&gt;0,"Entrada",IF(COUNTIF('Config'!$G$6:$G$21,$D1044)&gt;0,"Saída","Verificar")))</f>
        <v/>
      </c>
    </row>
    <row r="1045" spans="7:7" ht="16.5" customHeight="1">
      <c r="G1045" s="47">
        <f>IF($D1045="","",IF(COUNTIF('Config'!$E$6:$E$13,$D1045)&gt;0,"Entrada",IF(COUNTIF('Config'!$G$6:$G$21,$D1045)&gt;0,"Saída","Verificar")))</f>
        <v/>
      </c>
    </row>
    <row r="1046" spans="7:7" ht="16.5" customHeight="1">
      <c r="G1046" s="47">
        <f>IF($D1046="","",IF(COUNTIF('Config'!$E$6:$E$13,$D1046)&gt;0,"Entrada",IF(COUNTIF('Config'!$G$6:$G$21,$D1046)&gt;0,"Saída","Verificar")))</f>
        <v/>
      </c>
    </row>
    <row r="1047" spans="7:7" ht="16.5" customHeight="1">
      <c r="G1047" s="47">
        <f>IF($D1047="","",IF(COUNTIF('Config'!$E$6:$E$13,$D1047)&gt;0,"Entrada",IF(COUNTIF('Config'!$G$6:$G$21,$D1047)&gt;0,"Saída","Verificar")))</f>
        <v/>
      </c>
    </row>
    <row r="1048" spans="7:7" ht="16.5" customHeight="1">
      <c r="G1048" s="47">
        <f>IF($D1048="","",IF(COUNTIF('Config'!$E$6:$E$13,$D1048)&gt;0,"Entrada",IF(COUNTIF('Config'!$G$6:$G$21,$D1048)&gt;0,"Saída","Verificar")))</f>
        <v/>
      </c>
    </row>
    <row r="1049" spans="7:7" ht="16.5" customHeight="1">
      <c r="G1049" s="47">
        <f>IF($D1049="","",IF(COUNTIF('Config'!$E$6:$E$13,$D1049)&gt;0,"Entrada",IF(COUNTIF('Config'!$G$6:$G$21,$D1049)&gt;0,"Saída","Verificar")))</f>
        <v/>
      </c>
    </row>
    <row r="1050" spans="7:7" ht="16.5" customHeight="1">
      <c r="G1050" s="47">
        <f>IF($D1050="","",IF(COUNTIF('Config'!$E$6:$E$13,$D1050)&gt;0,"Entrada",IF(COUNTIF('Config'!$G$6:$G$21,$D1050)&gt;0,"Saída","Verificar")))</f>
        <v/>
      </c>
    </row>
    <row r="1051" spans="7:7" ht="16.5" customHeight="1">
      <c r="G1051" s="47">
        <f>IF($D1051="","",IF(COUNTIF('Config'!$E$6:$E$13,$D1051)&gt;0,"Entrada",IF(COUNTIF('Config'!$G$6:$G$21,$D1051)&gt;0,"Saída","Verificar")))</f>
        <v/>
      </c>
    </row>
    <row r="1052" spans="7:7" ht="16.5" customHeight="1">
      <c r="G1052" s="47">
        <f>IF($D1052="","",IF(COUNTIF('Config'!$E$6:$E$13,$D1052)&gt;0,"Entrada",IF(COUNTIF('Config'!$G$6:$G$21,$D1052)&gt;0,"Saída","Verificar")))</f>
        <v/>
      </c>
    </row>
    <row r="1053" spans="7:7" ht="16.5" customHeight="1">
      <c r="G1053" s="47">
        <f>IF($D1053="","",IF(COUNTIF('Config'!$E$6:$E$13,$D1053)&gt;0,"Entrada",IF(COUNTIF('Config'!$G$6:$G$21,$D1053)&gt;0,"Saída","Verificar")))</f>
        <v/>
      </c>
    </row>
    <row r="1054" spans="7:7" ht="16.5" customHeight="1">
      <c r="G1054" s="47">
        <f>IF($D1054="","",IF(COUNTIF('Config'!$E$6:$E$13,$D1054)&gt;0,"Entrada",IF(COUNTIF('Config'!$G$6:$G$21,$D1054)&gt;0,"Saída","Verificar")))</f>
        <v/>
      </c>
    </row>
    <row r="1055" spans="7:7" ht="16.5" customHeight="1">
      <c r="G1055" s="47">
        <f>IF($D1055="","",IF(COUNTIF('Config'!$E$6:$E$13,$D1055)&gt;0,"Entrada",IF(COUNTIF('Config'!$G$6:$G$21,$D1055)&gt;0,"Saída","Verificar")))</f>
        <v/>
      </c>
    </row>
    <row r="1056" spans="7:7" ht="16.5" customHeight="1">
      <c r="G1056" s="47">
        <f>IF($D1056="","",IF(COUNTIF('Config'!$E$6:$E$13,$D1056)&gt;0,"Entrada",IF(COUNTIF('Config'!$G$6:$G$21,$D1056)&gt;0,"Saída","Verificar")))</f>
        <v/>
      </c>
    </row>
    <row r="1057" spans="7:7" ht="16.5" customHeight="1">
      <c r="G1057" s="47">
        <f>IF($D1057="","",IF(COUNTIF('Config'!$E$6:$E$13,$D1057)&gt;0,"Entrada",IF(COUNTIF('Config'!$G$6:$G$21,$D1057)&gt;0,"Saída","Verificar")))</f>
        <v/>
      </c>
    </row>
    <row r="1058" spans="7:7" ht="16.5" customHeight="1">
      <c r="G1058" s="47">
        <f>IF($D1058="","",IF(COUNTIF('Config'!$E$6:$E$13,$D1058)&gt;0,"Entrada",IF(COUNTIF('Config'!$G$6:$G$21,$D1058)&gt;0,"Saída","Verificar")))</f>
        <v/>
      </c>
    </row>
    <row r="1059" spans="7:7" ht="16.5" customHeight="1">
      <c r="G1059" s="47">
        <f>IF($D1059="","",IF(COUNTIF('Config'!$E$6:$E$13,$D1059)&gt;0,"Entrada",IF(COUNTIF('Config'!$G$6:$G$21,$D1059)&gt;0,"Saída","Verificar")))</f>
        <v/>
      </c>
    </row>
    <row r="1060" spans="7:7" ht="16.5" customHeight="1">
      <c r="G1060" s="47">
        <f>IF($D1060="","",IF(COUNTIF('Config'!$E$6:$E$13,$D1060)&gt;0,"Entrada",IF(COUNTIF('Config'!$G$6:$G$21,$D1060)&gt;0,"Saída","Verificar")))</f>
        <v/>
      </c>
    </row>
    <row r="1061" spans="7:7" ht="16.5" customHeight="1">
      <c r="G1061" s="47">
        <f>IF($D1061="","",IF(COUNTIF('Config'!$E$6:$E$13,$D1061)&gt;0,"Entrada",IF(COUNTIF('Config'!$G$6:$G$21,$D1061)&gt;0,"Saída","Verificar")))</f>
        <v/>
      </c>
    </row>
    <row r="1062" spans="7:7" ht="16.5" customHeight="1">
      <c r="G1062" s="47">
        <f>IF($D1062="","",IF(COUNTIF('Config'!$E$6:$E$13,$D1062)&gt;0,"Entrada",IF(COUNTIF('Config'!$G$6:$G$21,$D1062)&gt;0,"Saída","Verificar")))</f>
        <v/>
      </c>
    </row>
    <row r="1063" spans="7:7" ht="16.5" customHeight="1">
      <c r="G1063" s="47">
        <f>IF($D1063="","",IF(COUNTIF('Config'!$E$6:$E$13,$D1063)&gt;0,"Entrada",IF(COUNTIF('Config'!$G$6:$G$21,$D1063)&gt;0,"Saída","Verificar")))</f>
        <v/>
      </c>
    </row>
    <row r="1064" spans="7:7" ht="16.5" customHeight="1">
      <c r="G1064" s="47">
        <f>IF($D1064="","",IF(COUNTIF('Config'!$E$6:$E$13,$D1064)&gt;0,"Entrada",IF(COUNTIF('Config'!$G$6:$G$21,$D1064)&gt;0,"Saída","Verificar")))</f>
        <v/>
      </c>
    </row>
    <row r="1065" spans="7:7" ht="16.5" customHeight="1">
      <c r="G1065" s="47">
        <f>IF($D1065="","",IF(COUNTIF('Config'!$E$6:$E$13,$D1065)&gt;0,"Entrada",IF(COUNTIF('Config'!$G$6:$G$21,$D1065)&gt;0,"Saída","Verificar")))</f>
        <v/>
      </c>
    </row>
    <row r="1066" spans="7:7" ht="16.5" customHeight="1">
      <c r="G1066" s="47">
        <f>IF($D1066="","",IF(COUNTIF('Config'!$E$6:$E$13,$D1066)&gt;0,"Entrada",IF(COUNTIF('Config'!$G$6:$G$21,$D1066)&gt;0,"Saída","Verificar")))</f>
        <v/>
      </c>
    </row>
    <row r="1067" spans="7:7" ht="16.5" customHeight="1">
      <c r="G1067" s="47">
        <f>IF($D1067="","",IF(COUNTIF('Config'!$E$6:$E$13,$D1067)&gt;0,"Entrada",IF(COUNTIF('Config'!$G$6:$G$21,$D1067)&gt;0,"Saída","Verificar")))</f>
        <v/>
      </c>
    </row>
    <row r="1068" spans="7:7" ht="16.5" customHeight="1">
      <c r="G1068" s="47">
        <f>IF($D1068="","",IF(COUNTIF('Config'!$E$6:$E$13,$D1068)&gt;0,"Entrada",IF(COUNTIF('Config'!$G$6:$G$21,$D1068)&gt;0,"Saída","Verificar")))</f>
        <v/>
      </c>
    </row>
    <row r="1069" spans="7:7" ht="16.5" customHeight="1">
      <c r="G1069" s="47">
        <f>IF($D1069="","",IF(COUNTIF('Config'!$E$6:$E$13,$D1069)&gt;0,"Entrada",IF(COUNTIF('Config'!$G$6:$G$21,$D1069)&gt;0,"Saída","Verificar")))</f>
        <v/>
      </c>
    </row>
    <row r="1070" spans="7:7" ht="16.5" customHeight="1">
      <c r="G1070" s="47">
        <f>IF($D1070="","",IF(COUNTIF('Config'!$E$6:$E$13,$D1070)&gt;0,"Entrada",IF(COUNTIF('Config'!$G$6:$G$21,$D1070)&gt;0,"Saída","Verificar")))</f>
        <v/>
      </c>
    </row>
    <row r="1071" spans="7:7" ht="16.5" customHeight="1">
      <c r="G1071" s="47">
        <f>IF($D1071="","",IF(COUNTIF('Config'!$E$6:$E$13,$D1071)&gt;0,"Entrada",IF(COUNTIF('Config'!$G$6:$G$21,$D1071)&gt;0,"Saída","Verificar")))</f>
        <v/>
      </c>
    </row>
    <row r="1072" spans="7:7" ht="16.5" customHeight="1">
      <c r="G1072" s="47">
        <f>IF($D1072="","",IF(COUNTIF('Config'!$E$6:$E$13,$D1072)&gt;0,"Entrada",IF(COUNTIF('Config'!$G$6:$G$21,$D1072)&gt;0,"Saída","Verificar")))</f>
        <v/>
      </c>
    </row>
    <row r="1073" spans="7:7" ht="16.5" customHeight="1">
      <c r="G1073" s="47">
        <f>IF($D1073="","",IF(COUNTIF('Config'!$E$6:$E$13,$D1073)&gt;0,"Entrada",IF(COUNTIF('Config'!$G$6:$G$21,$D1073)&gt;0,"Saída","Verificar")))</f>
        <v/>
      </c>
    </row>
    <row r="1074" spans="7:7" ht="16.5" customHeight="1">
      <c r="G1074" s="47">
        <f>IF($D1074="","",IF(COUNTIF('Config'!$E$6:$E$13,$D1074)&gt;0,"Entrada",IF(COUNTIF('Config'!$G$6:$G$21,$D1074)&gt;0,"Saída","Verificar")))</f>
        <v/>
      </c>
    </row>
    <row r="1075" spans="7:7" ht="16.5" customHeight="1">
      <c r="G1075" s="47">
        <f>IF($D1075="","",IF(COUNTIF('Config'!$E$6:$E$13,$D1075)&gt;0,"Entrada",IF(COUNTIF('Config'!$G$6:$G$21,$D1075)&gt;0,"Saída","Verificar")))</f>
        <v/>
      </c>
    </row>
    <row r="1076" spans="7:7" ht="16.5" customHeight="1">
      <c r="G1076" s="47">
        <f>IF($D1076="","",IF(COUNTIF('Config'!$E$6:$E$13,$D1076)&gt;0,"Entrada",IF(COUNTIF('Config'!$G$6:$G$21,$D1076)&gt;0,"Saída","Verificar")))</f>
        <v/>
      </c>
    </row>
    <row r="1077" spans="7:7" ht="16.5" customHeight="1">
      <c r="G1077" s="47">
        <f>IF($D1077="","",IF(COUNTIF('Config'!$E$6:$E$13,$D1077)&gt;0,"Entrada",IF(COUNTIF('Config'!$G$6:$G$21,$D1077)&gt;0,"Saída","Verificar")))</f>
        <v/>
      </c>
    </row>
    <row r="1078" spans="7:7" ht="16.5" customHeight="1">
      <c r="G1078" s="47">
        <f>IF($D1078="","",IF(COUNTIF('Config'!$E$6:$E$13,$D1078)&gt;0,"Entrada",IF(COUNTIF('Config'!$G$6:$G$21,$D1078)&gt;0,"Saída","Verificar")))</f>
        <v/>
      </c>
    </row>
    <row r="1079" spans="7:7" ht="16.5" customHeight="1">
      <c r="G1079" s="47">
        <f>IF($D1079="","",IF(COUNTIF('Config'!$E$6:$E$13,$D1079)&gt;0,"Entrada",IF(COUNTIF('Config'!$G$6:$G$21,$D1079)&gt;0,"Saída","Verificar")))</f>
        <v/>
      </c>
    </row>
    <row r="1080" spans="7:7" ht="16.5" customHeight="1">
      <c r="G1080" s="47">
        <f>IF($D1080="","",IF(COUNTIF('Config'!$E$6:$E$13,$D1080)&gt;0,"Entrada",IF(COUNTIF('Config'!$G$6:$G$21,$D1080)&gt;0,"Saída","Verificar")))</f>
        <v/>
      </c>
    </row>
    <row r="1081" spans="7:7" ht="16.5" customHeight="1">
      <c r="G1081" s="47">
        <f>IF($D1081="","",IF(COUNTIF('Config'!$E$6:$E$13,$D1081)&gt;0,"Entrada",IF(COUNTIF('Config'!$G$6:$G$21,$D1081)&gt;0,"Saída","Verificar")))</f>
        <v/>
      </c>
    </row>
    <row r="1082" spans="7:7" ht="16.5" customHeight="1">
      <c r="G1082" s="47">
        <f>IF($D1082="","",IF(COUNTIF('Config'!$E$6:$E$13,$D1082)&gt;0,"Entrada",IF(COUNTIF('Config'!$G$6:$G$21,$D1082)&gt;0,"Saída","Verificar")))</f>
        <v/>
      </c>
    </row>
    <row r="1083" spans="7:7" ht="16.5" customHeight="1">
      <c r="G1083" s="47">
        <f>IF($D1083="","",IF(COUNTIF('Config'!$E$6:$E$13,$D1083)&gt;0,"Entrada",IF(COUNTIF('Config'!$G$6:$G$21,$D1083)&gt;0,"Saída","Verificar")))</f>
        <v/>
      </c>
    </row>
    <row r="1084" spans="7:7" ht="16.5" customHeight="1">
      <c r="G1084" s="47">
        <f>IF($D1084="","",IF(COUNTIF('Config'!$E$6:$E$13,$D1084)&gt;0,"Entrada",IF(COUNTIF('Config'!$G$6:$G$21,$D1084)&gt;0,"Saída","Verificar")))</f>
        <v/>
      </c>
    </row>
    <row r="1085" spans="7:7" ht="16.5" customHeight="1">
      <c r="G1085" s="47">
        <f>IF($D1085="","",IF(COUNTIF('Config'!$E$6:$E$13,$D1085)&gt;0,"Entrada",IF(COUNTIF('Config'!$G$6:$G$21,$D1085)&gt;0,"Saída","Verificar")))</f>
        <v/>
      </c>
    </row>
    <row r="1086" spans="7:7" ht="16.5" customHeight="1">
      <c r="G1086" s="47">
        <f>IF($D1086="","",IF(COUNTIF('Config'!$E$6:$E$13,$D1086)&gt;0,"Entrada",IF(COUNTIF('Config'!$G$6:$G$21,$D1086)&gt;0,"Saída","Verificar")))</f>
        <v/>
      </c>
    </row>
    <row r="1087" spans="7:7" ht="16.5" customHeight="1">
      <c r="G1087" s="47">
        <f>IF($D1087="","",IF(COUNTIF('Config'!$E$6:$E$13,$D1087)&gt;0,"Entrada",IF(COUNTIF('Config'!$G$6:$G$21,$D1087)&gt;0,"Saída","Verificar")))</f>
        <v/>
      </c>
    </row>
    <row r="1088" spans="7:7" ht="16.5" customHeight="1">
      <c r="G1088" s="47">
        <f>IF($D1088="","",IF(COUNTIF('Config'!$E$6:$E$13,$D1088)&gt;0,"Entrada",IF(COUNTIF('Config'!$G$6:$G$21,$D1088)&gt;0,"Saída","Verificar")))</f>
        <v/>
      </c>
    </row>
    <row r="1089" spans="7:7" ht="16.5" customHeight="1">
      <c r="G1089" s="47">
        <f>IF($D1089="","",IF(COUNTIF('Config'!$E$6:$E$13,$D1089)&gt;0,"Entrada",IF(COUNTIF('Config'!$G$6:$G$21,$D1089)&gt;0,"Saída","Verificar")))</f>
        <v/>
      </c>
    </row>
    <row r="1090" spans="7:7" ht="16.5" customHeight="1">
      <c r="G1090" s="47">
        <f>IF($D1090="","",IF(COUNTIF('Config'!$E$6:$E$13,$D1090)&gt;0,"Entrada",IF(COUNTIF('Config'!$G$6:$G$21,$D1090)&gt;0,"Saída","Verificar")))</f>
        <v/>
      </c>
    </row>
    <row r="1091" spans="7:7" ht="16.5" customHeight="1">
      <c r="G1091" s="47">
        <f>IF($D1091="","",IF(COUNTIF('Config'!$E$6:$E$13,$D1091)&gt;0,"Entrada",IF(COUNTIF('Config'!$G$6:$G$21,$D1091)&gt;0,"Saída","Verificar")))</f>
        <v/>
      </c>
    </row>
    <row r="1092" spans="7:7" ht="16.5" customHeight="1">
      <c r="G1092" s="47">
        <f>IF($D1092="","",IF(COUNTIF('Config'!$E$6:$E$13,$D1092)&gt;0,"Entrada",IF(COUNTIF('Config'!$G$6:$G$21,$D1092)&gt;0,"Saída","Verificar")))</f>
        <v/>
      </c>
    </row>
    <row r="1093" spans="7:7" ht="16.5" customHeight="1">
      <c r="G1093" s="47">
        <f>IF($D1093="","",IF(COUNTIF('Config'!$E$6:$E$13,$D1093)&gt;0,"Entrada",IF(COUNTIF('Config'!$G$6:$G$21,$D1093)&gt;0,"Saída","Verificar")))</f>
        <v/>
      </c>
    </row>
    <row r="1094" spans="7:7" ht="16.5" customHeight="1">
      <c r="G1094" s="47">
        <f>IF($D1094="","",IF(COUNTIF('Config'!$E$6:$E$13,$D1094)&gt;0,"Entrada",IF(COUNTIF('Config'!$G$6:$G$21,$D1094)&gt;0,"Saída","Verificar")))</f>
        <v/>
      </c>
    </row>
    <row r="1095" spans="7:7" ht="16.5" customHeight="1">
      <c r="G1095" s="47">
        <f>IF($D1095="","",IF(COUNTIF('Config'!$E$6:$E$13,$D1095)&gt;0,"Entrada",IF(COUNTIF('Config'!$G$6:$G$21,$D1095)&gt;0,"Saída","Verificar")))</f>
        <v/>
      </c>
    </row>
    <row r="1096" spans="7:7" ht="16.5" customHeight="1">
      <c r="G1096" s="47">
        <f>IF($D1096="","",IF(COUNTIF('Config'!$E$6:$E$13,$D1096)&gt;0,"Entrada",IF(COUNTIF('Config'!$G$6:$G$21,$D1096)&gt;0,"Saída","Verificar")))</f>
        <v/>
      </c>
    </row>
    <row r="1097" spans="7:7" ht="16.5" customHeight="1">
      <c r="G1097" s="47">
        <f>IF($D1097="","",IF(COUNTIF('Config'!$E$6:$E$13,$D1097)&gt;0,"Entrada",IF(COUNTIF('Config'!$G$6:$G$21,$D1097)&gt;0,"Saída","Verificar")))</f>
        <v/>
      </c>
    </row>
    <row r="1098" spans="7:7" ht="16.5" customHeight="1">
      <c r="G1098" s="47">
        <f>IF($D1098="","",IF(COUNTIF('Config'!$E$6:$E$13,$D1098)&gt;0,"Entrada",IF(COUNTIF('Config'!$G$6:$G$21,$D1098)&gt;0,"Saída","Verificar")))</f>
        <v/>
      </c>
    </row>
    <row r="1099" spans="7:7" ht="16.5" customHeight="1">
      <c r="G1099" s="47">
        <f>IF($D1099="","",IF(COUNTIF('Config'!$E$6:$E$13,$D1099)&gt;0,"Entrada",IF(COUNTIF('Config'!$G$6:$G$21,$D1099)&gt;0,"Saída","Verificar")))</f>
        <v/>
      </c>
    </row>
    <row r="1100" spans="7:7" ht="16.5" customHeight="1">
      <c r="G1100" s="47">
        <f>IF($D1100="","",IF(COUNTIF('Config'!$E$6:$E$13,$D1100)&gt;0,"Entrada",IF(COUNTIF('Config'!$G$6:$G$21,$D1100)&gt;0,"Saída","Verificar")))</f>
        <v/>
      </c>
    </row>
    <row r="1101" spans="7:7" ht="16.5" customHeight="1">
      <c r="G1101" s="47">
        <f>IF($D1101="","",IF(COUNTIF('Config'!$E$6:$E$13,$D1101)&gt;0,"Entrada",IF(COUNTIF('Config'!$G$6:$G$21,$D1101)&gt;0,"Saída","Verificar")))</f>
        <v/>
      </c>
    </row>
    <row r="1102" spans="7:7" ht="16.5" customHeight="1">
      <c r="G1102" s="47">
        <f>IF($D1102="","",IF(COUNTIF('Config'!$E$6:$E$13,$D1102)&gt;0,"Entrada",IF(COUNTIF('Config'!$G$6:$G$21,$D1102)&gt;0,"Saída","Verificar")))</f>
        <v/>
      </c>
    </row>
    <row r="1103" spans="7:7" ht="16.5" customHeight="1">
      <c r="G1103" s="47">
        <f>IF($D1103="","",IF(COUNTIF('Config'!$E$6:$E$13,$D1103)&gt;0,"Entrada",IF(COUNTIF('Config'!$G$6:$G$21,$D1103)&gt;0,"Saída","Verificar")))</f>
        <v/>
      </c>
    </row>
    <row r="1104" spans="7:7" ht="16.5" customHeight="1">
      <c r="G1104" s="47">
        <f>IF($D1104="","",IF(COUNTIF('Config'!$E$6:$E$13,$D1104)&gt;0,"Entrada",IF(COUNTIF('Config'!$G$6:$G$21,$D1104)&gt;0,"Saída","Verificar")))</f>
        <v/>
      </c>
    </row>
    <row r="1105" spans="7:7" ht="16.5" customHeight="1">
      <c r="G1105" s="47">
        <f>IF($D1105="","",IF(COUNTIF('Config'!$E$6:$E$13,$D1105)&gt;0,"Entrada",IF(COUNTIF('Config'!$G$6:$G$21,$D1105)&gt;0,"Saída","Verificar")))</f>
        <v/>
      </c>
    </row>
    <row r="1106" spans="7:7" ht="16.5" customHeight="1">
      <c r="G1106" s="47">
        <f>IF($D1106="","",IF(COUNTIF('Config'!$E$6:$E$13,$D1106)&gt;0,"Entrada",IF(COUNTIF('Config'!$G$6:$G$21,$D1106)&gt;0,"Saída","Verificar")))</f>
        <v/>
      </c>
    </row>
    <row r="1107" spans="7:7" ht="16.5" customHeight="1">
      <c r="G1107" s="47">
        <f>IF($D1107="","",IF(COUNTIF('Config'!$E$6:$E$13,$D1107)&gt;0,"Entrada",IF(COUNTIF('Config'!$G$6:$G$21,$D1107)&gt;0,"Saída","Verificar")))</f>
        <v/>
      </c>
    </row>
    <row r="1108" spans="7:7" ht="16.5" customHeight="1">
      <c r="G1108" s="47">
        <f>IF($D1108="","",IF(COUNTIF('Config'!$E$6:$E$13,$D1108)&gt;0,"Entrada",IF(COUNTIF('Config'!$G$6:$G$21,$D1108)&gt;0,"Saída","Verificar")))</f>
        <v/>
      </c>
    </row>
    <row r="1109" spans="7:7" ht="16.5" customHeight="1">
      <c r="G1109" s="47">
        <f>IF($D1109="","",IF(COUNTIF('Config'!$E$6:$E$13,$D1109)&gt;0,"Entrada",IF(COUNTIF('Config'!$G$6:$G$21,$D1109)&gt;0,"Saída","Verificar")))</f>
        <v/>
      </c>
    </row>
    <row r="1110" spans="7:7" ht="16.5" customHeight="1">
      <c r="G1110" s="47">
        <f>IF($D1110="","",IF(COUNTIF('Config'!$E$6:$E$13,$D1110)&gt;0,"Entrada",IF(COUNTIF('Config'!$G$6:$G$21,$D1110)&gt;0,"Saída","Verificar")))</f>
        <v/>
      </c>
    </row>
    <row r="1111" spans="7:7" ht="16.5" customHeight="1">
      <c r="G1111" s="47">
        <f>IF($D1111="","",IF(COUNTIF('Config'!$E$6:$E$13,$D1111)&gt;0,"Entrada",IF(COUNTIF('Config'!$G$6:$G$21,$D1111)&gt;0,"Saída","Verificar")))</f>
        <v/>
      </c>
    </row>
    <row r="1112" spans="7:7" ht="16.5" customHeight="1">
      <c r="G1112" s="47">
        <f>IF($D1112="","",IF(COUNTIF('Config'!$E$6:$E$13,$D1112)&gt;0,"Entrada",IF(COUNTIF('Config'!$G$6:$G$21,$D1112)&gt;0,"Saída","Verificar")))</f>
        <v/>
      </c>
    </row>
    <row r="1113" spans="7:7" ht="16.5" customHeight="1">
      <c r="G1113" s="47">
        <f>IF($D1113="","",IF(COUNTIF('Config'!$E$6:$E$13,$D1113)&gt;0,"Entrada",IF(COUNTIF('Config'!$G$6:$G$21,$D1113)&gt;0,"Saída","Verificar")))</f>
        <v/>
      </c>
    </row>
    <row r="1114" spans="7:7" ht="16.5" customHeight="1">
      <c r="G1114" s="47">
        <f>IF($D1114="","",IF(COUNTIF('Config'!$E$6:$E$13,$D1114)&gt;0,"Entrada",IF(COUNTIF('Config'!$G$6:$G$21,$D1114)&gt;0,"Saída","Verificar")))</f>
        <v/>
      </c>
    </row>
    <row r="1115" spans="7:7" ht="16.5" customHeight="1">
      <c r="G1115" s="47">
        <f>IF($D1115="","",IF(COUNTIF('Config'!$E$6:$E$13,$D1115)&gt;0,"Entrada",IF(COUNTIF('Config'!$G$6:$G$21,$D1115)&gt;0,"Saída","Verificar")))</f>
        <v/>
      </c>
    </row>
    <row r="1116" spans="7:7" ht="16.5" customHeight="1">
      <c r="G1116" s="47">
        <f>IF($D1116="","",IF(COUNTIF('Config'!$E$6:$E$13,$D1116)&gt;0,"Entrada",IF(COUNTIF('Config'!$G$6:$G$21,$D1116)&gt;0,"Saída","Verificar")))</f>
        <v/>
      </c>
    </row>
    <row r="1117" spans="7:7" ht="16.5" customHeight="1">
      <c r="G1117" s="47">
        <f>IF($D1117="","",IF(COUNTIF('Config'!$E$6:$E$13,$D1117)&gt;0,"Entrada",IF(COUNTIF('Config'!$G$6:$G$21,$D1117)&gt;0,"Saída","Verificar")))</f>
        <v/>
      </c>
    </row>
    <row r="1118" spans="7:7" ht="16.5" customHeight="1">
      <c r="G1118" s="47">
        <f>IF($D1118="","",IF(COUNTIF('Config'!$E$6:$E$13,$D1118)&gt;0,"Entrada",IF(COUNTIF('Config'!$G$6:$G$21,$D1118)&gt;0,"Saída","Verificar")))</f>
        <v/>
      </c>
    </row>
    <row r="1119" spans="7:7" ht="16.5" customHeight="1">
      <c r="G1119" s="47">
        <f>IF($D1119="","",IF(COUNTIF('Config'!$E$6:$E$13,$D1119)&gt;0,"Entrada",IF(COUNTIF('Config'!$G$6:$G$21,$D1119)&gt;0,"Saída","Verificar")))</f>
        <v/>
      </c>
    </row>
    <row r="1120" spans="7:7" ht="16.5" customHeight="1">
      <c r="G1120" s="47">
        <f>IF($D1120="","",IF(COUNTIF('Config'!$E$6:$E$13,$D1120)&gt;0,"Entrada",IF(COUNTIF('Config'!$G$6:$G$21,$D1120)&gt;0,"Saída","Verificar")))</f>
        <v/>
      </c>
    </row>
    <row r="1121" spans="7:7" ht="16.5" customHeight="1">
      <c r="G1121" s="47">
        <f>IF($D1121="","",IF(COUNTIF('Config'!$E$6:$E$13,$D1121)&gt;0,"Entrada",IF(COUNTIF('Config'!$G$6:$G$21,$D1121)&gt;0,"Saída","Verificar")))</f>
        <v/>
      </c>
    </row>
    <row r="1122" spans="7:7" ht="16.5" customHeight="1">
      <c r="G1122" s="47">
        <f>IF($D1122="","",IF(COUNTIF('Config'!$E$6:$E$13,$D1122)&gt;0,"Entrada",IF(COUNTIF('Config'!$G$6:$G$21,$D1122)&gt;0,"Saída","Verificar")))</f>
        <v/>
      </c>
    </row>
    <row r="1123" spans="7:7" ht="16.5" customHeight="1">
      <c r="G1123" s="47">
        <f>IF($D1123="","",IF(COUNTIF('Config'!$E$6:$E$13,$D1123)&gt;0,"Entrada",IF(COUNTIF('Config'!$G$6:$G$21,$D1123)&gt;0,"Saída","Verificar")))</f>
        <v/>
      </c>
    </row>
    <row r="1124" spans="7:7" ht="16.5" customHeight="1">
      <c r="G1124" s="47">
        <f>IF($D1124="","",IF(COUNTIF('Config'!$E$6:$E$13,$D1124)&gt;0,"Entrada",IF(COUNTIF('Config'!$G$6:$G$21,$D1124)&gt;0,"Saída","Verificar")))</f>
        <v/>
      </c>
    </row>
    <row r="1125" spans="7:7" ht="16.5" customHeight="1">
      <c r="G1125" s="47">
        <f>IF($D1125="","",IF(COUNTIF('Config'!$E$6:$E$13,$D1125)&gt;0,"Entrada",IF(COUNTIF('Config'!$G$6:$G$21,$D1125)&gt;0,"Saída","Verificar")))</f>
        <v/>
      </c>
    </row>
    <row r="1126" spans="7:7" ht="16.5" customHeight="1">
      <c r="G1126" s="47">
        <f>IF($D1126="","",IF(COUNTIF('Config'!$E$6:$E$13,$D1126)&gt;0,"Entrada",IF(COUNTIF('Config'!$G$6:$G$21,$D1126)&gt;0,"Saída","Verificar")))</f>
        <v/>
      </c>
    </row>
    <row r="1127" spans="7:7" ht="16.5" customHeight="1">
      <c r="G1127" s="47">
        <f>IF($D1127="","",IF(COUNTIF('Config'!$E$6:$E$13,$D1127)&gt;0,"Entrada",IF(COUNTIF('Config'!$G$6:$G$21,$D1127)&gt;0,"Saída","Verificar")))</f>
        <v/>
      </c>
    </row>
    <row r="1128" spans="7:7" ht="16.5" customHeight="1">
      <c r="G1128" s="47">
        <f>IF($D1128="","",IF(COUNTIF('Config'!$E$6:$E$13,$D1128)&gt;0,"Entrada",IF(COUNTIF('Config'!$G$6:$G$21,$D1128)&gt;0,"Saída","Verificar")))</f>
        <v/>
      </c>
    </row>
    <row r="1129" spans="7:7" ht="16.5" customHeight="1">
      <c r="G1129" s="47">
        <f>IF($D1129="","",IF(COUNTIF('Config'!$E$6:$E$13,$D1129)&gt;0,"Entrada",IF(COUNTIF('Config'!$G$6:$G$21,$D1129)&gt;0,"Saída","Verificar")))</f>
        <v/>
      </c>
    </row>
    <row r="1130" spans="7:7" ht="16.5" customHeight="1">
      <c r="G1130" s="47">
        <f>IF($D1130="","",IF(COUNTIF('Config'!$E$6:$E$13,$D1130)&gt;0,"Entrada",IF(COUNTIF('Config'!$G$6:$G$21,$D1130)&gt;0,"Saída","Verificar")))</f>
        <v/>
      </c>
    </row>
    <row r="1131" spans="7:7" ht="16.5" customHeight="1">
      <c r="G1131" s="47">
        <f>IF($D1131="","",IF(COUNTIF('Config'!$E$6:$E$13,$D1131)&gt;0,"Entrada",IF(COUNTIF('Config'!$G$6:$G$21,$D1131)&gt;0,"Saída","Verificar")))</f>
        <v/>
      </c>
    </row>
    <row r="1132" spans="7:7" ht="16.5" customHeight="1">
      <c r="G1132" s="47">
        <f>IF($D1132="","",IF(COUNTIF('Config'!$E$6:$E$13,$D1132)&gt;0,"Entrada",IF(COUNTIF('Config'!$G$6:$G$21,$D1132)&gt;0,"Saída","Verificar")))</f>
        <v/>
      </c>
    </row>
    <row r="1133" spans="7:7" ht="16.5" customHeight="1">
      <c r="G1133" s="47">
        <f>IF($D1133="","",IF(COUNTIF('Config'!$E$6:$E$13,$D1133)&gt;0,"Entrada",IF(COUNTIF('Config'!$G$6:$G$21,$D1133)&gt;0,"Saída","Verificar")))</f>
        <v/>
      </c>
    </row>
    <row r="1134" spans="7:7" ht="16.5" customHeight="1">
      <c r="G1134" s="47">
        <f>IF($D1134="","",IF(COUNTIF('Config'!$E$6:$E$13,$D1134)&gt;0,"Entrada",IF(COUNTIF('Config'!$G$6:$G$21,$D1134)&gt;0,"Saída","Verificar")))</f>
        <v/>
      </c>
    </row>
    <row r="1135" spans="7:7" ht="16.5" customHeight="1">
      <c r="G1135" s="47">
        <f>IF($D1135="","",IF(COUNTIF('Config'!$E$6:$E$13,$D1135)&gt;0,"Entrada",IF(COUNTIF('Config'!$G$6:$G$21,$D1135)&gt;0,"Saída","Verificar")))</f>
        <v/>
      </c>
    </row>
    <row r="1136" spans="7:7" ht="16.5" customHeight="1">
      <c r="G1136" s="47">
        <f>IF($D1136="","",IF(COUNTIF('Config'!$E$6:$E$13,$D1136)&gt;0,"Entrada",IF(COUNTIF('Config'!$G$6:$G$21,$D1136)&gt;0,"Saída","Verificar")))</f>
        <v/>
      </c>
    </row>
    <row r="1137" spans="7:7" ht="16.5" customHeight="1">
      <c r="G1137" s="47">
        <f>IF($D1137="","",IF(COUNTIF('Config'!$E$6:$E$13,$D1137)&gt;0,"Entrada",IF(COUNTIF('Config'!$G$6:$G$21,$D1137)&gt;0,"Saída","Verificar")))</f>
        <v/>
      </c>
    </row>
    <row r="1138" spans="7:7" ht="16.5" customHeight="1">
      <c r="G1138" s="47">
        <f>IF($D1138="","",IF(COUNTIF('Config'!$E$6:$E$13,$D1138)&gt;0,"Entrada",IF(COUNTIF('Config'!$G$6:$G$21,$D1138)&gt;0,"Saída","Verificar")))</f>
        <v/>
      </c>
    </row>
    <row r="1139" spans="7:7" ht="16.5" customHeight="1">
      <c r="G1139" s="47">
        <f>IF($D1139="","",IF(COUNTIF('Config'!$E$6:$E$13,$D1139)&gt;0,"Entrada",IF(COUNTIF('Config'!$G$6:$G$21,$D1139)&gt;0,"Saída","Verificar")))</f>
        <v/>
      </c>
    </row>
    <row r="1140" spans="7:7" ht="16.5" customHeight="1">
      <c r="G1140" s="47">
        <f>IF($D1140="","",IF(COUNTIF('Config'!$E$6:$E$13,$D1140)&gt;0,"Entrada",IF(COUNTIF('Config'!$G$6:$G$21,$D1140)&gt;0,"Saída","Verificar")))</f>
        <v/>
      </c>
    </row>
    <row r="1141" spans="7:7" ht="16.5" customHeight="1">
      <c r="G1141" s="47">
        <f>IF($D1141="","",IF(COUNTIF('Config'!$E$6:$E$13,$D1141)&gt;0,"Entrada",IF(COUNTIF('Config'!$G$6:$G$21,$D1141)&gt;0,"Saída","Verificar")))</f>
        <v/>
      </c>
    </row>
    <row r="1142" spans="7:7" ht="16.5" customHeight="1">
      <c r="G1142" s="47">
        <f>IF($D1142="","",IF(COUNTIF('Config'!$E$6:$E$13,$D1142)&gt;0,"Entrada",IF(COUNTIF('Config'!$G$6:$G$21,$D1142)&gt;0,"Saída","Verificar")))</f>
        <v/>
      </c>
    </row>
    <row r="1143" spans="7:7" ht="16.5" customHeight="1">
      <c r="G1143" s="47">
        <f>IF($D1143="","",IF(COUNTIF('Config'!$E$6:$E$13,$D1143)&gt;0,"Entrada",IF(COUNTIF('Config'!$G$6:$G$21,$D1143)&gt;0,"Saída","Verificar")))</f>
        <v/>
      </c>
    </row>
    <row r="1144" spans="7:7" ht="16.5" customHeight="1">
      <c r="G1144" s="47">
        <f>IF($D1144="","",IF(COUNTIF('Config'!$E$6:$E$13,$D1144)&gt;0,"Entrada",IF(COUNTIF('Config'!$G$6:$G$21,$D1144)&gt;0,"Saída","Verificar")))</f>
        <v/>
      </c>
    </row>
    <row r="1145" spans="7:7" ht="16.5" customHeight="1">
      <c r="G1145" s="47">
        <f>IF($D1145="","",IF(COUNTIF('Config'!$E$6:$E$13,$D1145)&gt;0,"Entrada",IF(COUNTIF('Config'!$G$6:$G$21,$D1145)&gt;0,"Saída","Verificar")))</f>
        <v/>
      </c>
    </row>
    <row r="1146" spans="7:7" ht="16.5" customHeight="1">
      <c r="G1146" s="47">
        <f>IF($D1146="","",IF(COUNTIF('Config'!$E$6:$E$13,$D1146)&gt;0,"Entrada",IF(COUNTIF('Config'!$G$6:$G$21,$D1146)&gt;0,"Saída","Verificar")))</f>
        <v/>
      </c>
    </row>
    <row r="1147" spans="7:7" ht="16.5" customHeight="1">
      <c r="G1147" s="47">
        <f>IF($D1147="","",IF(COUNTIF('Config'!$E$6:$E$13,$D1147)&gt;0,"Entrada",IF(COUNTIF('Config'!$G$6:$G$21,$D1147)&gt;0,"Saída","Verificar")))</f>
        <v/>
      </c>
    </row>
    <row r="1148" spans="7:7" ht="16.5" customHeight="1">
      <c r="G1148" s="47">
        <f>IF($D1148="","",IF(COUNTIF('Config'!$E$6:$E$13,$D1148)&gt;0,"Entrada",IF(COUNTIF('Config'!$G$6:$G$21,$D1148)&gt;0,"Saída","Verificar")))</f>
        <v/>
      </c>
    </row>
    <row r="1149" spans="7:7" ht="16.5" customHeight="1">
      <c r="G1149" s="47">
        <f>IF($D1149="","",IF(COUNTIF('Config'!$E$6:$E$13,$D1149)&gt;0,"Entrada",IF(COUNTIF('Config'!$G$6:$G$21,$D1149)&gt;0,"Saída","Verificar")))</f>
        <v/>
      </c>
    </row>
    <row r="1150" spans="7:7" ht="16.5" customHeight="1">
      <c r="G1150" s="47">
        <f>IF($D1150="","",IF(COUNTIF('Config'!$E$6:$E$13,$D1150)&gt;0,"Entrada",IF(COUNTIF('Config'!$G$6:$G$21,$D1150)&gt;0,"Saída","Verificar")))</f>
        <v/>
      </c>
    </row>
    <row r="1151" spans="7:7" ht="16.5" customHeight="1">
      <c r="G1151" s="47">
        <f>IF($D1151="","",IF(COUNTIF('Config'!$E$6:$E$13,$D1151)&gt;0,"Entrada",IF(COUNTIF('Config'!$G$6:$G$21,$D1151)&gt;0,"Saída","Verificar")))</f>
        <v/>
      </c>
    </row>
    <row r="1152" spans="7:7" ht="16.5" customHeight="1">
      <c r="G1152" s="47">
        <f>IF($D1152="","",IF(COUNTIF('Config'!$E$6:$E$13,$D1152)&gt;0,"Entrada",IF(COUNTIF('Config'!$G$6:$G$21,$D1152)&gt;0,"Saída","Verificar")))</f>
        <v/>
      </c>
    </row>
    <row r="1153" spans="7:7" ht="16.5" customHeight="1">
      <c r="G1153" s="47">
        <f>IF($D1153="","",IF(COUNTIF('Config'!$E$6:$E$13,$D1153)&gt;0,"Entrada",IF(COUNTIF('Config'!$G$6:$G$21,$D1153)&gt;0,"Saída","Verificar")))</f>
        <v/>
      </c>
    </row>
    <row r="1154" spans="7:7" ht="16.5" customHeight="1">
      <c r="G1154" s="47">
        <f>IF($D1154="","",IF(COUNTIF('Config'!$E$6:$E$13,$D1154)&gt;0,"Entrada",IF(COUNTIF('Config'!$G$6:$G$21,$D1154)&gt;0,"Saída","Verificar")))</f>
        <v/>
      </c>
    </row>
    <row r="1155" spans="7:7" ht="16.5" customHeight="1">
      <c r="G1155" s="47">
        <f>IF($D1155="","",IF(COUNTIF('Config'!$E$6:$E$13,$D1155)&gt;0,"Entrada",IF(COUNTIF('Config'!$G$6:$G$21,$D1155)&gt;0,"Saída","Verificar")))</f>
        <v/>
      </c>
    </row>
    <row r="1156" spans="7:7" ht="16.5" customHeight="1">
      <c r="G1156" s="47">
        <f>IF($D1156="","",IF(COUNTIF('Config'!$E$6:$E$13,$D1156)&gt;0,"Entrada",IF(COUNTIF('Config'!$G$6:$G$21,$D1156)&gt;0,"Saída","Verificar")))</f>
        <v/>
      </c>
    </row>
    <row r="1157" spans="7:7" ht="16.5" customHeight="1">
      <c r="G1157" s="47">
        <f>IF($D1157="","",IF(COUNTIF('Config'!$E$6:$E$13,$D1157)&gt;0,"Entrada",IF(COUNTIF('Config'!$G$6:$G$21,$D1157)&gt;0,"Saída","Verificar")))</f>
        <v/>
      </c>
    </row>
    <row r="1158" spans="7:7" ht="16.5" customHeight="1">
      <c r="G1158" s="47">
        <f>IF($D1158="","",IF(COUNTIF('Config'!$E$6:$E$13,$D1158)&gt;0,"Entrada",IF(COUNTIF('Config'!$G$6:$G$21,$D1158)&gt;0,"Saída","Verificar")))</f>
        <v/>
      </c>
    </row>
    <row r="1159" spans="7:7" ht="16.5" customHeight="1">
      <c r="G1159" s="47">
        <f>IF($D1159="","",IF(COUNTIF('Config'!$E$6:$E$13,$D1159)&gt;0,"Entrada",IF(COUNTIF('Config'!$G$6:$G$21,$D1159)&gt;0,"Saída","Verificar")))</f>
        <v/>
      </c>
    </row>
    <row r="1160" spans="7:7" ht="16.5" customHeight="1">
      <c r="G1160" s="47">
        <f>IF($D1160="","",IF(COUNTIF('Config'!$E$6:$E$13,$D1160)&gt;0,"Entrada",IF(COUNTIF('Config'!$G$6:$G$21,$D1160)&gt;0,"Saída","Verificar")))</f>
        <v/>
      </c>
    </row>
    <row r="1161" spans="7:7" ht="16.5" customHeight="1">
      <c r="G1161" s="47">
        <f>IF($D1161="","",IF(COUNTIF('Config'!$E$6:$E$13,$D1161)&gt;0,"Entrada",IF(COUNTIF('Config'!$G$6:$G$21,$D1161)&gt;0,"Saída","Verificar")))</f>
        <v/>
      </c>
    </row>
    <row r="1162" spans="7:7" ht="16.5" customHeight="1">
      <c r="G1162" s="47">
        <f>IF($D1162="","",IF(COUNTIF('Config'!$E$6:$E$13,$D1162)&gt;0,"Entrada",IF(COUNTIF('Config'!$G$6:$G$21,$D1162)&gt;0,"Saída","Verificar")))</f>
        <v/>
      </c>
    </row>
    <row r="1163" spans="7:7" ht="16.5" customHeight="1">
      <c r="G1163" s="47">
        <f>IF($D1163="","",IF(COUNTIF('Config'!$E$6:$E$13,$D1163)&gt;0,"Entrada",IF(COUNTIF('Config'!$G$6:$G$21,$D1163)&gt;0,"Saída","Verificar")))</f>
        <v/>
      </c>
    </row>
    <row r="1164" spans="7:7" ht="16.5" customHeight="1">
      <c r="G1164" s="47">
        <f>IF($D1164="","",IF(COUNTIF('Config'!$E$6:$E$13,$D1164)&gt;0,"Entrada",IF(COUNTIF('Config'!$G$6:$G$21,$D1164)&gt;0,"Saída","Verificar")))</f>
        <v/>
      </c>
    </row>
    <row r="1165" spans="7:7" ht="16.5" customHeight="1">
      <c r="G1165" s="47">
        <f>IF($D1165="","",IF(COUNTIF('Config'!$E$6:$E$13,$D1165)&gt;0,"Entrada",IF(COUNTIF('Config'!$G$6:$G$21,$D1165)&gt;0,"Saída","Verificar")))</f>
        <v/>
      </c>
    </row>
    <row r="1166" spans="7:7" ht="16.5" customHeight="1">
      <c r="G1166" s="47">
        <f>IF($D1166="","",IF(COUNTIF('Config'!$E$6:$E$13,$D1166)&gt;0,"Entrada",IF(COUNTIF('Config'!$G$6:$G$21,$D1166)&gt;0,"Saída","Verificar")))</f>
        <v/>
      </c>
    </row>
    <row r="1167" spans="7:7" ht="16.5" customHeight="1">
      <c r="G1167" s="47">
        <f>IF($D1167="","",IF(COUNTIF('Config'!$E$6:$E$13,$D1167)&gt;0,"Entrada",IF(COUNTIF('Config'!$G$6:$G$21,$D1167)&gt;0,"Saída","Verificar")))</f>
        <v/>
      </c>
    </row>
    <row r="1168" spans="7:7" ht="16.5" customHeight="1">
      <c r="G1168" s="47">
        <f>IF($D1168="","",IF(COUNTIF('Config'!$E$6:$E$13,$D1168)&gt;0,"Entrada",IF(COUNTIF('Config'!$G$6:$G$21,$D1168)&gt;0,"Saída","Verificar")))</f>
        <v/>
      </c>
    </row>
    <row r="1169" spans="7:7" ht="16.5" customHeight="1">
      <c r="G1169" s="47">
        <f>IF($D1169="","",IF(COUNTIF('Config'!$E$6:$E$13,$D1169)&gt;0,"Entrada",IF(COUNTIF('Config'!$G$6:$G$21,$D1169)&gt;0,"Saída","Verificar")))</f>
        <v/>
      </c>
    </row>
    <row r="1170" spans="7:7" ht="16.5" customHeight="1">
      <c r="G1170" s="47">
        <f>IF($D1170="","",IF(COUNTIF('Config'!$E$6:$E$13,$D1170)&gt;0,"Entrada",IF(COUNTIF('Config'!$G$6:$G$21,$D1170)&gt;0,"Saída","Verificar")))</f>
        <v/>
      </c>
    </row>
    <row r="1171" spans="7:7" ht="16.5" customHeight="1">
      <c r="G1171" s="47">
        <f>IF($D1171="","",IF(COUNTIF('Config'!$E$6:$E$13,$D1171)&gt;0,"Entrada",IF(COUNTIF('Config'!$G$6:$G$21,$D1171)&gt;0,"Saída","Verificar")))</f>
        <v/>
      </c>
    </row>
    <row r="1172" spans="7:7" ht="16.5" customHeight="1">
      <c r="G1172" s="47">
        <f>IF($D1172="","",IF(COUNTIF('Config'!$E$6:$E$13,$D1172)&gt;0,"Entrada",IF(COUNTIF('Config'!$G$6:$G$21,$D1172)&gt;0,"Saída","Verificar")))</f>
        <v/>
      </c>
    </row>
    <row r="1173" spans="7:7" ht="16.5" customHeight="1">
      <c r="G1173" s="47">
        <f>IF($D1173="","",IF(COUNTIF('Config'!$E$6:$E$13,$D1173)&gt;0,"Entrada",IF(COUNTIF('Config'!$G$6:$G$21,$D1173)&gt;0,"Saída","Verificar")))</f>
        <v/>
      </c>
    </row>
    <row r="1174" spans="7:7" ht="16.5" customHeight="1">
      <c r="G1174" s="47">
        <f>IF($D1174="","",IF(COUNTIF('Config'!$E$6:$E$13,$D1174)&gt;0,"Entrada",IF(COUNTIF('Config'!$G$6:$G$21,$D1174)&gt;0,"Saída","Verificar")))</f>
        <v/>
      </c>
    </row>
    <row r="1175" spans="7:7" ht="16.5" customHeight="1">
      <c r="G1175" s="47">
        <f>IF($D1175="","",IF(COUNTIF('Config'!$E$6:$E$13,$D1175)&gt;0,"Entrada",IF(COUNTIF('Config'!$G$6:$G$21,$D1175)&gt;0,"Saída","Verificar")))</f>
        <v/>
      </c>
    </row>
    <row r="1176" spans="7:7" ht="16.5" customHeight="1">
      <c r="G1176" s="47">
        <f>IF($D1176="","",IF(COUNTIF('Config'!$E$6:$E$13,$D1176)&gt;0,"Entrada",IF(COUNTIF('Config'!$G$6:$G$21,$D1176)&gt;0,"Saída","Verificar")))</f>
        <v/>
      </c>
    </row>
    <row r="1177" spans="7:7" ht="16.5" customHeight="1">
      <c r="G1177" s="47">
        <f>IF($D1177="","",IF(COUNTIF('Config'!$E$6:$E$13,$D1177)&gt;0,"Entrada",IF(COUNTIF('Config'!$G$6:$G$21,$D1177)&gt;0,"Saída","Verificar")))</f>
        <v/>
      </c>
    </row>
    <row r="1178" spans="7:7" ht="16.5" customHeight="1">
      <c r="G1178" s="47">
        <f>IF($D1178="","",IF(COUNTIF('Config'!$E$6:$E$13,$D1178)&gt;0,"Entrada",IF(COUNTIF('Config'!$G$6:$G$21,$D1178)&gt;0,"Saída","Verificar")))</f>
        <v/>
      </c>
    </row>
    <row r="1179" spans="7:7" ht="16.5" customHeight="1">
      <c r="G1179" s="47">
        <f>IF($D1179="","",IF(COUNTIF('Config'!$E$6:$E$13,$D1179)&gt;0,"Entrada",IF(COUNTIF('Config'!$G$6:$G$21,$D1179)&gt;0,"Saída","Verificar")))</f>
        <v/>
      </c>
    </row>
    <row r="1180" spans="7:7" ht="16.5" customHeight="1">
      <c r="G1180" s="47">
        <f>IF($D1180="","",IF(COUNTIF('Config'!$E$6:$E$13,$D1180)&gt;0,"Entrada",IF(COUNTIF('Config'!$G$6:$G$21,$D1180)&gt;0,"Saída","Verificar")))</f>
        <v/>
      </c>
    </row>
    <row r="1181" spans="7:7" ht="16.5" customHeight="1">
      <c r="G1181" s="47">
        <f>IF($D1181="","",IF(COUNTIF('Config'!$E$6:$E$13,$D1181)&gt;0,"Entrada",IF(COUNTIF('Config'!$G$6:$G$21,$D1181)&gt;0,"Saída","Verificar")))</f>
        <v/>
      </c>
    </row>
    <row r="1182" spans="7:7" ht="16.5" customHeight="1">
      <c r="G1182" s="47">
        <f>IF($D1182="","",IF(COUNTIF('Config'!$E$6:$E$13,$D1182)&gt;0,"Entrada",IF(COUNTIF('Config'!$G$6:$G$21,$D1182)&gt;0,"Saída","Verificar")))</f>
        <v/>
      </c>
    </row>
    <row r="1183" spans="7:7" ht="16.5" customHeight="1">
      <c r="G1183" s="47">
        <f>IF($D1183="","",IF(COUNTIF('Config'!$E$6:$E$13,$D1183)&gt;0,"Entrada",IF(COUNTIF('Config'!$G$6:$G$21,$D1183)&gt;0,"Saída","Verificar")))</f>
        <v/>
      </c>
    </row>
    <row r="1184" spans="7:7" ht="16.5" customHeight="1">
      <c r="G1184" s="47">
        <f>IF($D1184="","",IF(COUNTIF('Config'!$E$6:$E$13,$D1184)&gt;0,"Entrada",IF(COUNTIF('Config'!$G$6:$G$21,$D1184)&gt;0,"Saída","Verificar")))</f>
        <v/>
      </c>
    </row>
    <row r="1185" spans="7:7" ht="16.5" customHeight="1">
      <c r="G1185" s="47">
        <f>IF($D1185="","",IF(COUNTIF('Config'!$E$6:$E$13,$D1185)&gt;0,"Entrada",IF(COUNTIF('Config'!$G$6:$G$21,$D1185)&gt;0,"Saída","Verificar")))</f>
        <v/>
      </c>
    </row>
    <row r="1186" spans="7:7" ht="16.5" customHeight="1">
      <c r="G1186" s="47">
        <f>IF($D1186="","",IF(COUNTIF('Config'!$E$6:$E$13,$D1186)&gt;0,"Entrada",IF(COUNTIF('Config'!$G$6:$G$21,$D1186)&gt;0,"Saída","Verificar")))</f>
        <v/>
      </c>
    </row>
    <row r="1187" spans="7:7" ht="16.5" customHeight="1">
      <c r="G1187" s="47">
        <f>IF($D1187="","",IF(COUNTIF('Config'!$E$6:$E$13,$D1187)&gt;0,"Entrada",IF(COUNTIF('Config'!$G$6:$G$21,$D1187)&gt;0,"Saída","Verificar")))</f>
        <v/>
      </c>
    </row>
    <row r="1188" spans="7:7" ht="16.5" customHeight="1">
      <c r="G1188" s="47">
        <f>IF($D1188="","",IF(COUNTIF('Config'!$E$6:$E$13,$D1188)&gt;0,"Entrada",IF(COUNTIF('Config'!$G$6:$G$21,$D1188)&gt;0,"Saída","Verificar")))</f>
        <v/>
      </c>
    </row>
    <row r="1189" spans="7:7" ht="16.5" customHeight="1">
      <c r="G1189" s="47">
        <f>IF($D1189="","",IF(COUNTIF('Config'!$E$6:$E$13,$D1189)&gt;0,"Entrada",IF(COUNTIF('Config'!$G$6:$G$21,$D1189)&gt;0,"Saída","Verificar")))</f>
        <v/>
      </c>
    </row>
    <row r="1190" spans="7:7" ht="16.5" customHeight="1">
      <c r="G1190" s="47">
        <f>IF($D1190="","",IF(COUNTIF('Config'!$E$6:$E$13,$D1190)&gt;0,"Entrada",IF(COUNTIF('Config'!$G$6:$G$21,$D1190)&gt;0,"Saída","Verificar")))</f>
        <v/>
      </c>
    </row>
    <row r="1191" spans="7:7" ht="16.5" customHeight="1">
      <c r="G1191" s="47">
        <f>IF($D1191="","",IF(COUNTIF('Config'!$E$6:$E$13,$D1191)&gt;0,"Entrada",IF(COUNTIF('Config'!$G$6:$G$21,$D1191)&gt;0,"Saída","Verificar")))</f>
        <v/>
      </c>
    </row>
    <row r="1192" spans="7:7" ht="16.5" customHeight="1">
      <c r="G1192" s="47">
        <f>IF($D1192="","",IF(COUNTIF('Config'!$E$6:$E$13,$D1192)&gt;0,"Entrada",IF(COUNTIF('Config'!$G$6:$G$21,$D1192)&gt;0,"Saída","Verificar")))</f>
        <v/>
      </c>
    </row>
    <row r="1193" spans="7:7" ht="16.5" customHeight="1">
      <c r="G1193" s="47">
        <f>IF($D1193="","",IF(COUNTIF('Config'!$E$6:$E$13,$D1193)&gt;0,"Entrada",IF(COUNTIF('Config'!$G$6:$G$21,$D1193)&gt;0,"Saída","Verificar")))</f>
        <v/>
      </c>
    </row>
    <row r="1194" spans="7:7" ht="16.5" customHeight="1">
      <c r="G1194" s="47">
        <f>IF($D1194="","",IF(COUNTIF('Config'!$E$6:$E$13,$D1194)&gt;0,"Entrada",IF(COUNTIF('Config'!$G$6:$G$21,$D1194)&gt;0,"Saída","Verificar")))</f>
        <v/>
      </c>
    </row>
    <row r="1195" spans="7:7" ht="16.5" customHeight="1">
      <c r="G1195" s="47">
        <f>IF($D1195="","",IF(COUNTIF('Config'!$E$6:$E$13,$D1195)&gt;0,"Entrada",IF(COUNTIF('Config'!$G$6:$G$21,$D1195)&gt;0,"Saída","Verificar")))</f>
        <v/>
      </c>
    </row>
    <row r="1196" spans="7:7" ht="16.5" customHeight="1">
      <c r="G1196" s="47">
        <f>IF($D1196="","",IF(COUNTIF('Config'!$E$6:$E$13,$D1196)&gt;0,"Entrada",IF(COUNTIF('Config'!$G$6:$G$21,$D1196)&gt;0,"Saída","Verificar")))</f>
        <v/>
      </c>
    </row>
    <row r="1197" spans="7:7" ht="16.5" customHeight="1">
      <c r="G1197" s="47">
        <f>IF($D1197="","",IF(COUNTIF('Config'!$E$6:$E$13,$D1197)&gt;0,"Entrada",IF(COUNTIF('Config'!$G$6:$G$21,$D1197)&gt;0,"Saída","Verificar")))</f>
        <v/>
      </c>
    </row>
    <row r="1198" spans="7:7" ht="16.5" customHeight="1">
      <c r="G1198" s="47">
        <f>IF($D1198="","",IF(COUNTIF('Config'!$E$6:$E$13,$D1198)&gt;0,"Entrada",IF(COUNTIF('Config'!$G$6:$G$21,$D1198)&gt;0,"Saída","Verificar")))</f>
        <v/>
      </c>
    </row>
    <row r="1199" spans="7:7" ht="16.5" customHeight="1">
      <c r="G1199" s="47">
        <f>IF($D1199="","",IF(COUNTIF('Config'!$E$6:$E$13,$D1199)&gt;0,"Entrada",IF(COUNTIF('Config'!$G$6:$G$21,$D1199)&gt;0,"Saída","Verificar")))</f>
        <v/>
      </c>
    </row>
    <row r="1200" spans="7:7" ht="16.5" customHeight="1">
      <c r="G1200" s="47">
        <f>IF($D1200="","",IF(COUNTIF('Config'!$E$6:$E$13,$D1200)&gt;0,"Entrada",IF(COUNTIF('Config'!$G$6:$G$21,$D1200)&gt;0,"Saída","Verificar")))</f>
        <v/>
      </c>
    </row>
    <row r="1201" spans="7:7" ht="16.5" customHeight="1">
      <c r="G1201" s="47">
        <f>IF($D1201="","",IF(COUNTIF('Config'!$E$6:$E$13,$D1201)&gt;0,"Entrada",IF(COUNTIF('Config'!$G$6:$G$21,$D1201)&gt;0,"Saída","Verificar")))</f>
        <v/>
      </c>
    </row>
    <row r="1202" spans="7:7" ht="16.5" customHeight="1">
      <c r="G1202" s="47">
        <f>IF($D1202="","",IF(COUNTIF('Config'!$E$6:$E$13,$D1202)&gt;0,"Entrada",IF(COUNTIF('Config'!$G$6:$G$21,$D1202)&gt;0,"Saída","Verificar")))</f>
        <v/>
      </c>
    </row>
    <row r="1203" spans="7:7" ht="16.5" customHeight="1">
      <c r="G1203" s="47">
        <f>IF($D1203="","",IF(COUNTIF('Config'!$E$6:$E$13,$D1203)&gt;0,"Entrada",IF(COUNTIF('Config'!$G$6:$G$21,$D1203)&gt;0,"Saída","Verificar")))</f>
        <v/>
      </c>
    </row>
    <row r="1204" spans="7:7" ht="16.5" customHeight="1">
      <c r="G1204" s="47">
        <f>IF($D1204="","",IF(COUNTIF('Config'!$E$6:$E$13,$D1204)&gt;0,"Entrada",IF(COUNTIF('Config'!$G$6:$G$21,$D1204)&gt;0,"Saída","Verificar")))</f>
        <v/>
      </c>
    </row>
    <row r="1205" spans="7:7" ht="16.5" customHeight="1">
      <c r="G1205" s="47">
        <f>IF($D1205="","",IF(COUNTIF('Config'!$E$6:$E$13,$D1205)&gt;0,"Entrada",IF(COUNTIF('Config'!$G$6:$G$21,$D1205)&gt;0,"Saída","Verificar")))</f>
        <v/>
      </c>
    </row>
    <row r="1206" spans="7:7" ht="16.5" customHeight="1">
      <c r="G1206" s="47">
        <f>IF($D1206="","",IF(COUNTIF('Config'!$E$6:$E$13,$D1206)&gt;0,"Entrada",IF(COUNTIF('Config'!$G$6:$G$21,$D1206)&gt;0,"Saída","Verificar")))</f>
        <v/>
      </c>
    </row>
    <row r="1207" spans="7:7" ht="16.5" customHeight="1">
      <c r="G1207" s="47">
        <f>IF($D1207="","",IF(COUNTIF('Config'!$E$6:$E$13,$D1207)&gt;0,"Entrada",IF(COUNTIF('Config'!$G$6:$G$21,$D1207)&gt;0,"Saída","Verificar")))</f>
        <v/>
      </c>
    </row>
    <row r="1208" spans="7:7" ht="16.5" customHeight="1">
      <c r="G1208" s="47">
        <f>IF($D1208="","",IF(COUNTIF('Config'!$E$6:$E$13,$D1208)&gt;0,"Entrada",IF(COUNTIF('Config'!$G$6:$G$21,$D1208)&gt;0,"Saída","Verificar")))</f>
        <v/>
      </c>
    </row>
    <row r="1209" spans="7:7" ht="16.5" customHeight="1">
      <c r="G1209" s="47">
        <f>IF($D1209="","",IF(COUNTIF('Config'!$E$6:$E$13,$D1209)&gt;0,"Entrada",IF(COUNTIF('Config'!$G$6:$G$21,$D1209)&gt;0,"Saída","Verificar")))</f>
        <v/>
      </c>
    </row>
    <row r="1210" spans="7:7" ht="16.5" customHeight="1">
      <c r="G1210" s="47">
        <f>IF($D1210="","",IF(COUNTIF('Config'!$E$6:$E$13,$D1210)&gt;0,"Entrada",IF(COUNTIF('Config'!$G$6:$G$21,$D1210)&gt;0,"Saída","Verificar")))</f>
        <v/>
      </c>
    </row>
    <row r="1211" spans="7:7" ht="16.5" customHeight="1">
      <c r="G1211" s="47">
        <f>IF($D1211="","",IF(COUNTIF('Config'!$E$6:$E$13,$D1211)&gt;0,"Entrada",IF(COUNTIF('Config'!$G$6:$G$21,$D1211)&gt;0,"Saída","Verificar")))</f>
        <v/>
      </c>
    </row>
    <row r="1212" spans="7:7" ht="16.5" customHeight="1">
      <c r="G1212" s="47">
        <f>IF($D1212="","",IF(COUNTIF('Config'!$E$6:$E$13,$D1212)&gt;0,"Entrada",IF(COUNTIF('Config'!$G$6:$G$21,$D1212)&gt;0,"Saída","Verificar")))</f>
        <v/>
      </c>
    </row>
    <row r="1213" spans="7:7" ht="16.5" customHeight="1">
      <c r="G1213" s="47">
        <f>IF($D1213="","",IF(COUNTIF('Config'!$E$6:$E$13,$D1213)&gt;0,"Entrada",IF(COUNTIF('Config'!$G$6:$G$21,$D1213)&gt;0,"Saída","Verificar")))</f>
        <v/>
      </c>
    </row>
    <row r="1214" spans="7:7" ht="16.5" customHeight="1">
      <c r="G1214" s="47">
        <f>IF($D1214="","",IF(COUNTIF('Config'!$E$6:$E$13,$D1214)&gt;0,"Entrada",IF(COUNTIF('Config'!$G$6:$G$21,$D1214)&gt;0,"Saída","Verificar")))</f>
        <v/>
      </c>
    </row>
    <row r="1215" spans="7:7" ht="16.5" customHeight="1">
      <c r="G1215" s="47">
        <f>IF($D1215="","",IF(COUNTIF('Config'!$E$6:$E$13,$D1215)&gt;0,"Entrada",IF(COUNTIF('Config'!$G$6:$G$21,$D1215)&gt;0,"Saída","Verificar")))</f>
        <v/>
      </c>
    </row>
    <row r="1216" spans="7:7" ht="16.5" customHeight="1">
      <c r="G1216" s="47">
        <f>IF($D1216="","",IF(COUNTIF('Config'!$E$6:$E$13,$D1216)&gt;0,"Entrada",IF(COUNTIF('Config'!$G$6:$G$21,$D1216)&gt;0,"Saída","Verificar")))</f>
        <v/>
      </c>
    </row>
    <row r="1217" spans="7:7" ht="16.5" customHeight="1">
      <c r="G1217" s="47">
        <f>IF($D1217="","",IF(COUNTIF('Config'!$E$6:$E$13,$D1217)&gt;0,"Entrada",IF(COUNTIF('Config'!$G$6:$G$21,$D1217)&gt;0,"Saída","Verificar")))</f>
        <v/>
      </c>
    </row>
    <row r="1218" spans="7:7" ht="16.5" customHeight="1">
      <c r="G1218" s="47">
        <f>IF($D1218="","",IF(COUNTIF('Config'!$E$6:$E$13,$D1218)&gt;0,"Entrada",IF(COUNTIF('Config'!$G$6:$G$21,$D1218)&gt;0,"Saída","Verificar")))</f>
        <v/>
      </c>
    </row>
    <row r="1219" spans="7:7" ht="16.5" customHeight="1">
      <c r="G1219" s="47">
        <f>IF($D1219="","",IF(COUNTIF('Config'!$E$6:$E$13,$D1219)&gt;0,"Entrada",IF(COUNTIF('Config'!$G$6:$G$21,$D1219)&gt;0,"Saída","Verificar")))</f>
        <v/>
      </c>
    </row>
    <row r="1220" spans="7:7" ht="16.5" customHeight="1">
      <c r="G1220" s="47">
        <f>IF($D1220="","",IF(COUNTIF('Config'!$E$6:$E$13,$D1220)&gt;0,"Entrada",IF(COUNTIF('Config'!$G$6:$G$21,$D1220)&gt;0,"Saída","Verificar")))</f>
        <v/>
      </c>
    </row>
    <row r="1221" spans="7:7" ht="16.5" customHeight="1">
      <c r="G1221" s="47">
        <f>IF($D1221="","",IF(COUNTIF('Config'!$E$6:$E$13,$D1221)&gt;0,"Entrada",IF(COUNTIF('Config'!$G$6:$G$21,$D1221)&gt;0,"Saída","Verificar")))</f>
        <v/>
      </c>
    </row>
    <row r="1222" spans="7:7" ht="16.5" customHeight="1">
      <c r="G1222" s="47">
        <f>IF($D1222="","",IF(COUNTIF('Config'!$E$6:$E$13,$D1222)&gt;0,"Entrada",IF(COUNTIF('Config'!$G$6:$G$21,$D1222)&gt;0,"Saída","Verificar")))</f>
        <v/>
      </c>
    </row>
    <row r="1223" spans="7:7" ht="16.5" customHeight="1">
      <c r="G1223" s="47">
        <f>IF($D1223="","",IF(COUNTIF('Config'!$E$6:$E$13,$D1223)&gt;0,"Entrada",IF(COUNTIF('Config'!$G$6:$G$21,$D1223)&gt;0,"Saída","Verificar")))</f>
        <v/>
      </c>
    </row>
    <row r="1224" spans="7:7" ht="16.5" customHeight="1">
      <c r="G1224" s="47">
        <f>IF($D1224="","",IF(COUNTIF('Config'!$E$6:$E$13,$D1224)&gt;0,"Entrada",IF(COUNTIF('Config'!$G$6:$G$21,$D1224)&gt;0,"Saída","Verificar")))</f>
        <v/>
      </c>
    </row>
    <row r="1225" spans="7:7" ht="16.5" customHeight="1">
      <c r="G1225" s="47">
        <f>IF($D1225="","",IF(COUNTIF('Config'!$E$6:$E$13,$D1225)&gt;0,"Entrada",IF(COUNTIF('Config'!$G$6:$G$21,$D1225)&gt;0,"Saída","Verificar")))</f>
        <v/>
      </c>
    </row>
    <row r="1226" spans="7:7" ht="16.5" customHeight="1">
      <c r="G1226" s="47">
        <f>IF($D1226="","",IF(COUNTIF('Config'!$E$6:$E$13,$D1226)&gt;0,"Entrada",IF(COUNTIF('Config'!$G$6:$G$21,$D1226)&gt;0,"Saída","Verificar")))</f>
        <v/>
      </c>
    </row>
    <row r="1227" spans="7:7" ht="16.5" customHeight="1">
      <c r="G1227" s="47">
        <f>IF($D1227="","",IF(COUNTIF('Config'!$E$6:$E$13,$D1227)&gt;0,"Entrada",IF(COUNTIF('Config'!$G$6:$G$21,$D1227)&gt;0,"Saída","Verificar")))</f>
        <v/>
      </c>
    </row>
    <row r="1228" spans="7:7" ht="16.5" customHeight="1">
      <c r="G1228" s="47">
        <f>IF($D1228="","",IF(COUNTIF('Config'!$E$6:$E$13,$D1228)&gt;0,"Entrada",IF(COUNTIF('Config'!$G$6:$G$21,$D1228)&gt;0,"Saída","Verificar")))</f>
        <v/>
      </c>
    </row>
    <row r="1229" spans="7:7" ht="16.5" customHeight="1">
      <c r="G1229" s="47">
        <f>IF($D1229="","",IF(COUNTIF('Config'!$E$6:$E$13,$D1229)&gt;0,"Entrada",IF(COUNTIF('Config'!$G$6:$G$21,$D1229)&gt;0,"Saída","Verificar")))</f>
        <v/>
      </c>
    </row>
    <row r="1230" spans="7:7" ht="16.5" customHeight="1">
      <c r="G1230" s="47">
        <f>IF($D1230="","",IF(COUNTIF('Config'!$E$6:$E$13,$D1230)&gt;0,"Entrada",IF(COUNTIF('Config'!$G$6:$G$21,$D1230)&gt;0,"Saída","Verificar")))</f>
        <v/>
      </c>
    </row>
    <row r="1231" spans="7:7" ht="16.5" customHeight="1">
      <c r="G1231" s="47">
        <f>IF($D1231="","",IF(COUNTIF('Config'!$E$6:$E$13,$D1231)&gt;0,"Entrada",IF(COUNTIF('Config'!$G$6:$G$21,$D1231)&gt;0,"Saída","Verificar")))</f>
        <v/>
      </c>
    </row>
    <row r="1232" spans="7:7" ht="16.5" customHeight="1">
      <c r="G1232" s="47">
        <f>IF($D1232="","",IF(COUNTIF('Config'!$E$6:$E$13,$D1232)&gt;0,"Entrada",IF(COUNTIF('Config'!$G$6:$G$21,$D1232)&gt;0,"Saída","Verificar")))</f>
        <v/>
      </c>
    </row>
    <row r="1233" spans="7:7" ht="16.5" customHeight="1">
      <c r="G1233" s="47">
        <f>IF($D1233="","",IF(COUNTIF('Config'!$E$6:$E$13,$D1233)&gt;0,"Entrada",IF(COUNTIF('Config'!$G$6:$G$21,$D1233)&gt;0,"Saída","Verificar")))</f>
        <v/>
      </c>
    </row>
    <row r="1234" spans="7:7" ht="16.5" customHeight="1">
      <c r="G1234" s="47">
        <f>IF($D1234="","",IF(COUNTIF('Config'!$E$6:$E$13,$D1234)&gt;0,"Entrada",IF(COUNTIF('Config'!$G$6:$G$21,$D1234)&gt;0,"Saída","Verificar")))</f>
        <v/>
      </c>
    </row>
    <row r="1235" spans="7:7" ht="16.5" customHeight="1">
      <c r="G1235" s="47">
        <f>IF($D1235="","",IF(COUNTIF('Config'!$E$6:$E$13,$D1235)&gt;0,"Entrada",IF(COUNTIF('Config'!$G$6:$G$21,$D1235)&gt;0,"Saída","Verificar")))</f>
        <v/>
      </c>
    </row>
    <row r="1236" spans="7:7" ht="16.5" customHeight="1">
      <c r="G1236" s="47">
        <f>IF($D1236="","",IF(COUNTIF('Config'!$E$6:$E$13,$D1236)&gt;0,"Entrada",IF(COUNTIF('Config'!$G$6:$G$21,$D1236)&gt;0,"Saída","Verificar")))</f>
        <v/>
      </c>
    </row>
    <row r="1237" spans="7:7" ht="16.5" customHeight="1">
      <c r="G1237" s="47">
        <f>IF($D1237="","",IF(COUNTIF('Config'!$E$6:$E$13,$D1237)&gt;0,"Entrada",IF(COUNTIF('Config'!$G$6:$G$21,$D1237)&gt;0,"Saída","Verificar")))</f>
        <v/>
      </c>
    </row>
    <row r="1238" spans="7:7" ht="16.5" customHeight="1">
      <c r="G1238" s="47">
        <f>IF($D1238="","",IF(COUNTIF('Config'!$E$6:$E$13,$D1238)&gt;0,"Entrada",IF(COUNTIF('Config'!$G$6:$G$21,$D1238)&gt;0,"Saída","Verificar")))</f>
        <v/>
      </c>
    </row>
    <row r="1239" spans="7:7" ht="16.5" customHeight="1">
      <c r="G1239" s="47">
        <f>IF($D1239="","",IF(COUNTIF('Config'!$E$6:$E$13,$D1239)&gt;0,"Entrada",IF(COUNTIF('Config'!$G$6:$G$21,$D1239)&gt;0,"Saída","Verificar")))</f>
        <v/>
      </c>
    </row>
    <row r="1240" spans="7:7" ht="16.5" customHeight="1">
      <c r="G1240" s="47">
        <f>IF($D1240="","",IF(COUNTIF('Config'!$E$6:$E$13,$D1240)&gt;0,"Entrada",IF(COUNTIF('Config'!$G$6:$G$21,$D1240)&gt;0,"Saída","Verificar")))</f>
        <v/>
      </c>
    </row>
    <row r="1241" spans="7:7" ht="16.5" customHeight="1">
      <c r="G1241" s="47">
        <f>IF($D1241="","",IF(COUNTIF('Config'!$E$6:$E$13,$D1241)&gt;0,"Entrada",IF(COUNTIF('Config'!$G$6:$G$21,$D1241)&gt;0,"Saída","Verificar")))</f>
        <v/>
      </c>
    </row>
    <row r="1242" spans="7:7" ht="16.5" customHeight="1">
      <c r="G1242" s="47">
        <f>IF($D1242="","",IF(COUNTIF('Config'!$E$6:$E$13,$D1242)&gt;0,"Entrada",IF(COUNTIF('Config'!$G$6:$G$21,$D1242)&gt;0,"Saída","Verificar")))</f>
        <v/>
      </c>
    </row>
    <row r="1243" spans="7:7" ht="16.5" customHeight="1">
      <c r="G1243" s="47">
        <f>IF($D1243="","",IF(COUNTIF('Config'!$E$6:$E$13,$D1243)&gt;0,"Entrada",IF(COUNTIF('Config'!$G$6:$G$21,$D1243)&gt;0,"Saída","Verificar")))</f>
        <v/>
      </c>
    </row>
    <row r="1244" spans="7:7" ht="16.5" customHeight="1">
      <c r="G1244" s="47">
        <f>IF($D1244="","",IF(COUNTIF('Config'!$E$6:$E$13,$D1244)&gt;0,"Entrada",IF(COUNTIF('Config'!$G$6:$G$21,$D1244)&gt;0,"Saída","Verificar")))</f>
        <v/>
      </c>
    </row>
    <row r="1245" spans="7:7" ht="16.5" customHeight="1">
      <c r="G1245" s="47">
        <f>IF($D1245="","",IF(COUNTIF('Config'!$E$6:$E$13,$D1245)&gt;0,"Entrada",IF(COUNTIF('Config'!$G$6:$G$21,$D1245)&gt;0,"Saída","Verificar")))</f>
        <v/>
      </c>
    </row>
    <row r="1246" spans="7:7" ht="16.5" customHeight="1">
      <c r="G1246" s="47">
        <f>IF($D1246="","",IF(COUNTIF('Config'!$E$6:$E$13,$D1246)&gt;0,"Entrada",IF(COUNTIF('Config'!$G$6:$G$21,$D1246)&gt;0,"Saída","Verificar")))</f>
        <v/>
      </c>
    </row>
    <row r="1247" spans="7:7" ht="16.5" customHeight="1">
      <c r="G1247" s="47">
        <f>IF($D1247="","",IF(COUNTIF('Config'!$E$6:$E$13,$D1247)&gt;0,"Entrada",IF(COUNTIF('Config'!$G$6:$G$21,$D1247)&gt;0,"Saída","Verificar")))</f>
        <v/>
      </c>
    </row>
    <row r="1248" spans="7:7" ht="16.5" customHeight="1">
      <c r="G1248" s="47">
        <f>IF($D1248="","",IF(COUNTIF('Config'!$E$6:$E$13,$D1248)&gt;0,"Entrada",IF(COUNTIF('Config'!$G$6:$G$21,$D1248)&gt;0,"Saída","Verificar")))</f>
        <v/>
      </c>
    </row>
    <row r="1249" spans="7:7" ht="16.5" customHeight="1">
      <c r="G1249" s="47">
        <f>IF($D1249="","",IF(COUNTIF('Config'!$E$6:$E$13,$D1249)&gt;0,"Entrada",IF(COUNTIF('Config'!$G$6:$G$21,$D1249)&gt;0,"Saída","Verificar")))</f>
        <v/>
      </c>
    </row>
    <row r="1250" spans="7:7" ht="16.5" customHeight="1">
      <c r="G1250" s="47">
        <f>IF($D1250="","",IF(COUNTIF('Config'!$E$6:$E$13,$D1250)&gt;0,"Entrada",IF(COUNTIF('Config'!$G$6:$G$21,$D1250)&gt;0,"Saída","Verificar")))</f>
        <v/>
      </c>
    </row>
    <row r="1251" spans="7:7" ht="16.5" customHeight="1">
      <c r="G1251" s="47">
        <f>IF($D1251="","",IF(COUNTIF('Config'!$E$6:$E$13,$D1251)&gt;0,"Entrada",IF(COUNTIF('Config'!$G$6:$G$21,$D1251)&gt;0,"Saída","Verificar")))</f>
        <v/>
      </c>
    </row>
    <row r="1252" spans="7:7" ht="16.5" customHeight="1">
      <c r="G1252" s="47">
        <f>IF($D1252="","",IF(COUNTIF('Config'!$E$6:$E$13,$D1252)&gt;0,"Entrada",IF(COUNTIF('Config'!$G$6:$G$21,$D1252)&gt;0,"Saída","Verificar")))</f>
        <v/>
      </c>
    </row>
    <row r="1253" spans="7:7" ht="16.5" customHeight="1">
      <c r="G1253" s="47">
        <f>IF($D1253="","",IF(COUNTIF('Config'!$E$6:$E$13,$D1253)&gt;0,"Entrada",IF(COUNTIF('Config'!$G$6:$G$21,$D1253)&gt;0,"Saída","Verificar")))</f>
        <v/>
      </c>
    </row>
    <row r="1254" spans="7:7" ht="16.5" customHeight="1">
      <c r="G1254" s="47">
        <f>IF($D1254="","",IF(COUNTIF('Config'!$E$6:$E$13,$D1254)&gt;0,"Entrada",IF(COUNTIF('Config'!$G$6:$G$21,$D1254)&gt;0,"Saída","Verificar")))</f>
        <v/>
      </c>
    </row>
    <row r="1255" spans="7:7" ht="16.5" customHeight="1">
      <c r="G1255" s="47">
        <f>IF($D1255="","",IF(COUNTIF('Config'!$E$6:$E$13,$D1255)&gt;0,"Entrada",IF(COUNTIF('Config'!$G$6:$G$21,$D1255)&gt;0,"Saída","Verificar")))</f>
        <v/>
      </c>
    </row>
    <row r="1256" spans="7:7" ht="16.5" customHeight="1">
      <c r="G1256" s="47">
        <f>IF($D1256="","",IF(COUNTIF('Config'!$E$6:$E$13,$D1256)&gt;0,"Entrada",IF(COUNTIF('Config'!$G$6:$G$21,$D1256)&gt;0,"Saída","Verificar")))</f>
        <v/>
      </c>
    </row>
    <row r="1257" spans="7:7" ht="16.5" customHeight="1">
      <c r="G1257" s="47">
        <f>IF($D1257="","",IF(COUNTIF('Config'!$E$6:$E$13,$D1257)&gt;0,"Entrada",IF(COUNTIF('Config'!$G$6:$G$21,$D1257)&gt;0,"Saída","Verificar")))</f>
        <v/>
      </c>
    </row>
    <row r="1258" spans="7:7" ht="16.5" customHeight="1">
      <c r="G1258" s="47">
        <f>IF($D1258="","",IF(COUNTIF('Config'!$E$6:$E$13,$D1258)&gt;0,"Entrada",IF(COUNTIF('Config'!$G$6:$G$21,$D1258)&gt;0,"Saída","Verificar")))</f>
        <v/>
      </c>
    </row>
    <row r="1259" spans="7:7" ht="16.5" customHeight="1">
      <c r="G1259" s="47">
        <f>IF($D1259="","",IF(COUNTIF('Config'!$E$6:$E$13,$D1259)&gt;0,"Entrada",IF(COUNTIF('Config'!$G$6:$G$21,$D1259)&gt;0,"Saída","Verificar")))</f>
        <v/>
      </c>
    </row>
    <row r="1260" spans="7:7" ht="16.5" customHeight="1">
      <c r="G1260" s="47">
        <f>IF($D1260="","",IF(COUNTIF('Config'!$E$6:$E$13,$D1260)&gt;0,"Entrada",IF(COUNTIF('Config'!$G$6:$G$21,$D1260)&gt;0,"Saída","Verificar")))</f>
        <v/>
      </c>
    </row>
    <row r="1261" spans="7:7" ht="16.5" customHeight="1">
      <c r="G1261" s="47">
        <f>IF($D1261="","",IF(COUNTIF('Config'!$E$6:$E$13,$D1261)&gt;0,"Entrada",IF(COUNTIF('Config'!$G$6:$G$21,$D1261)&gt;0,"Saída","Verificar")))</f>
        <v/>
      </c>
    </row>
    <row r="1262" spans="7:7" ht="16.5" customHeight="1">
      <c r="G1262" s="47">
        <f>IF($D1262="","",IF(COUNTIF('Config'!$E$6:$E$13,$D1262)&gt;0,"Entrada",IF(COUNTIF('Config'!$G$6:$G$21,$D1262)&gt;0,"Saída","Verificar")))</f>
        <v/>
      </c>
    </row>
    <row r="1263" spans="7:7" ht="16.5" customHeight="1">
      <c r="G1263" s="47">
        <f>IF($D1263="","",IF(COUNTIF('Config'!$E$6:$E$13,$D1263)&gt;0,"Entrada",IF(COUNTIF('Config'!$G$6:$G$21,$D1263)&gt;0,"Saída","Verificar")))</f>
        <v/>
      </c>
    </row>
    <row r="1264" spans="7:7" ht="16.5" customHeight="1">
      <c r="G1264" s="47">
        <f>IF($D1264="","",IF(COUNTIF('Config'!$E$6:$E$13,$D1264)&gt;0,"Entrada",IF(COUNTIF('Config'!$G$6:$G$21,$D1264)&gt;0,"Saída","Verificar")))</f>
        <v/>
      </c>
    </row>
    <row r="1265" spans="7:7" ht="16.5" customHeight="1">
      <c r="G1265" s="47">
        <f>IF($D1265="","",IF(COUNTIF('Config'!$E$6:$E$13,$D1265)&gt;0,"Entrada",IF(COUNTIF('Config'!$G$6:$G$21,$D1265)&gt;0,"Saída","Verificar")))</f>
        <v/>
      </c>
    </row>
    <row r="1266" spans="7:7" ht="16.5" customHeight="1">
      <c r="G1266" s="47">
        <f>IF($D1266="","",IF(COUNTIF('Config'!$E$6:$E$13,$D1266)&gt;0,"Entrada",IF(COUNTIF('Config'!$G$6:$G$21,$D1266)&gt;0,"Saída","Verificar")))</f>
        <v/>
      </c>
    </row>
    <row r="1267" spans="7:7" ht="16.5" customHeight="1">
      <c r="G1267" s="47">
        <f>IF($D1267="","",IF(COUNTIF('Config'!$E$6:$E$13,$D1267)&gt;0,"Entrada",IF(COUNTIF('Config'!$G$6:$G$21,$D1267)&gt;0,"Saída","Verificar")))</f>
        <v/>
      </c>
    </row>
    <row r="1268" spans="7:7" ht="16.5" customHeight="1">
      <c r="G1268" s="47">
        <f>IF($D1268="","",IF(COUNTIF('Config'!$E$6:$E$13,$D1268)&gt;0,"Entrada",IF(COUNTIF('Config'!$G$6:$G$21,$D1268)&gt;0,"Saída","Verificar")))</f>
        <v/>
      </c>
    </row>
    <row r="1269" spans="7:7" ht="16.5" customHeight="1">
      <c r="G1269" s="47">
        <f>IF($D1269="","",IF(COUNTIF('Config'!$E$6:$E$13,$D1269)&gt;0,"Entrada",IF(COUNTIF('Config'!$G$6:$G$21,$D1269)&gt;0,"Saída","Verificar")))</f>
        <v/>
      </c>
    </row>
    <row r="1270" spans="7:7" ht="16.5" customHeight="1">
      <c r="G1270" s="47">
        <f>IF($D1270="","",IF(COUNTIF('Config'!$E$6:$E$13,$D1270)&gt;0,"Entrada",IF(COUNTIF('Config'!$G$6:$G$21,$D1270)&gt;0,"Saída","Verificar")))</f>
        <v/>
      </c>
    </row>
    <row r="1271" spans="7:7" ht="16.5" customHeight="1">
      <c r="G1271" s="47">
        <f>IF($D1271="","",IF(COUNTIF('Config'!$E$6:$E$13,$D1271)&gt;0,"Entrada",IF(COUNTIF('Config'!$G$6:$G$21,$D1271)&gt;0,"Saída","Verificar")))</f>
        <v/>
      </c>
    </row>
    <row r="1272" spans="7:7" ht="16.5" customHeight="1">
      <c r="G1272" s="47">
        <f>IF($D1272="","",IF(COUNTIF('Config'!$E$6:$E$13,$D1272)&gt;0,"Entrada",IF(COUNTIF('Config'!$G$6:$G$21,$D1272)&gt;0,"Saída","Verificar")))</f>
        <v/>
      </c>
    </row>
    <row r="1273" spans="7:7" ht="16.5" customHeight="1">
      <c r="G1273" s="47">
        <f>IF($D1273="","",IF(COUNTIF('Config'!$E$6:$E$13,$D1273)&gt;0,"Entrada",IF(COUNTIF('Config'!$G$6:$G$21,$D1273)&gt;0,"Saída","Verificar")))</f>
        <v/>
      </c>
    </row>
    <row r="1274" spans="7:7" ht="16.5" customHeight="1">
      <c r="G1274" s="47">
        <f>IF($D1274="","",IF(COUNTIF('Config'!$E$6:$E$13,$D1274)&gt;0,"Entrada",IF(COUNTIF('Config'!$G$6:$G$21,$D1274)&gt;0,"Saída","Verificar")))</f>
        <v/>
      </c>
    </row>
    <row r="1275" spans="7:7" ht="16.5" customHeight="1">
      <c r="G1275" s="47">
        <f>IF($D1275="","",IF(COUNTIF('Config'!$E$6:$E$13,$D1275)&gt;0,"Entrada",IF(COUNTIF('Config'!$G$6:$G$21,$D1275)&gt;0,"Saída","Verificar")))</f>
        <v/>
      </c>
    </row>
    <row r="1276" spans="7:7" ht="16.5" customHeight="1">
      <c r="G1276" s="47">
        <f>IF($D1276="","",IF(COUNTIF('Config'!$E$6:$E$13,$D1276)&gt;0,"Entrada",IF(COUNTIF('Config'!$G$6:$G$21,$D1276)&gt;0,"Saída","Verificar")))</f>
        <v/>
      </c>
    </row>
    <row r="1277" spans="7:7" ht="16.5" customHeight="1">
      <c r="G1277" s="47">
        <f>IF($D1277="","",IF(COUNTIF('Config'!$E$6:$E$13,$D1277)&gt;0,"Entrada",IF(COUNTIF('Config'!$G$6:$G$21,$D1277)&gt;0,"Saída","Verificar")))</f>
        <v/>
      </c>
    </row>
    <row r="1278" spans="7:7" ht="16.5" customHeight="1">
      <c r="G1278" s="47">
        <f>IF($D1278="","",IF(COUNTIF('Config'!$E$6:$E$13,$D1278)&gt;0,"Entrada",IF(COUNTIF('Config'!$G$6:$G$21,$D1278)&gt;0,"Saída","Verificar")))</f>
        <v/>
      </c>
    </row>
    <row r="1279" spans="7:7" ht="16.5" customHeight="1">
      <c r="G1279" s="47">
        <f>IF($D1279="","",IF(COUNTIF('Config'!$E$6:$E$13,$D1279)&gt;0,"Entrada",IF(COUNTIF('Config'!$G$6:$G$21,$D1279)&gt;0,"Saída","Verificar")))</f>
        <v/>
      </c>
    </row>
    <row r="1280" spans="7:7" ht="16.5" customHeight="1">
      <c r="G1280" s="47">
        <f>IF($D1280="","",IF(COUNTIF('Config'!$E$6:$E$13,$D1280)&gt;0,"Entrada",IF(COUNTIF('Config'!$G$6:$G$21,$D1280)&gt;0,"Saída","Verificar")))</f>
        <v/>
      </c>
    </row>
    <row r="1281" spans="7:7" ht="16.5" customHeight="1">
      <c r="G1281" s="47">
        <f>IF($D1281="","",IF(COUNTIF('Config'!$E$6:$E$13,$D1281)&gt;0,"Entrada",IF(COUNTIF('Config'!$G$6:$G$21,$D1281)&gt;0,"Saída","Verificar")))</f>
        <v/>
      </c>
    </row>
    <row r="1282" spans="7:7" ht="16.5" customHeight="1">
      <c r="G1282" s="47">
        <f>IF($D1282="","",IF(COUNTIF('Config'!$E$6:$E$13,$D1282)&gt;0,"Entrada",IF(COUNTIF('Config'!$G$6:$G$21,$D1282)&gt;0,"Saída","Verificar")))</f>
        <v/>
      </c>
    </row>
    <row r="1283" spans="7:7" ht="16.5" customHeight="1">
      <c r="G1283" s="47">
        <f>IF($D1283="","",IF(COUNTIF('Config'!$E$6:$E$13,$D1283)&gt;0,"Entrada",IF(COUNTIF('Config'!$G$6:$G$21,$D1283)&gt;0,"Saída","Verificar")))</f>
        <v/>
      </c>
    </row>
    <row r="1284" spans="7:7" ht="16.5" customHeight="1">
      <c r="G1284" s="47">
        <f>IF($D1284="","",IF(COUNTIF('Config'!$E$6:$E$13,$D1284)&gt;0,"Entrada",IF(COUNTIF('Config'!$G$6:$G$21,$D1284)&gt;0,"Saída","Verificar")))</f>
        <v/>
      </c>
    </row>
    <row r="1285" spans="7:7" ht="16.5" customHeight="1">
      <c r="G1285" s="47">
        <f>IF($D1285="","",IF(COUNTIF('Config'!$E$6:$E$13,$D1285)&gt;0,"Entrada",IF(COUNTIF('Config'!$G$6:$G$21,$D1285)&gt;0,"Saída","Verificar")))</f>
        <v/>
      </c>
    </row>
    <row r="1286" spans="7:7" ht="16.5" customHeight="1">
      <c r="G1286" s="47">
        <f>IF($D1286="","",IF(COUNTIF('Config'!$E$6:$E$13,$D1286)&gt;0,"Entrada",IF(COUNTIF('Config'!$G$6:$G$21,$D1286)&gt;0,"Saída","Verificar")))</f>
        <v/>
      </c>
    </row>
    <row r="1287" spans="7:7" ht="16.5" customHeight="1">
      <c r="G1287" s="47">
        <f>IF($D1287="","",IF(COUNTIF('Config'!$E$6:$E$13,$D1287)&gt;0,"Entrada",IF(COUNTIF('Config'!$G$6:$G$21,$D1287)&gt;0,"Saída","Verificar")))</f>
        <v/>
      </c>
    </row>
    <row r="1288" spans="7:7" ht="16.5" customHeight="1">
      <c r="G1288" s="47">
        <f>IF($D1288="","",IF(COUNTIF('Config'!$E$6:$E$13,$D1288)&gt;0,"Entrada",IF(COUNTIF('Config'!$G$6:$G$21,$D1288)&gt;0,"Saída","Verificar")))</f>
        <v/>
      </c>
    </row>
    <row r="1289" spans="7:7" ht="16.5" customHeight="1">
      <c r="G1289" s="47">
        <f>IF($D1289="","",IF(COUNTIF('Config'!$E$6:$E$13,$D1289)&gt;0,"Entrada",IF(COUNTIF('Config'!$G$6:$G$21,$D1289)&gt;0,"Saída","Verificar")))</f>
        <v/>
      </c>
    </row>
    <row r="1290" spans="7:7" ht="16.5" customHeight="1">
      <c r="G1290" s="47">
        <f>IF($D1290="","",IF(COUNTIF('Config'!$E$6:$E$13,$D1290)&gt;0,"Entrada",IF(COUNTIF('Config'!$G$6:$G$21,$D1290)&gt;0,"Saída","Verificar")))</f>
        <v/>
      </c>
    </row>
    <row r="1291" spans="7:7" ht="16.5" customHeight="1">
      <c r="G1291" s="47">
        <f>IF($D1291="","",IF(COUNTIF('Config'!$E$6:$E$13,$D1291)&gt;0,"Entrada",IF(COUNTIF('Config'!$G$6:$G$21,$D1291)&gt;0,"Saída","Verificar")))</f>
        <v/>
      </c>
    </row>
    <row r="1292" spans="7:7" ht="16.5" customHeight="1">
      <c r="G1292" s="47">
        <f>IF($D1292="","",IF(COUNTIF('Config'!$E$6:$E$13,$D1292)&gt;0,"Entrada",IF(COUNTIF('Config'!$G$6:$G$21,$D1292)&gt;0,"Saída","Verificar")))</f>
        <v/>
      </c>
    </row>
    <row r="1293" spans="7:7" ht="16.5" customHeight="1">
      <c r="G1293" s="47">
        <f>IF($D1293="","",IF(COUNTIF('Config'!$E$6:$E$13,$D1293)&gt;0,"Entrada",IF(COUNTIF('Config'!$G$6:$G$21,$D1293)&gt;0,"Saída","Verificar")))</f>
        <v/>
      </c>
    </row>
    <row r="1294" spans="7:7" ht="16.5" customHeight="1">
      <c r="G1294" s="47">
        <f>IF($D1294="","",IF(COUNTIF('Config'!$E$6:$E$13,$D1294)&gt;0,"Entrada",IF(COUNTIF('Config'!$G$6:$G$21,$D1294)&gt;0,"Saída","Verificar")))</f>
        <v/>
      </c>
    </row>
    <row r="1295" spans="7:7" ht="16.5" customHeight="1">
      <c r="G1295" s="47">
        <f>IF($D1295="","",IF(COUNTIF('Config'!$E$6:$E$13,$D1295)&gt;0,"Entrada",IF(COUNTIF('Config'!$G$6:$G$21,$D1295)&gt;0,"Saída","Verificar")))</f>
        <v/>
      </c>
    </row>
    <row r="1296" spans="7:7" ht="16.5" customHeight="1">
      <c r="G1296" s="47">
        <f>IF($D1296="","",IF(COUNTIF('Config'!$E$6:$E$13,$D1296)&gt;0,"Entrada",IF(COUNTIF('Config'!$G$6:$G$21,$D1296)&gt;0,"Saída","Verificar")))</f>
        <v/>
      </c>
    </row>
    <row r="1297" spans="7:7" ht="16.5" customHeight="1">
      <c r="G1297" s="47">
        <f>IF($D1297="","",IF(COUNTIF('Config'!$E$6:$E$13,$D1297)&gt;0,"Entrada",IF(COUNTIF('Config'!$G$6:$G$21,$D1297)&gt;0,"Saída","Verificar")))</f>
        <v/>
      </c>
    </row>
    <row r="1298" spans="7:7" ht="16.5" customHeight="1">
      <c r="G1298" s="47">
        <f>IF($D1298="","",IF(COUNTIF('Config'!$E$6:$E$13,$D1298)&gt;0,"Entrada",IF(COUNTIF('Config'!$G$6:$G$21,$D1298)&gt;0,"Saída","Verificar")))</f>
        <v/>
      </c>
    </row>
    <row r="1299" spans="7:7" ht="16.5" customHeight="1">
      <c r="G1299" s="47">
        <f>IF($D1299="","",IF(COUNTIF('Config'!$E$6:$E$13,$D1299)&gt;0,"Entrada",IF(COUNTIF('Config'!$G$6:$G$21,$D1299)&gt;0,"Saída","Verificar")))</f>
        <v/>
      </c>
    </row>
    <row r="1300" spans="7:7" ht="16.5" customHeight="1">
      <c r="G1300" s="47">
        <f>IF($D1300="","",IF(COUNTIF('Config'!$E$6:$E$13,$D1300)&gt;0,"Entrada",IF(COUNTIF('Config'!$G$6:$G$21,$D1300)&gt;0,"Saída","Verificar")))</f>
        <v/>
      </c>
    </row>
    <row r="1301" spans="7:7" ht="16.5" customHeight="1">
      <c r="G1301" s="47">
        <f>IF($D1301="","",IF(COUNTIF('Config'!$E$6:$E$13,$D1301)&gt;0,"Entrada",IF(COUNTIF('Config'!$G$6:$G$21,$D1301)&gt;0,"Saída","Verificar")))</f>
        <v/>
      </c>
    </row>
    <row r="1302" spans="7:7" ht="16.5" customHeight="1">
      <c r="G1302" s="47">
        <f>IF($D1302="","",IF(COUNTIF('Config'!$E$6:$E$13,$D1302)&gt;0,"Entrada",IF(COUNTIF('Config'!$G$6:$G$21,$D1302)&gt;0,"Saída","Verificar")))</f>
        <v/>
      </c>
    </row>
    <row r="1303" spans="7:7" ht="16.5" customHeight="1">
      <c r="G1303" s="47">
        <f>IF($D1303="","",IF(COUNTIF('Config'!$E$6:$E$13,$D1303)&gt;0,"Entrada",IF(COUNTIF('Config'!$G$6:$G$21,$D1303)&gt;0,"Saída","Verificar")))</f>
        <v/>
      </c>
    </row>
    <row r="1304" spans="7:7" ht="16.5" customHeight="1">
      <c r="G1304" s="47">
        <f>IF($D1304="","",IF(COUNTIF('Config'!$E$6:$E$13,$D1304)&gt;0,"Entrada",IF(COUNTIF('Config'!$G$6:$G$21,$D1304)&gt;0,"Saída","Verificar")))</f>
        <v/>
      </c>
    </row>
    <row r="1305" spans="7:7" ht="16.5" customHeight="1">
      <c r="G1305" s="47">
        <f>IF($D1305="","",IF(COUNTIF('Config'!$E$6:$E$13,$D1305)&gt;0,"Entrada",IF(COUNTIF('Config'!$G$6:$G$21,$D1305)&gt;0,"Saída","Verificar")))</f>
        <v/>
      </c>
    </row>
    <row r="1306" spans="7:7" ht="16.5" customHeight="1">
      <c r="G1306" s="47">
        <f>IF($D1306="","",IF(COUNTIF('Config'!$E$6:$E$13,$D1306)&gt;0,"Entrada",IF(COUNTIF('Config'!$G$6:$G$21,$D1306)&gt;0,"Saída","Verificar")))</f>
        <v/>
      </c>
    </row>
    <row r="1307" spans="7:7" ht="16.5" customHeight="1">
      <c r="G1307" s="47">
        <f>IF($D1307="","",IF(COUNTIF('Config'!$E$6:$E$13,$D1307)&gt;0,"Entrada",IF(COUNTIF('Config'!$G$6:$G$21,$D1307)&gt;0,"Saída","Verificar")))</f>
        <v/>
      </c>
    </row>
    <row r="1308" spans="7:7" ht="16.5" customHeight="1">
      <c r="G1308" s="47">
        <f>IF($D1308="","",IF(COUNTIF('Config'!$E$6:$E$13,$D1308)&gt;0,"Entrada",IF(COUNTIF('Config'!$G$6:$G$21,$D1308)&gt;0,"Saída","Verificar")))</f>
        <v/>
      </c>
    </row>
    <row r="1309" spans="7:7" ht="16.5" customHeight="1">
      <c r="G1309" s="47">
        <f>IF($D1309="","",IF(COUNTIF('Config'!$E$6:$E$13,$D1309)&gt;0,"Entrada",IF(COUNTIF('Config'!$G$6:$G$21,$D1309)&gt;0,"Saída","Verificar")))</f>
        <v/>
      </c>
    </row>
    <row r="1310" spans="7:7" ht="16.5" customHeight="1">
      <c r="G1310" s="47">
        <f>IF($D1310="","",IF(COUNTIF('Config'!$E$6:$E$13,$D1310)&gt;0,"Entrada",IF(COUNTIF('Config'!$G$6:$G$21,$D1310)&gt;0,"Saída","Verificar")))</f>
        <v/>
      </c>
    </row>
    <row r="1311" spans="7:7" ht="16.5" customHeight="1">
      <c r="G1311" s="47">
        <f>IF($D1311="","",IF(COUNTIF('Config'!$E$6:$E$13,$D1311)&gt;0,"Entrada",IF(COUNTIF('Config'!$G$6:$G$21,$D1311)&gt;0,"Saída","Verificar")))</f>
        <v/>
      </c>
    </row>
    <row r="1312" spans="7:7" ht="16.5" customHeight="1">
      <c r="G1312" s="47">
        <f>IF($D1312="","",IF(COUNTIF('Config'!$E$6:$E$13,$D1312)&gt;0,"Entrada",IF(COUNTIF('Config'!$G$6:$G$21,$D1312)&gt;0,"Saída","Verificar")))</f>
        <v/>
      </c>
    </row>
    <row r="1313" spans="7:7" ht="16.5" customHeight="1">
      <c r="G1313" s="47">
        <f>IF($D1313="","",IF(COUNTIF('Config'!$E$6:$E$13,$D1313)&gt;0,"Entrada",IF(COUNTIF('Config'!$G$6:$G$21,$D1313)&gt;0,"Saída","Verificar")))</f>
        <v/>
      </c>
    </row>
    <row r="1314" spans="7:7" ht="16.5" customHeight="1">
      <c r="G1314" s="47">
        <f>IF($D1314="","",IF(COUNTIF('Config'!$E$6:$E$13,$D1314)&gt;0,"Entrada",IF(COUNTIF('Config'!$G$6:$G$21,$D1314)&gt;0,"Saída","Verificar")))</f>
        <v/>
      </c>
    </row>
    <row r="1315" spans="7:7" ht="16.5" customHeight="1">
      <c r="G1315" s="47">
        <f>IF($D1315="","",IF(COUNTIF('Config'!$E$6:$E$13,$D1315)&gt;0,"Entrada",IF(COUNTIF('Config'!$G$6:$G$21,$D1315)&gt;0,"Saída","Verificar")))</f>
        <v/>
      </c>
    </row>
    <row r="1316" spans="7:7" ht="16.5" customHeight="1">
      <c r="G1316" s="47">
        <f>IF($D1316="","",IF(COUNTIF('Config'!$E$6:$E$13,$D1316)&gt;0,"Entrada",IF(COUNTIF('Config'!$G$6:$G$21,$D1316)&gt;0,"Saída","Verificar")))</f>
        <v/>
      </c>
    </row>
    <row r="1317" spans="7:7" ht="16.5" customHeight="1">
      <c r="G1317" s="47">
        <f>IF($D1317="","",IF(COUNTIF('Config'!$E$6:$E$13,$D1317)&gt;0,"Entrada",IF(COUNTIF('Config'!$G$6:$G$21,$D1317)&gt;0,"Saída","Verificar")))</f>
        <v/>
      </c>
    </row>
    <row r="1318" spans="7:7" ht="16.5" customHeight="1">
      <c r="G1318" s="47">
        <f>IF($D1318="","",IF(COUNTIF('Config'!$E$6:$E$13,$D1318)&gt;0,"Entrada",IF(COUNTIF('Config'!$G$6:$G$21,$D1318)&gt;0,"Saída","Verificar")))</f>
        <v/>
      </c>
    </row>
    <row r="1319" spans="7:7" ht="16.5" customHeight="1">
      <c r="G1319" s="47">
        <f>IF($D1319="","",IF(COUNTIF('Config'!$E$6:$E$13,$D1319)&gt;0,"Entrada",IF(COUNTIF('Config'!$G$6:$G$21,$D1319)&gt;0,"Saída","Verificar")))</f>
        <v/>
      </c>
    </row>
    <row r="1320" spans="7:7" ht="16.5" customHeight="1">
      <c r="G1320" s="47">
        <f>IF($D1320="","",IF(COUNTIF('Config'!$E$6:$E$13,$D1320)&gt;0,"Entrada",IF(COUNTIF('Config'!$G$6:$G$21,$D1320)&gt;0,"Saída","Verificar")))</f>
        <v/>
      </c>
    </row>
    <row r="1321" spans="7:7" ht="16.5" customHeight="1">
      <c r="G1321" s="47">
        <f>IF($D1321="","",IF(COUNTIF('Config'!$E$6:$E$13,$D1321)&gt;0,"Entrada",IF(COUNTIF('Config'!$G$6:$G$21,$D1321)&gt;0,"Saída","Verificar")))</f>
        <v/>
      </c>
    </row>
    <row r="1322" spans="7:7" ht="16.5" customHeight="1">
      <c r="G1322" s="47">
        <f>IF($D1322="","",IF(COUNTIF('Config'!$E$6:$E$13,$D1322)&gt;0,"Entrada",IF(COUNTIF('Config'!$G$6:$G$21,$D1322)&gt;0,"Saída","Verificar")))</f>
        <v/>
      </c>
    </row>
    <row r="1323" spans="7:7" ht="16.5" customHeight="1">
      <c r="G1323" s="47">
        <f>IF($D1323="","",IF(COUNTIF('Config'!$E$6:$E$13,$D1323)&gt;0,"Entrada",IF(COUNTIF('Config'!$G$6:$G$21,$D1323)&gt;0,"Saída","Verificar")))</f>
        <v/>
      </c>
    </row>
    <row r="1324" spans="7:7" ht="16.5" customHeight="1">
      <c r="G1324" s="47">
        <f>IF($D1324="","",IF(COUNTIF('Config'!$E$6:$E$13,$D1324)&gt;0,"Entrada",IF(COUNTIF('Config'!$G$6:$G$21,$D1324)&gt;0,"Saída","Verificar")))</f>
        <v/>
      </c>
    </row>
    <row r="1325" spans="7:7" ht="16.5" customHeight="1">
      <c r="G1325" s="47">
        <f>IF($D1325="","",IF(COUNTIF('Config'!$E$6:$E$13,$D1325)&gt;0,"Entrada",IF(COUNTIF('Config'!$G$6:$G$21,$D1325)&gt;0,"Saída","Verificar")))</f>
        <v/>
      </c>
    </row>
    <row r="1326" spans="7:7" ht="16.5" customHeight="1">
      <c r="G1326" s="47">
        <f>IF($D1326="","",IF(COUNTIF('Config'!$E$6:$E$13,$D1326)&gt;0,"Entrada",IF(COUNTIF('Config'!$G$6:$G$21,$D1326)&gt;0,"Saída","Verificar")))</f>
        <v/>
      </c>
    </row>
    <row r="1327" spans="7:7" ht="16.5" customHeight="1">
      <c r="G1327" s="47">
        <f>IF($D1327="","",IF(COUNTIF('Config'!$E$6:$E$13,$D1327)&gt;0,"Entrada",IF(COUNTIF('Config'!$G$6:$G$21,$D1327)&gt;0,"Saída","Verificar")))</f>
        <v/>
      </c>
    </row>
    <row r="1328" spans="7:7" ht="16.5" customHeight="1">
      <c r="G1328" s="47">
        <f>IF($D1328="","",IF(COUNTIF('Config'!$E$6:$E$13,$D1328)&gt;0,"Entrada",IF(COUNTIF('Config'!$G$6:$G$21,$D1328)&gt;0,"Saída","Verificar")))</f>
        <v/>
      </c>
    </row>
    <row r="1329" spans="7:7" ht="16.5" customHeight="1">
      <c r="G1329" s="47">
        <f>IF($D1329="","",IF(COUNTIF('Config'!$E$6:$E$13,$D1329)&gt;0,"Entrada",IF(COUNTIF('Config'!$G$6:$G$21,$D1329)&gt;0,"Saída","Verificar")))</f>
        <v/>
      </c>
    </row>
    <row r="1330" spans="7:7" ht="16.5" customHeight="1">
      <c r="G1330" s="47">
        <f>IF($D1330="","",IF(COUNTIF('Config'!$E$6:$E$13,$D1330)&gt;0,"Entrada",IF(COUNTIF('Config'!$G$6:$G$21,$D1330)&gt;0,"Saída","Verificar")))</f>
        <v/>
      </c>
    </row>
    <row r="1331" spans="7:7" ht="16.5" customHeight="1">
      <c r="G1331" s="47">
        <f>IF($D1331="","",IF(COUNTIF('Config'!$E$6:$E$13,$D1331)&gt;0,"Entrada",IF(COUNTIF('Config'!$G$6:$G$21,$D1331)&gt;0,"Saída","Verificar")))</f>
        <v/>
      </c>
    </row>
    <row r="1332" spans="7:7" ht="16.5" customHeight="1">
      <c r="G1332" s="47">
        <f>IF($D1332="","",IF(COUNTIF('Config'!$E$6:$E$13,$D1332)&gt;0,"Entrada",IF(COUNTIF('Config'!$G$6:$G$21,$D1332)&gt;0,"Saída","Verificar")))</f>
        <v/>
      </c>
    </row>
    <row r="1333" spans="7:7" ht="16.5" customHeight="1">
      <c r="G1333" s="47">
        <f>IF($D1333="","",IF(COUNTIF('Config'!$E$6:$E$13,$D1333)&gt;0,"Entrada",IF(COUNTIF('Config'!$G$6:$G$21,$D1333)&gt;0,"Saída","Verificar")))</f>
        <v/>
      </c>
    </row>
    <row r="1334" spans="7:7" ht="16.5" customHeight="1">
      <c r="G1334" s="47">
        <f>IF($D1334="","",IF(COUNTIF('Config'!$E$6:$E$13,$D1334)&gt;0,"Entrada",IF(COUNTIF('Config'!$G$6:$G$21,$D1334)&gt;0,"Saída","Verificar")))</f>
        <v/>
      </c>
    </row>
    <row r="1335" spans="7:7" ht="16.5" customHeight="1">
      <c r="G1335" s="47">
        <f>IF($D1335="","",IF(COUNTIF('Config'!$E$6:$E$13,$D1335)&gt;0,"Entrada",IF(COUNTIF('Config'!$G$6:$G$21,$D1335)&gt;0,"Saída","Verificar")))</f>
        <v/>
      </c>
    </row>
    <row r="1336" spans="7:7" ht="16.5" customHeight="1">
      <c r="G1336" s="47">
        <f>IF($D1336="","",IF(COUNTIF('Config'!$E$6:$E$13,$D1336)&gt;0,"Entrada",IF(COUNTIF('Config'!$G$6:$G$21,$D1336)&gt;0,"Saída","Verificar")))</f>
        <v/>
      </c>
    </row>
    <row r="1337" spans="7:7" ht="16.5" customHeight="1">
      <c r="G1337" s="47">
        <f>IF($D1337="","",IF(COUNTIF('Config'!$E$6:$E$13,$D1337)&gt;0,"Entrada",IF(COUNTIF('Config'!$G$6:$G$21,$D1337)&gt;0,"Saída","Verificar")))</f>
        <v/>
      </c>
    </row>
    <row r="1338" spans="7:7" ht="16.5" customHeight="1">
      <c r="G1338" s="47">
        <f>IF($D1338="","",IF(COUNTIF('Config'!$E$6:$E$13,$D1338)&gt;0,"Entrada",IF(COUNTIF('Config'!$G$6:$G$21,$D1338)&gt;0,"Saída","Verificar")))</f>
        <v/>
      </c>
    </row>
    <row r="1339" spans="7:7" ht="16.5" customHeight="1">
      <c r="G1339" s="47">
        <f>IF($D1339="","",IF(COUNTIF('Config'!$E$6:$E$13,$D1339)&gt;0,"Entrada",IF(COUNTIF('Config'!$G$6:$G$21,$D1339)&gt;0,"Saída","Verificar")))</f>
        <v/>
      </c>
    </row>
    <row r="1340" spans="7:7" ht="16.5" customHeight="1">
      <c r="G1340" s="47">
        <f>IF($D1340="","",IF(COUNTIF('Config'!$E$6:$E$13,$D1340)&gt;0,"Entrada",IF(COUNTIF('Config'!$G$6:$G$21,$D1340)&gt;0,"Saída","Verificar")))</f>
        <v/>
      </c>
    </row>
    <row r="1341" spans="7:7" ht="16.5" customHeight="1">
      <c r="G1341" s="47">
        <f>IF($D1341="","",IF(COUNTIF('Config'!$E$6:$E$13,$D1341)&gt;0,"Entrada",IF(COUNTIF('Config'!$G$6:$G$21,$D1341)&gt;0,"Saída","Verificar")))</f>
        <v/>
      </c>
    </row>
    <row r="1342" spans="7:7" ht="16.5" customHeight="1">
      <c r="G1342" s="47">
        <f>IF($D1342="","",IF(COUNTIF('Config'!$E$6:$E$13,$D1342)&gt;0,"Entrada",IF(COUNTIF('Config'!$G$6:$G$21,$D1342)&gt;0,"Saída","Verificar")))</f>
        <v/>
      </c>
    </row>
    <row r="1343" spans="7:7" ht="16.5" customHeight="1">
      <c r="G1343" s="47">
        <f>IF($D1343="","",IF(COUNTIF('Config'!$E$6:$E$13,$D1343)&gt;0,"Entrada",IF(COUNTIF('Config'!$G$6:$G$21,$D1343)&gt;0,"Saída","Verificar")))</f>
        <v/>
      </c>
    </row>
    <row r="1344" spans="7:7" ht="16.5" customHeight="1">
      <c r="G1344" s="47">
        <f>IF($D1344="","",IF(COUNTIF('Config'!$E$6:$E$13,$D1344)&gt;0,"Entrada",IF(COUNTIF('Config'!$G$6:$G$21,$D1344)&gt;0,"Saída","Verificar")))</f>
        <v/>
      </c>
    </row>
    <row r="1345" spans="7:7" ht="16.5" customHeight="1">
      <c r="G1345" s="47">
        <f>IF($D1345="","",IF(COUNTIF('Config'!$E$6:$E$13,$D1345)&gt;0,"Entrada",IF(COUNTIF('Config'!$G$6:$G$21,$D1345)&gt;0,"Saída","Verificar")))</f>
        <v/>
      </c>
    </row>
    <row r="1346" spans="7:7" ht="16.5" customHeight="1">
      <c r="G1346" s="47">
        <f>IF($D1346="","",IF(COUNTIF('Config'!$E$6:$E$13,$D1346)&gt;0,"Entrada",IF(COUNTIF('Config'!$G$6:$G$21,$D1346)&gt;0,"Saída","Verificar")))</f>
        <v/>
      </c>
    </row>
    <row r="1347" spans="7:7" ht="16.5" customHeight="1">
      <c r="G1347" s="47">
        <f>IF($D1347="","",IF(COUNTIF('Config'!$E$6:$E$13,$D1347)&gt;0,"Entrada",IF(COUNTIF('Config'!$G$6:$G$21,$D1347)&gt;0,"Saída","Verificar")))</f>
        <v/>
      </c>
    </row>
    <row r="1348" spans="7:7" ht="16.5" customHeight="1">
      <c r="G1348" s="47">
        <f>IF($D1348="","",IF(COUNTIF('Config'!$E$6:$E$13,$D1348)&gt;0,"Entrada",IF(COUNTIF('Config'!$G$6:$G$21,$D1348)&gt;0,"Saída","Verificar")))</f>
        <v/>
      </c>
    </row>
    <row r="1349" spans="7:7" ht="16.5" customHeight="1">
      <c r="G1349" s="47">
        <f>IF($D1349="","",IF(COUNTIF('Config'!$E$6:$E$13,$D1349)&gt;0,"Entrada",IF(COUNTIF('Config'!$G$6:$G$21,$D1349)&gt;0,"Saída","Verificar")))</f>
        <v/>
      </c>
    </row>
    <row r="1350" spans="7:7" ht="16.5" customHeight="1">
      <c r="G1350" s="47">
        <f>IF($D1350="","",IF(COUNTIF('Config'!$E$6:$E$13,$D1350)&gt;0,"Entrada",IF(COUNTIF('Config'!$G$6:$G$21,$D1350)&gt;0,"Saída","Verificar")))</f>
        <v/>
      </c>
    </row>
    <row r="1351" spans="7:7" ht="16.5" customHeight="1">
      <c r="G1351" s="47">
        <f>IF($D1351="","",IF(COUNTIF('Config'!$E$6:$E$13,$D1351)&gt;0,"Entrada",IF(COUNTIF('Config'!$G$6:$G$21,$D1351)&gt;0,"Saída","Verificar")))</f>
        <v/>
      </c>
    </row>
    <row r="1352" spans="7:7" ht="16.5" customHeight="1">
      <c r="G1352" s="47">
        <f>IF($D1352="","",IF(COUNTIF('Config'!$E$6:$E$13,$D1352)&gt;0,"Entrada",IF(COUNTIF('Config'!$G$6:$G$21,$D1352)&gt;0,"Saída","Verificar")))</f>
        <v/>
      </c>
    </row>
    <row r="1353" spans="7:7" ht="16.5" customHeight="1">
      <c r="G1353" s="47">
        <f>IF($D1353="","",IF(COUNTIF('Config'!$E$6:$E$13,$D1353)&gt;0,"Entrada",IF(COUNTIF('Config'!$G$6:$G$21,$D1353)&gt;0,"Saída","Verificar")))</f>
        <v/>
      </c>
    </row>
    <row r="1354" spans="7:7" ht="16.5" customHeight="1">
      <c r="G1354" s="47">
        <f>IF($D1354="","",IF(COUNTIF('Config'!$E$6:$E$13,$D1354)&gt;0,"Entrada",IF(COUNTIF('Config'!$G$6:$G$21,$D1354)&gt;0,"Saída","Verificar")))</f>
        <v/>
      </c>
    </row>
    <row r="1355" spans="7:7" ht="16.5" customHeight="1">
      <c r="G1355" s="47">
        <f>IF($D1355="","",IF(COUNTIF('Config'!$E$6:$E$13,$D1355)&gt;0,"Entrada",IF(COUNTIF('Config'!$G$6:$G$21,$D1355)&gt;0,"Saída","Verificar")))</f>
        <v/>
      </c>
    </row>
    <row r="1356" spans="7:7" ht="16.5" customHeight="1">
      <c r="G1356" s="47">
        <f>IF($D1356="","",IF(COUNTIF('Config'!$E$6:$E$13,$D1356)&gt;0,"Entrada",IF(COUNTIF('Config'!$G$6:$G$21,$D1356)&gt;0,"Saída","Verificar")))</f>
        <v/>
      </c>
    </row>
    <row r="1357" spans="7:7" ht="16.5" customHeight="1">
      <c r="G1357" s="47">
        <f>IF($D1357="","",IF(COUNTIF('Config'!$E$6:$E$13,$D1357)&gt;0,"Entrada",IF(COUNTIF('Config'!$G$6:$G$21,$D1357)&gt;0,"Saída","Verificar")))</f>
        <v/>
      </c>
    </row>
    <row r="1358" spans="7:7" ht="16.5" customHeight="1">
      <c r="G1358" s="47">
        <f>IF($D1358="","",IF(COUNTIF('Config'!$E$6:$E$13,$D1358)&gt;0,"Entrada",IF(COUNTIF('Config'!$G$6:$G$21,$D1358)&gt;0,"Saída","Verificar")))</f>
        <v/>
      </c>
    </row>
    <row r="1359" spans="7:7" ht="16.5" customHeight="1">
      <c r="G1359" s="47">
        <f>IF($D1359="","",IF(COUNTIF('Config'!$E$6:$E$13,$D1359)&gt;0,"Entrada",IF(COUNTIF('Config'!$G$6:$G$21,$D1359)&gt;0,"Saída","Verificar")))</f>
        <v/>
      </c>
    </row>
    <row r="1360" spans="7:7" ht="16.5" customHeight="1">
      <c r="G1360" s="47">
        <f>IF($D1360="","",IF(COUNTIF('Config'!$E$6:$E$13,$D1360)&gt;0,"Entrada",IF(COUNTIF('Config'!$G$6:$G$21,$D1360)&gt;0,"Saída","Verificar")))</f>
        <v/>
      </c>
    </row>
    <row r="1361" spans="7:7" ht="16.5" customHeight="1">
      <c r="G1361" s="47">
        <f>IF($D1361="","",IF(COUNTIF('Config'!$E$6:$E$13,$D1361)&gt;0,"Entrada",IF(COUNTIF('Config'!$G$6:$G$21,$D1361)&gt;0,"Saída","Verificar")))</f>
        <v/>
      </c>
    </row>
    <row r="1362" spans="7:7" ht="16.5" customHeight="1">
      <c r="G1362" s="47">
        <f>IF($D1362="","",IF(COUNTIF('Config'!$E$6:$E$13,$D1362)&gt;0,"Entrada",IF(COUNTIF('Config'!$G$6:$G$21,$D1362)&gt;0,"Saída","Verificar")))</f>
        <v/>
      </c>
    </row>
    <row r="1363" spans="7:7" ht="16.5" customHeight="1">
      <c r="G1363" s="47">
        <f>IF($D1363="","",IF(COUNTIF('Config'!$E$6:$E$13,$D1363)&gt;0,"Entrada",IF(COUNTIF('Config'!$G$6:$G$21,$D1363)&gt;0,"Saída","Verificar")))</f>
        <v/>
      </c>
    </row>
    <row r="1364" spans="7:7" ht="16.5" customHeight="1">
      <c r="G1364" s="47">
        <f>IF($D1364="","",IF(COUNTIF('Config'!$E$6:$E$13,$D1364)&gt;0,"Entrada",IF(COUNTIF('Config'!$G$6:$G$21,$D1364)&gt;0,"Saída","Verificar")))</f>
        <v/>
      </c>
    </row>
    <row r="1365" spans="7:7" ht="16.5" customHeight="1">
      <c r="G1365" s="47">
        <f>IF($D1365="","",IF(COUNTIF('Config'!$E$6:$E$13,$D1365)&gt;0,"Entrada",IF(COUNTIF('Config'!$G$6:$G$21,$D1365)&gt;0,"Saída","Verificar")))</f>
        <v/>
      </c>
    </row>
    <row r="1366" spans="7:7" ht="16.5" customHeight="1">
      <c r="G1366" s="47">
        <f>IF($D1366="","",IF(COUNTIF('Config'!$E$6:$E$13,$D1366)&gt;0,"Entrada",IF(COUNTIF('Config'!$G$6:$G$21,$D1366)&gt;0,"Saída","Verificar")))</f>
        <v/>
      </c>
    </row>
    <row r="1367" spans="7:7" ht="16.5" customHeight="1">
      <c r="G1367" s="47">
        <f>IF($D1367="","",IF(COUNTIF('Config'!$E$6:$E$13,$D1367)&gt;0,"Entrada",IF(COUNTIF('Config'!$G$6:$G$21,$D1367)&gt;0,"Saída","Verificar")))</f>
        <v/>
      </c>
    </row>
    <row r="1368" spans="7:7" ht="16.5" customHeight="1">
      <c r="G1368" s="47">
        <f>IF($D1368="","",IF(COUNTIF('Config'!$E$6:$E$13,$D1368)&gt;0,"Entrada",IF(COUNTIF('Config'!$G$6:$G$21,$D1368)&gt;0,"Saída","Verificar")))</f>
        <v/>
      </c>
    </row>
    <row r="1369" spans="7:7" ht="16.5" customHeight="1">
      <c r="G1369" s="47">
        <f>IF($D1369="","",IF(COUNTIF('Config'!$E$6:$E$13,$D1369)&gt;0,"Entrada",IF(COUNTIF('Config'!$G$6:$G$21,$D1369)&gt;0,"Saída","Verificar")))</f>
        <v/>
      </c>
    </row>
    <row r="1370" spans="7:7" ht="16.5" customHeight="1">
      <c r="G1370" s="47">
        <f>IF($D1370="","",IF(COUNTIF('Config'!$E$6:$E$13,$D1370)&gt;0,"Entrada",IF(COUNTIF('Config'!$G$6:$G$21,$D1370)&gt;0,"Saída","Verificar")))</f>
        <v/>
      </c>
    </row>
    <row r="1371" spans="7:7" ht="16.5" customHeight="1">
      <c r="G1371" s="47">
        <f>IF($D1371="","",IF(COUNTIF('Config'!$E$6:$E$13,$D1371)&gt;0,"Entrada",IF(COUNTIF('Config'!$G$6:$G$21,$D1371)&gt;0,"Saída","Verificar")))</f>
        <v/>
      </c>
    </row>
    <row r="1372" spans="7:7" ht="16.5" customHeight="1">
      <c r="G1372" s="47">
        <f>IF($D1372="","",IF(COUNTIF('Config'!$E$6:$E$13,$D1372)&gt;0,"Entrada",IF(COUNTIF('Config'!$G$6:$G$21,$D1372)&gt;0,"Saída","Verificar")))</f>
        <v/>
      </c>
    </row>
    <row r="1373" spans="7:7" ht="16.5" customHeight="1">
      <c r="G1373" s="47">
        <f>IF($D1373="","",IF(COUNTIF('Config'!$E$6:$E$13,$D1373)&gt;0,"Entrada",IF(COUNTIF('Config'!$G$6:$G$21,$D1373)&gt;0,"Saída","Verificar")))</f>
        <v/>
      </c>
    </row>
    <row r="1374" spans="7:7" ht="16.5" customHeight="1">
      <c r="G1374" s="47">
        <f>IF($D1374="","",IF(COUNTIF('Config'!$E$6:$E$13,$D1374)&gt;0,"Entrada",IF(COUNTIF('Config'!$G$6:$G$21,$D1374)&gt;0,"Saída","Verificar")))</f>
        <v/>
      </c>
    </row>
    <row r="1375" spans="7:7" ht="16.5" customHeight="1">
      <c r="G1375" s="47">
        <f>IF($D1375="","",IF(COUNTIF('Config'!$E$6:$E$13,$D1375)&gt;0,"Entrada",IF(COUNTIF('Config'!$G$6:$G$21,$D1375)&gt;0,"Saída","Verificar")))</f>
        <v/>
      </c>
    </row>
    <row r="1376" spans="7:7" ht="16.5" customHeight="1">
      <c r="G1376" s="47">
        <f>IF($D1376="","",IF(COUNTIF('Config'!$E$6:$E$13,$D1376)&gt;0,"Entrada",IF(COUNTIF('Config'!$G$6:$G$21,$D1376)&gt;0,"Saída","Verificar")))</f>
        <v/>
      </c>
    </row>
    <row r="1377" spans="7:7" ht="16.5" customHeight="1">
      <c r="G1377" s="47">
        <f>IF($D1377="","",IF(COUNTIF('Config'!$E$6:$E$13,$D1377)&gt;0,"Entrada",IF(COUNTIF('Config'!$G$6:$G$21,$D1377)&gt;0,"Saída","Verificar")))</f>
        <v/>
      </c>
    </row>
    <row r="1378" spans="7:7" ht="16.5" customHeight="1">
      <c r="G1378" s="47">
        <f>IF($D1378="","",IF(COUNTIF('Config'!$E$6:$E$13,$D1378)&gt;0,"Entrada",IF(COUNTIF('Config'!$G$6:$G$21,$D1378)&gt;0,"Saída","Verificar")))</f>
        <v/>
      </c>
    </row>
    <row r="1379" spans="7:7" ht="16.5" customHeight="1">
      <c r="G1379" s="47">
        <f>IF($D1379="","",IF(COUNTIF('Config'!$E$6:$E$13,$D1379)&gt;0,"Entrada",IF(COUNTIF('Config'!$G$6:$G$21,$D1379)&gt;0,"Saída","Verificar")))</f>
        <v/>
      </c>
    </row>
    <row r="1380" spans="7:7" ht="16.5" customHeight="1">
      <c r="G1380" s="47">
        <f>IF($D1380="","",IF(COUNTIF('Config'!$E$6:$E$13,$D1380)&gt;0,"Entrada",IF(COUNTIF('Config'!$G$6:$G$21,$D1380)&gt;0,"Saída","Verificar")))</f>
        <v/>
      </c>
    </row>
    <row r="1381" spans="7:7" ht="16.5" customHeight="1">
      <c r="G1381" s="47">
        <f>IF($D1381="","",IF(COUNTIF('Config'!$E$6:$E$13,$D1381)&gt;0,"Entrada",IF(COUNTIF('Config'!$G$6:$G$21,$D1381)&gt;0,"Saída","Verificar")))</f>
        <v/>
      </c>
    </row>
    <row r="1382" spans="7:7" ht="16.5" customHeight="1">
      <c r="G1382" s="47">
        <f>IF($D1382="","",IF(COUNTIF('Config'!$E$6:$E$13,$D1382)&gt;0,"Entrada",IF(COUNTIF('Config'!$G$6:$G$21,$D1382)&gt;0,"Saída","Verificar")))</f>
        <v/>
      </c>
    </row>
    <row r="1383" spans="7:7" ht="16.5" customHeight="1">
      <c r="G1383" s="47">
        <f>IF($D1383="","",IF(COUNTIF('Config'!$E$6:$E$13,$D1383)&gt;0,"Entrada",IF(COUNTIF('Config'!$G$6:$G$21,$D1383)&gt;0,"Saída","Verificar")))</f>
        <v/>
      </c>
    </row>
    <row r="1384" spans="7:7" ht="16.5" customHeight="1">
      <c r="G1384" s="47">
        <f>IF($D1384="","",IF(COUNTIF('Config'!$E$6:$E$13,$D1384)&gt;0,"Entrada",IF(COUNTIF('Config'!$G$6:$G$21,$D1384)&gt;0,"Saída","Verificar")))</f>
        <v/>
      </c>
    </row>
    <row r="1385" spans="7:7" ht="16.5" customHeight="1">
      <c r="G1385" s="47">
        <f>IF($D1385="","",IF(COUNTIF('Config'!$E$6:$E$13,$D1385)&gt;0,"Entrada",IF(COUNTIF('Config'!$G$6:$G$21,$D1385)&gt;0,"Saída","Verificar")))</f>
        <v/>
      </c>
    </row>
    <row r="1386" spans="7:7" ht="16.5" customHeight="1">
      <c r="G1386" s="47">
        <f>IF($D1386="","",IF(COUNTIF('Config'!$E$6:$E$13,$D1386)&gt;0,"Entrada",IF(COUNTIF('Config'!$G$6:$G$21,$D1386)&gt;0,"Saída","Verificar")))</f>
        <v/>
      </c>
    </row>
    <row r="1387" spans="7:7" ht="16.5" customHeight="1">
      <c r="G1387" s="47">
        <f>IF($D1387="","",IF(COUNTIF('Config'!$E$6:$E$13,$D1387)&gt;0,"Entrada",IF(COUNTIF('Config'!$G$6:$G$21,$D1387)&gt;0,"Saída","Verificar")))</f>
        <v/>
      </c>
    </row>
    <row r="1388" spans="7:7" ht="16.5" customHeight="1">
      <c r="G1388" s="47">
        <f>IF($D1388="","",IF(COUNTIF('Config'!$E$6:$E$13,$D1388)&gt;0,"Entrada",IF(COUNTIF('Config'!$G$6:$G$21,$D1388)&gt;0,"Saída","Verificar")))</f>
        <v/>
      </c>
    </row>
    <row r="1389" spans="7:7" ht="16.5" customHeight="1">
      <c r="G1389" s="47">
        <f>IF($D1389="","",IF(COUNTIF('Config'!$E$6:$E$13,$D1389)&gt;0,"Entrada",IF(COUNTIF('Config'!$G$6:$G$21,$D1389)&gt;0,"Saída","Verificar")))</f>
        <v/>
      </c>
    </row>
    <row r="1390" spans="7:7" ht="16.5" customHeight="1">
      <c r="G1390" s="47">
        <f>IF($D1390="","",IF(COUNTIF('Config'!$E$6:$E$13,$D1390)&gt;0,"Entrada",IF(COUNTIF('Config'!$G$6:$G$21,$D1390)&gt;0,"Saída","Verificar")))</f>
        <v/>
      </c>
    </row>
    <row r="1391" spans="7:7" ht="16.5" customHeight="1">
      <c r="G1391" s="47">
        <f>IF($D1391="","",IF(COUNTIF('Config'!$E$6:$E$13,$D1391)&gt;0,"Entrada",IF(COUNTIF('Config'!$G$6:$G$21,$D1391)&gt;0,"Saída","Verificar")))</f>
        <v/>
      </c>
    </row>
    <row r="1392" spans="7:7" ht="16.5" customHeight="1">
      <c r="G1392" s="47">
        <f>IF($D1392="","",IF(COUNTIF('Config'!$E$6:$E$13,$D1392)&gt;0,"Entrada",IF(COUNTIF('Config'!$G$6:$G$21,$D1392)&gt;0,"Saída","Verificar")))</f>
        <v/>
      </c>
    </row>
    <row r="1393" spans="7:7" ht="16.5" customHeight="1">
      <c r="G1393" s="47">
        <f>IF($D1393="","",IF(COUNTIF('Config'!$E$6:$E$13,$D1393)&gt;0,"Entrada",IF(COUNTIF('Config'!$G$6:$G$21,$D1393)&gt;0,"Saída","Verificar")))</f>
        <v/>
      </c>
    </row>
    <row r="1394" spans="7:7" ht="16.5" customHeight="1">
      <c r="G1394" s="47">
        <f>IF($D1394="","",IF(COUNTIF('Config'!$E$6:$E$13,$D1394)&gt;0,"Entrada",IF(COUNTIF('Config'!$G$6:$G$21,$D1394)&gt;0,"Saída","Verificar")))</f>
        <v/>
      </c>
    </row>
    <row r="1395" spans="7:7" ht="16.5" customHeight="1">
      <c r="G1395" s="47">
        <f>IF($D1395="","",IF(COUNTIF('Config'!$E$6:$E$13,$D1395)&gt;0,"Entrada",IF(COUNTIF('Config'!$G$6:$G$21,$D1395)&gt;0,"Saída","Verificar")))</f>
        <v/>
      </c>
    </row>
    <row r="1396" spans="7:7" ht="16.5" customHeight="1">
      <c r="G1396" s="47">
        <f>IF($D1396="","",IF(COUNTIF('Config'!$E$6:$E$13,$D1396)&gt;0,"Entrada",IF(COUNTIF('Config'!$G$6:$G$21,$D1396)&gt;0,"Saída","Verificar")))</f>
        <v/>
      </c>
    </row>
    <row r="1397" spans="7:7" ht="16.5" customHeight="1">
      <c r="G1397" s="47">
        <f>IF($D1397="","",IF(COUNTIF('Config'!$E$6:$E$13,$D1397)&gt;0,"Entrada",IF(COUNTIF('Config'!$G$6:$G$21,$D1397)&gt;0,"Saída","Verificar")))</f>
        <v/>
      </c>
    </row>
    <row r="1398" spans="7:7" ht="16.5" customHeight="1">
      <c r="G1398" s="47">
        <f>IF($D1398="","",IF(COUNTIF('Config'!$E$6:$E$13,$D1398)&gt;0,"Entrada",IF(COUNTIF('Config'!$G$6:$G$21,$D1398)&gt;0,"Saída","Verificar")))</f>
        <v/>
      </c>
    </row>
    <row r="1399" spans="7:7" ht="16.5" customHeight="1">
      <c r="G1399" s="47">
        <f>IF($D1399="","",IF(COUNTIF('Config'!$E$6:$E$13,$D1399)&gt;0,"Entrada",IF(COUNTIF('Config'!$G$6:$G$21,$D1399)&gt;0,"Saída","Verificar")))</f>
        <v/>
      </c>
    </row>
    <row r="1400" spans="7:7" ht="16.5" customHeight="1">
      <c r="G1400" s="47">
        <f>IF($D1400="","",IF(COUNTIF('Config'!$E$6:$E$13,$D1400)&gt;0,"Entrada",IF(COUNTIF('Config'!$G$6:$G$21,$D1400)&gt;0,"Saída","Verificar")))</f>
        <v/>
      </c>
    </row>
    <row r="1401" spans="7:7" ht="16.5" customHeight="1">
      <c r="G1401" s="47">
        <f>IF($D1401="","",IF(COUNTIF('Config'!$E$6:$E$13,$D1401)&gt;0,"Entrada",IF(COUNTIF('Config'!$G$6:$G$21,$D1401)&gt;0,"Saída","Verificar")))</f>
        <v/>
      </c>
    </row>
    <row r="1402" spans="7:7" ht="16.5" customHeight="1">
      <c r="G1402" s="47">
        <f>IF($D1402="","",IF(COUNTIF('Config'!$E$6:$E$13,$D1402)&gt;0,"Entrada",IF(COUNTIF('Config'!$G$6:$G$21,$D1402)&gt;0,"Saída","Verificar")))</f>
        <v/>
      </c>
    </row>
    <row r="1403" spans="7:7" ht="16.5" customHeight="1">
      <c r="G1403" s="47">
        <f>IF($D1403="","",IF(COUNTIF('Config'!$E$6:$E$13,$D1403)&gt;0,"Entrada",IF(COUNTIF('Config'!$G$6:$G$21,$D1403)&gt;0,"Saída","Verificar")))</f>
        <v/>
      </c>
    </row>
    <row r="1404" spans="7:7" ht="16.5" customHeight="1">
      <c r="G1404" s="47">
        <f>IF($D1404="","",IF(COUNTIF('Config'!$E$6:$E$13,$D1404)&gt;0,"Entrada",IF(COUNTIF('Config'!$G$6:$G$21,$D1404)&gt;0,"Saída","Verificar")))</f>
        <v/>
      </c>
    </row>
    <row r="1405" spans="7:7" ht="16.5" customHeight="1">
      <c r="G1405" s="47">
        <f>IF($D1405="","",IF(COUNTIF('Config'!$E$6:$E$13,$D1405)&gt;0,"Entrada",IF(COUNTIF('Config'!$G$6:$G$21,$D1405)&gt;0,"Saída","Verificar")))</f>
        <v/>
      </c>
    </row>
    <row r="1406" spans="7:7" ht="16.5" customHeight="1">
      <c r="G1406" s="47">
        <f>IF($D1406="","",IF(COUNTIF('Config'!$E$6:$E$13,$D1406)&gt;0,"Entrada",IF(COUNTIF('Config'!$G$6:$G$21,$D1406)&gt;0,"Saída","Verificar")))</f>
        <v/>
      </c>
    </row>
    <row r="1407" spans="7:7" ht="16.5" customHeight="1">
      <c r="G1407" s="47">
        <f>IF($D1407="","",IF(COUNTIF('Config'!$E$6:$E$13,$D1407)&gt;0,"Entrada",IF(COUNTIF('Config'!$G$6:$G$21,$D1407)&gt;0,"Saída","Verificar")))</f>
        <v/>
      </c>
    </row>
    <row r="1408" spans="7:7" ht="16.5" customHeight="1">
      <c r="G1408" s="47">
        <f>IF($D1408="","",IF(COUNTIF('Config'!$E$6:$E$13,$D1408)&gt;0,"Entrada",IF(COUNTIF('Config'!$G$6:$G$21,$D1408)&gt;0,"Saída","Verificar")))</f>
        <v/>
      </c>
    </row>
    <row r="1409" spans="7:7" ht="16.5" customHeight="1">
      <c r="G1409" s="47">
        <f>IF($D1409="","",IF(COUNTIF('Config'!$E$6:$E$13,$D1409)&gt;0,"Entrada",IF(COUNTIF('Config'!$G$6:$G$21,$D1409)&gt;0,"Saída","Verificar")))</f>
        <v/>
      </c>
    </row>
    <row r="1410" spans="7:7" ht="16.5" customHeight="1">
      <c r="G1410" s="47">
        <f>IF($D1410="","",IF(COUNTIF('Config'!$E$6:$E$13,$D1410)&gt;0,"Entrada",IF(COUNTIF('Config'!$G$6:$G$21,$D1410)&gt;0,"Saída","Verificar")))</f>
        <v/>
      </c>
    </row>
    <row r="1411" spans="7:7" ht="16.5" customHeight="1">
      <c r="G1411" s="47">
        <f>IF($D1411="","",IF(COUNTIF('Config'!$E$6:$E$13,$D1411)&gt;0,"Entrada",IF(COUNTIF('Config'!$G$6:$G$21,$D1411)&gt;0,"Saída","Verificar")))</f>
        <v/>
      </c>
    </row>
    <row r="1412" spans="7:7" ht="16.5" customHeight="1">
      <c r="G1412" s="47">
        <f>IF($D1412="","",IF(COUNTIF('Config'!$E$6:$E$13,$D1412)&gt;0,"Entrada",IF(COUNTIF('Config'!$G$6:$G$21,$D1412)&gt;0,"Saída","Verificar")))</f>
        <v/>
      </c>
    </row>
    <row r="1413" spans="7:7" ht="16.5" customHeight="1">
      <c r="G1413" s="47">
        <f>IF($D1413="","",IF(COUNTIF('Config'!$E$6:$E$13,$D1413)&gt;0,"Entrada",IF(COUNTIF('Config'!$G$6:$G$21,$D1413)&gt;0,"Saída","Verificar")))</f>
        <v/>
      </c>
    </row>
    <row r="1414" spans="7:7" ht="16.5" customHeight="1">
      <c r="G1414" s="47">
        <f>IF($D1414="","",IF(COUNTIF('Config'!$E$6:$E$13,$D1414)&gt;0,"Entrada",IF(COUNTIF('Config'!$G$6:$G$21,$D1414)&gt;0,"Saída","Verificar")))</f>
        <v/>
      </c>
    </row>
    <row r="1415" spans="7:7" ht="16.5" customHeight="1">
      <c r="G1415" s="47">
        <f>IF($D1415="","",IF(COUNTIF('Config'!$E$6:$E$13,$D1415)&gt;0,"Entrada",IF(COUNTIF('Config'!$G$6:$G$21,$D1415)&gt;0,"Saída","Verificar")))</f>
        <v/>
      </c>
    </row>
    <row r="1416" spans="7:7" ht="16.5" customHeight="1">
      <c r="G1416" s="47">
        <f>IF($D1416="","",IF(COUNTIF('Config'!$E$6:$E$13,$D1416)&gt;0,"Entrada",IF(COUNTIF('Config'!$G$6:$G$21,$D1416)&gt;0,"Saída","Verificar")))</f>
        <v/>
      </c>
    </row>
    <row r="1417" spans="7:7" ht="16.5" customHeight="1">
      <c r="G1417" s="47">
        <f>IF($D1417="","",IF(COUNTIF('Config'!$E$6:$E$13,$D1417)&gt;0,"Entrada",IF(COUNTIF('Config'!$G$6:$G$21,$D1417)&gt;0,"Saída","Verificar")))</f>
        <v/>
      </c>
    </row>
    <row r="1418" spans="7:7" ht="16.5" customHeight="1">
      <c r="G1418" s="47">
        <f>IF($D1418="","",IF(COUNTIF('Config'!$E$6:$E$13,$D1418)&gt;0,"Entrada",IF(COUNTIF('Config'!$G$6:$G$21,$D1418)&gt;0,"Saída","Verificar")))</f>
        <v/>
      </c>
    </row>
    <row r="1419" spans="7:7" ht="16.5" customHeight="1">
      <c r="G1419" s="47">
        <f>IF($D1419="","",IF(COUNTIF('Config'!$E$6:$E$13,$D1419)&gt;0,"Entrada",IF(COUNTIF('Config'!$G$6:$G$21,$D1419)&gt;0,"Saída","Verificar")))</f>
        <v/>
      </c>
    </row>
    <row r="1420" spans="7:7" ht="16.5" customHeight="1">
      <c r="G1420" s="47">
        <f>IF($D1420="","",IF(COUNTIF('Config'!$E$6:$E$13,$D1420)&gt;0,"Entrada",IF(COUNTIF('Config'!$G$6:$G$21,$D1420)&gt;0,"Saída","Verificar")))</f>
        <v/>
      </c>
    </row>
    <row r="1421" spans="7:7" ht="16.5" customHeight="1">
      <c r="G1421" s="47">
        <f>IF($D1421="","",IF(COUNTIF('Config'!$E$6:$E$13,$D1421)&gt;0,"Entrada",IF(COUNTIF('Config'!$G$6:$G$21,$D1421)&gt;0,"Saída","Verificar")))</f>
        <v/>
      </c>
    </row>
    <row r="1422" spans="7:7" ht="16.5" customHeight="1">
      <c r="G1422" s="47">
        <f>IF($D1422="","",IF(COUNTIF('Config'!$E$6:$E$13,$D1422)&gt;0,"Entrada",IF(COUNTIF('Config'!$G$6:$G$21,$D1422)&gt;0,"Saída","Verificar")))</f>
        <v/>
      </c>
    </row>
    <row r="1423" spans="7:7" ht="16.5" customHeight="1">
      <c r="G1423" s="47">
        <f>IF($D1423="","",IF(COUNTIF('Config'!$E$6:$E$13,$D1423)&gt;0,"Entrada",IF(COUNTIF('Config'!$G$6:$G$21,$D1423)&gt;0,"Saída","Verificar")))</f>
        <v/>
      </c>
    </row>
    <row r="1424" spans="7:7" ht="16.5" customHeight="1">
      <c r="G1424" s="47">
        <f>IF($D1424="","",IF(COUNTIF('Config'!$E$6:$E$13,$D1424)&gt;0,"Entrada",IF(COUNTIF('Config'!$G$6:$G$21,$D1424)&gt;0,"Saída","Verificar")))</f>
        <v/>
      </c>
    </row>
    <row r="1425" spans="7:7" ht="16.5" customHeight="1">
      <c r="G1425" s="47">
        <f>IF($D1425="","",IF(COUNTIF('Config'!$E$6:$E$13,$D1425)&gt;0,"Entrada",IF(COUNTIF('Config'!$G$6:$G$21,$D1425)&gt;0,"Saída","Verificar")))</f>
        <v/>
      </c>
    </row>
    <row r="1426" spans="7:7" ht="16.5" customHeight="1">
      <c r="G1426" s="47">
        <f>IF($D1426="","",IF(COUNTIF('Config'!$E$6:$E$13,$D1426)&gt;0,"Entrada",IF(COUNTIF('Config'!$G$6:$G$21,$D1426)&gt;0,"Saída","Verificar")))</f>
        <v/>
      </c>
    </row>
    <row r="1427" spans="7:7" ht="16.5" customHeight="1">
      <c r="G1427" s="47">
        <f>IF($D1427="","",IF(COUNTIF('Config'!$E$6:$E$13,$D1427)&gt;0,"Entrada",IF(COUNTIF('Config'!$G$6:$G$21,$D1427)&gt;0,"Saída","Verificar")))</f>
        <v/>
      </c>
    </row>
    <row r="1428" spans="7:7" ht="16.5" customHeight="1">
      <c r="G1428" s="47">
        <f>IF($D1428="","",IF(COUNTIF('Config'!$E$6:$E$13,$D1428)&gt;0,"Entrada",IF(COUNTIF('Config'!$G$6:$G$21,$D1428)&gt;0,"Saída","Verificar")))</f>
        <v/>
      </c>
    </row>
    <row r="1429" spans="7:7" ht="16.5" customHeight="1">
      <c r="G1429" s="47">
        <f>IF($D1429="","",IF(COUNTIF('Config'!$E$6:$E$13,$D1429)&gt;0,"Entrada",IF(COUNTIF('Config'!$G$6:$G$21,$D1429)&gt;0,"Saída","Verificar")))</f>
        <v/>
      </c>
    </row>
    <row r="1430" spans="7:7" ht="16.5" customHeight="1">
      <c r="G1430" s="47">
        <f>IF($D1430="","",IF(COUNTIF('Config'!$E$6:$E$13,$D1430)&gt;0,"Entrada",IF(COUNTIF('Config'!$G$6:$G$21,$D1430)&gt;0,"Saída","Verificar")))</f>
        <v/>
      </c>
    </row>
    <row r="1431" spans="7:7" ht="16.5" customHeight="1">
      <c r="G1431" s="47">
        <f>IF($D1431="","",IF(COUNTIF('Config'!$E$6:$E$13,$D1431)&gt;0,"Entrada",IF(COUNTIF('Config'!$G$6:$G$21,$D1431)&gt;0,"Saída","Verificar")))</f>
        <v/>
      </c>
    </row>
    <row r="1432" spans="7:7" ht="16.5" customHeight="1">
      <c r="G1432" s="47">
        <f>IF($D1432="","",IF(COUNTIF('Config'!$E$6:$E$13,$D1432)&gt;0,"Entrada",IF(COUNTIF('Config'!$G$6:$G$21,$D1432)&gt;0,"Saída","Verificar")))</f>
        <v/>
      </c>
    </row>
    <row r="1433" spans="7:7" ht="16.5" customHeight="1">
      <c r="G1433" s="47">
        <f>IF($D1433="","",IF(COUNTIF('Config'!$E$6:$E$13,$D1433)&gt;0,"Entrada",IF(COUNTIF('Config'!$G$6:$G$21,$D1433)&gt;0,"Saída","Verificar")))</f>
        <v/>
      </c>
    </row>
    <row r="1434" spans="7:7" ht="16.5" customHeight="1">
      <c r="G1434" s="47">
        <f>IF($D1434="","",IF(COUNTIF('Config'!$E$6:$E$13,$D1434)&gt;0,"Entrada",IF(COUNTIF('Config'!$G$6:$G$21,$D1434)&gt;0,"Saída","Verificar")))</f>
        <v/>
      </c>
    </row>
    <row r="1435" spans="7:7" ht="16.5" customHeight="1">
      <c r="G1435" s="47">
        <f>IF($D1435="","",IF(COUNTIF('Config'!$E$6:$E$13,$D1435)&gt;0,"Entrada",IF(COUNTIF('Config'!$G$6:$G$21,$D1435)&gt;0,"Saída","Verificar")))</f>
        <v/>
      </c>
    </row>
    <row r="1436" spans="7:7" ht="16.5" customHeight="1">
      <c r="G1436" s="47">
        <f>IF($D1436="","",IF(COUNTIF('Config'!$E$6:$E$13,$D1436)&gt;0,"Entrada",IF(COUNTIF('Config'!$G$6:$G$21,$D1436)&gt;0,"Saída","Verificar")))</f>
        <v/>
      </c>
    </row>
    <row r="1437" spans="7:7" ht="16.5" customHeight="1">
      <c r="G1437" s="47">
        <f>IF($D1437="","",IF(COUNTIF('Config'!$E$6:$E$13,$D1437)&gt;0,"Entrada",IF(COUNTIF('Config'!$G$6:$G$21,$D1437)&gt;0,"Saída","Verificar")))</f>
        <v/>
      </c>
    </row>
    <row r="1438" spans="7:7" ht="16.5" customHeight="1">
      <c r="G1438" s="47">
        <f>IF($D1438="","",IF(COUNTIF('Config'!$E$6:$E$13,$D1438)&gt;0,"Entrada",IF(COUNTIF('Config'!$G$6:$G$21,$D1438)&gt;0,"Saída","Verificar")))</f>
        <v/>
      </c>
    </row>
    <row r="1439" spans="7:7" ht="16.5" customHeight="1">
      <c r="G1439" s="47">
        <f>IF($D1439="","",IF(COUNTIF('Config'!$E$6:$E$13,$D1439)&gt;0,"Entrada",IF(COUNTIF('Config'!$G$6:$G$21,$D1439)&gt;0,"Saída","Verificar")))</f>
        <v/>
      </c>
    </row>
    <row r="1440" spans="7:7" ht="16.5" customHeight="1">
      <c r="G1440" s="47">
        <f>IF($D1440="","",IF(COUNTIF('Config'!$E$6:$E$13,$D1440)&gt;0,"Entrada",IF(COUNTIF('Config'!$G$6:$G$21,$D1440)&gt;0,"Saída","Verificar")))</f>
        <v/>
      </c>
    </row>
    <row r="1441" spans="7:7" ht="16.5" customHeight="1">
      <c r="G1441" s="47">
        <f>IF($D1441="","",IF(COUNTIF('Config'!$E$6:$E$13,$D1441)&gt;0,"Entrada",IF(COUNTIF('Config'!$G$6:$G$21,$D1441)&gt;0,"Saída","Verificar")))</f>
        <v/>
      </c>
    </row>
    <row r="1442" spans="7:7" ht="16.5" customHeight="1">
      <c r="G1442" s="47">
        <f>IF($D1442="","",IF(COUNTIF('Config'!$E$6:$E$13,$D1442)&gt;0,"Entrada",IF(COUNTIF('Config'!$G$6:$G$21,$D1442)&gt;0,"Saída","Verificar")))</f>
        <v/>
      </c>
    </row>
    <row r="1443" spans="7:7" ht="16.5" customHeight="1">
      <c r="G1443" s="47">
        <f>IF($D1443="","",IF(COUNTIF('Config'!$E$6:$E$13,$D1443)&gt;0,"Entrada",IF(COUNTIF('Config'!$G$6:$G$21,$D1443)&gt;0,"Saída","Verificar")))</f>
        <v/>
      </c>
    </row>
    <row r="1444" spans="7:7" ht="16.5" customHeight="1">
      <c r="G1444" s="47">
        <f>IF($D1444="","",IF(COUNTIF('Config'!$E$6:$E$13,$D1444)&gt;0,"Entrada",IF(COUNTIF('Config'!$G$6:$G$21,$D1444)&gt;0,"Saída","Verificar")))</f>
        <v/>
      </c>
    </row>
    <row r="1445" spans="7:7" ht="16.5" customHeight="1">
      <c r="G1445" s="47">
        <f>IF($D1445="","",IF(COUNTIF('Config'!$E$6:$E$13,$D1445)&gt;0,"Entrada",IF(COUNTIF('Config'!$G$6:$G$21,$D1445)&gt;0,"Saída","Verificar")))</f>
        <v/>
      </c>
    </row>
    <row r="1446" spans="7:7" ht="16.5" customHeight="1">
      <c r="G1446" s="47">
        <f>IF($D1446="","",IF(COUNTIF('Config'!$E$6:$E$13,$D1446)&gt;0,"Entrada",IF(COUNTIF('Config'!$G$6:$G$21,$D1446)&gt;0,"Saída","Verificar")))</f>
        <v/>
      </c>
    </row>
    <row r="1447" spans="7:7" ht="16.5" customHeight="1">
      <c r="G1447" s="47">
        <f>IF($D1447="","",IF(COUNTIF('Config'!$E$6:$E$13,$D1447)&gt;0,"Entrada",IF(COUNTIF('Config'!$G$6:$G$21,$D1447)&gt;0,"Saída","Verificar")))</f>
        <v/>
      </c>
    </row>
    <row r="1448" spans="7:7" ht="16.5" customHeight="1">
      <c r="G1448" s="47">
        <f>IF($D1448="","",IF(COUNTIF('Config'!$E$6:$E$13,$D1448)&gt;0,"Entrada",IF(COUNTIF('Config'!$G$6:$G$21,$D1448)&gt;0,"Saída","Verificar")))</f>
        <v/>
      </c>
    </row>
    <row r="1449" spans="7:7" ht="16.5" customHeight="1">
      <c r="G1449" s="47">
        <f>IF($D1449="","",IF(COUNTIF('Config'!$E$6:$E$13,$D1449)&gt;0,"Entrada",IF(COUNTIF('Config'!$G$6:$G$21,$D1449)&gt;0,"Saída","Verificar")))</f>
        <v/>
      </c>
    </row>
    <row r="1450" spans="7:7" ht="16.5" customHeight="1">
      <c r="G1450" s="47">
        <f>IF($D1450="","",IF(COUNTIF('Config'!$E$6:$E$13,$D1450)&gt;0,"Entrada",IF(COUNTIF('Config'!$G$6:$G$21,$D1450)&gt;0,"Saída","Verificar")))</f>
        <v/>
      </c>
    </row>
    <row r="1451" spans="7:7" ht="16.5" customHeight="1">
      <c r="G1451" s="47">
        <f>IF($D1451="","",IF(COUNTIF('Config'!$E$6:$E$13,$D1451)&gt;0,"Entrada",IF(COUNTIF('Config'!$G$6:$G$21,$D1451)&gt;0,"Saída","Verificar")))</f>
        <v/>
      </c>
    </row>
    <row r="1452" spans="7:7" ht="16.5" customHeight="1">
      <c r="G1452" s="47">
        <f>IF($D1452="","",IF(COUNTIF('Config'!$E$6:$E$13,$D1452)&gt;0,"Entrada",IF(COUNTIF('Config'!$G$6:$G$21,$D1452)&gt;0,"Saída","Verificar")))</f>
        <v/>
      </c>
    </row>
    <row r="1453" spans="7:7" ht="16.5" customHeight="1">
      <c r="G1453" s="47">
        <f>IF($D1453="","",IF(COUNTIF('Config'!$E$6:$E$13,$D1453)&gt;0,"Entrada",IF(COUNTIF('Config'!$G$6:$G$21,$D1453)&gt;0,"Saída","Verificar")))</f>
        <v/>
      </c>
    </row>
    <row r="1454" spans="7:7" ht="16.5" customHeight="1">
      <c r="G1454" s="47">
        <f>IF($D1454="","",IF(COUNTIF('Config'!$E$6:$E$13,$D1454)&gt;0,"Entrada",IF(COUNTIF('Config'!$G$6:$G$21,$D1454)&gt;0,"Saída","Verificar")))</f>
        <v/>
      </c>
    </row>
    <row r="1455" spans="7:7" ht="16.5" customHeight="1">
      <c r="G1455" s="47">
        <f>IF($D1455="","",IF(COUNTIF('Config'!$E$6:$E$13,$D1455)&gt;0,"Entrada",IF(COUNTIF('Config'!$G$6:$G$21,$D1455)&gt;0,"Saída","Verificar")))</f>
        <v/>
      </c>
    </row>
    <row r="1456" spans="7:7" ht="16.5" customHeight="1">
      <c r="G1456" s="47">
        <f>IF($D1456="","",IF(COUNTIF('Config'!$E$6:$E$13,$D1456)&gt;0,"Entrada",IF(COUNTIF('Config'!$G$6:$G$21,$D1456)&gt;0,"Saída","Verificar")))</f>
        <v/>
      </c>
    </row>
    <row r="1457" spans="7:7" ht="16.5" customHeight="1">
      <c r="G1457" s="47">
        <f>IF($D1457="","",IF(COUNTIF('Config'!$E$6:$E$13,$D1457)&gt;0,"Entrada",IF(COUNTIF('Config'!$G$6:$G$21,$D1457)&gt;0,"Saída","Verificar")))</f>
        <v/>
      </c>
    </row>
    <row r="1458" spans="7:7" ht="16.5" customHeight="1">
      <c r="G1458" s="47">
        <f>IF($D1458="","",IF(COUNTIF('Config'!$E$6:$E$13,$D1458)&gt;0,"Entrada",IF(COUNTIF('Config'!$G$6:$G$21,$D1458)&gt;0,"Saída","Verificar")))</f>
        <v/>
      </c>
    </row>
    <row r="1459" spans="7:7" ht="16.5" customHeight="1">
      <c r="G1459" s="47">
        <f>IF($D1459="","",IF(COUNTIF('Config'!$E$6:$E$13,$D1459)&gt;0,"Entrada",IF(COUNTIF('Config'!$G$6:$G$21,$D1459)&gt;0,"Saída","Verificar")))</f>
        <v/>
      </c>
    </row>
    <row r="1460" spans="7:7" ht="16.5" customHeight="1">
      <c r="G1460" s="47">
        <f>IF($D1460="","",IF(COUNTIF('Config'!$E$6:$E$13,$D1460)&gt;0,"Entrada",IF(COUNTIF('Config'!$G$6:$G$21,$D1460)&gt;0,"Saída","Verificar")))</f>
        <v/>
      </c>
    </row>
    <row r="1461" spans="7:7" ht="16.5" customHeight="1">
      <c r="G1461" s="47">
        <f>IF($D1461="","",IF(COUNTIF('Config'!$E$6:$E$13,$D1461)&gt;0,"Entrada",IF(COUNTIF('Config'!$G$6:$G$21,$D1461)&gt;0,"Saída","Verificar")))</f>
        <v/>
      </c>
    </row>
    <row r="1462" spans="7:7" ht="16.5" customHeight="1">
      <c r="G1462" s="47">
        <f>IF($D1462="","",IF(COUNTIF('Config'!$E$6:$E$13,$D1462)&gt;0,"Entrada",IF(COUNTIF('Config'!$G$6:$G$21,$D1462)&gt;0,"Saída","Verificar")))</f>
        <v/>
      </c>
    </row>
    <row r="1463" spans="7:7" ht="16.5" customHeight="1">
      <c r="G1463" s="47">
        <f>IF($D1463="","",IF(COUNTIF('Config'!$E$6:$E$13,$D1463)&gt;0,"Entrada",IF(COUNTIF('Config'!$G$6:$G$21,$D1463)&gt;0,"Saída","Verificar")))</f>
        <v/>
      </c>
    </row>
    <row r="1464" spans="7:7" ht="16.5" customHeight="1">
      <c r="G1464" s="47">
        <f>IF($D1464="","",IF(COUNTIF('Config'!$E$6:$E$13,$D1464)&gt;0,"Entrada",IF(COUNTIF('Config'!$G$6:$G$21,$D1464)&gt;0,"Saída","Verificar")))</f>
        <v/>
      </c>
    </row>
    <row r="1465" spans="7:7" ht="16.5" customHeight="1">
      <c r="G1465" s="47">
        <f>IF($D1465="","",IF(COUNTIF('Config'!$E$6:$E$13,$D1465)&gt;0,"Entrada",IF(COUNTIF('Config'!$G$6:$G$21,$D1465)&gt;0,"Saída","Verificar")))</f>
        <v/>
      </c>
    </row>
    <row r="1466" spans="7:7" ht="16.5" customHeight="1">
      <c r="G1466" s="47">
        <f>IF($D1466="","",IF(COUNTIF('Config'!$E$6:$E$13,$D1466)&gt;0,"Entrada",IF(COUNTIF('Config'!$G$6:$G$21,$D1466)&gt;0,"Saída","Verificar")))</f>
        <v/>
      </c>
    </row>
    <row r="1467" spans="7:7" ht="16.5" customHeight="1">
      <c r="G1467" s="47">
        <f>IF($D1467="","",IF(COUNTIF('Config'!$E$6:$E$13,$D1467)&gt;0,"Entrada",IF(COUNTIF('Config'!$G$6:$G$21,$D1467)&gt;0,"Saída","Verificar")))</f>
        <v/>
      </c>
    </row>
    <row r="1468" spans="7:7" ht="16.5" customHeight="1">
      <c r="G1468" s="47">
        <f>IF($D1468="","",IF(COUNTIF('Config'!$E$6:$E$13,$D1468)&gt;0,"Entrada",IF(COUNTIF('Config'!$G$6:$G$21,$D1468)&gt;0,"Saída","Verificar")))</f>
        <v/>
      </c>
    </row>
    <row r="1469" spans="7:7" ht="16.5" customHeight="1">
      <c r="G1469" s="47">
        <f>IF($D1469="","",IF(COUNTIF('Config'!$E$6:$E$13,$D1469)&gt;0,"Entrada",IF(COUNTIF('Config'!$G$6:$G$21,$D1469)&gt;0,"Saída","Verificar")))</f>
        <v/>
      </c>
    </row>
    <row r="1470" spans="7:7" ht="16.5" customHeight="1">
      <c r="G1470" s="47">
        <f>IF($D1470="","",IF(COUNTIF('Config'!$E$6:$E$13,$D1470)&gt;0,"Entrada",IF(COUNTIF('Config'!$G$6:$G$21,$D1470)&gt;0,"Saída","Verificar")))</f>
        <v/>
      </c>
    </row>
    <row r="1471" spans="7:7" ht="16.5" customHeight="1">
      <c r="G1471" s="47">
        <f>IF($D1471="","",IF(COUNTIF('Config'!$E$6:$E$13,$D1471)&gt;0,"Entrada",IF(COUNTIF('Config'!$G$6:$G$21,$D1471)&gt;0,"Saída","Verificar")))</f>
        <v/>
      </c>
    </row>
    <row r="1472" spans="7:7" ht="16.5" customHeight="1">
      <c r="G1472" s="47">
        <f>IF($D1472="","",IF(COUNTIF('Config'!$E$6:$E$13,$D1472)&gt;0,"Entrada",IF(COUNTIF('Config'!$G$6:$G$21,$D1472)&gt;0,"Saída","Verificar")))</f>
        <v/>
      </c>
    </row>
    <row r="1473" spans="7:7" ht="16.5" customHeight="1">
      <c r="G1473" s="47">
        <f>IF($D1473="","",IF(COUNTIF('Config'!$E$6:$E$13,$D1473)&gt;0,"Entrada",IF(COUNTIF('Config'!$G$6:$G$21,$D1473)&gt;0,"Saída","Verificar")))</f>
        <v/>
      </c>
    </row>
    <row r="1474" spans="7:7" ht="16.5" customHeight="1">
      <c r="G1474" s="47">
        <f>IF($D1474="","",IF(COUNTIF('Config'!$E$6:$E$13,$D1474)&gt;0,"Entrada",IF(COUNTIF('Config'!$G$6:$G$21,$D1474)&gt;0,"Saída","Verificar")))</f>
        <v/>
      </c>
    </row>
    <row r="1475" spans="7:7" ht="16.5" customHeight="1">
      <c r="G1475" s="47">
        <f>IF($D1475="","",IF(COUNTIF('Config'!$E$6:$E$13,$D1475)&gt;0,"Entrada",IF(COUNTIF('Config'!$G$6:$G$21,$D1475)&gt;0,"Saída","Verificar")))</f>
        <v/>
      </c>
    </row>
    <row r="1476" spans="7:7" ht="16.5" customHeight="1">
      <c r="G1476" s="47">
        <f>IF($D1476="","",IF(COUNTIF('Config'!$E$6:$E$13,$D1476)&gt;0,"Entrada",IF(COUNTIF('Config'!$G$6:$G$21,$D1476)&gt;0,"Saída","Verificar")))</f>
        <v/>
      </c>
    </row>
    <row r="1477" spans="7:7" ht="16.5" customHeight="1">
      <c r="G1477" s="47">
        <f>IF($D1477="","",IF(COUNTIF('Config'!$E$6:$E$13,$D1477)&gt;0,"Entrada",IF(COUNTIF('Config'!$G$6:$G$21,$D1477)&gt;0,"Saída","Verificar")))</f>
        <v/>
      </c>
    </row>
    <row r="1478" spans="7:7" ht="16.5" customHeight="1">
      <c r="G1478" s="47">
        <f>IF($D1478="","",IF(COUNTIF('Config'!$E$6:$E$13,$D1478)&gt;0,"Entrada",IF(COUNTIF('Config'!$G$6:$G$21,$D1478)&gt;0,"Saída","Verificar")))</f>
        <v/>
      </c>
    </row>
    <row r="1479" spans="7:7" ht="16.5" customHeight="1">
      <c r="G1479" s="47">
        <f>IF($D1479="","",IF(COUNTIF('Config'!$E$6:$E$13,$D1479)&gt;0,"Entrada",IF(COUNTIF('Config'!$G$6:$G$21,$D1479)&gt;0,"Saída","Verificar")))</f>
        <v/>
      </c>
    </row>
    <row r="1480" spans="7:7" ht="16.5" customHeight="1">
      <c r="G1480" s="47">
        <f>IF($D1480="","",IF(COUNTIF('Config'!$E$6:$E$13,$D1480)&gt;0,"Entrada",IF(COUNTIF('Config'!$G$6:$G$21,$D1480)&gt;0,"Saída","Verificar")))</f>
        <v/>
      </c>
    </row>
    <row r="1481" spans="7:7" ht="16.5" customHeight="1">
      <c r="G1481" s="47">
        <f>IF($D1481="","",IF(COUNTIF('Config'!$E$6:$E$13,$D1481)&gt;0,"Entrada",IF(COUNTIF('Config'!$G$6:$G$21,$D1481)&gt;0,"Saída","Verificar")))</f>
        <v/>
      </c>
    </row>
    <row r="1482" spans="7:7" ht="16.5" customHeight="1">
      <c r="G1482" s="47">
        <f>IF($D1482="","",IF(COUNTIF('Config'!$E$6:$E$13,$D1482)&gt;0,"Entrada",IF(COUNTIF('Config'!$G$6:$G$21,$D1482)&gt;0,"Saída","Verificar")))</f>
        <v/>
      </c>
    </row>
    <row r="1483" spans="7:7" ht="16.5" customHeight="1">
      <c r="G1483" s="47">
        <f>IF($D1483="","",IF(COUNTIF('Config'!$E$6:$E$13,$D1483)&gt;0,"Entrada",IF(COUNTIF('Config'!$G$6:$G$21,$D1483)&gt;0,"Saída","Verificar")))</f>
        <v/>
      </c>
    </row>
    <row r="1484" spans="7:7" ht="16.5" customHeight="1">
      <c r="G1484" s="47">
        <f>IF($D1484="","",IF(COUNTIF('Config'!$E$6:$E$13,$D1484)&gt;0,"Entrada",IF(COUNTIF('Config'!$G$6:$G$21,$D1484)&gt;0,"Saída","Verificar")))</f>
        <v/>
      </c>
    </row>
    <row r="1485" spans="7:7" ht="16.5" customHeight="1">
      <c r="G1485" s="47">
        <f>IF($D1485="","",IF(COUNTIF('Config'!$E$6:$E$13,$D1485)&gt;0,"Entrada",IF(COUNTIF('Config'!$G$6:$G$21,$D1485)&gt;0,"Saída","Verificar")))</f>
        <v/>
      </c>
    </row>
    <row r="1486" spans="7:7" ht="16.5" customHeight="1">
      <c r="G1486" s="47">
        <f>IF($D1486="","",IF(COUNTIF('Config'!$E$6:$E$13,$D1486)&gt;0,"Entrada",IF(COUNTIF('Config'!$G$6:$G$21,$D1486)&gt;0,"Saída","Verificar")))</f>
        <v/>
      </c>
    </row>
    <row r="1487" spans="7:7" ht="16.5" customHeight="1">
      <c r="G1487" s="47">
        <f>IF($D1487="","",IF(COUNTIF('Config'!$E$6:$E$13,$D1487)&gt;0,"Entrada",IF(COUNTIF('Config'!$G$6:$G$21,$D1487)&gt;0,"Saída","Verificar")))</f>
        <v/>
      </c>
    </row>
    <row r="1488" spans="7:7" ht="16.5" customHeight="1">
      <c r="G1488" s="47">
        <f>IF($D1488="","",IF(COUNTIF('Config'!$E$6:$E$13,$D1488)&gt;0,"Entrada",IF(COUNTIF('Config'!$G$6:$G$21,$D1488)&gt;0,"Saída","Verificar")))</f>
        <v/>
      </c>
    </row>
    <row r="1489" spans="7:7" ht="16.5" customHeight="1">
      <c r="G1489" s="47">
        <f>IF($D1489="","",IF(COUNTIF('Config'!$E$6:$E$13,$D1489)&gt;0,"Entrada",IF(COUNTIF('Config'!$G$6:$G$21,$D1489)&gt;0,"Saída","Verificar")))</f>
        <v/>
      </c>
    </row>
    <row r="1490" spans="7:7" ht="16.5" customHeight="1">
      <c r="G1490" s="47">
        <f>IF($D1490="","",IF(COUNTIF('Config'!$E$6:$E$13,$D1490)&gt;0,"Entrada",IF(COUNTIF('Config'!$G$6:$G$21,$D1490)&gt;0,"Saída","Verificar")))</f>
        <v/>
      </c>
    </row>
    <row r="1491" spans="7:7" ht="16.5" customHeight="1">
      <c r="G1491" s="47">
        <f>IF($D1491="","",IF(COUNTIF('Config'!$E$6:$E$13,$D1491)&gt;0,"Entrada",IF(COUNTIF('Config'!$G$6:$G$21,$D1491)&gt;0,"Saída","Verificar")))</f>
        <v/>
      </c>
    </row>
    <row r="1492" spans="7:7" ht="16.5" customHeight="1">
      <c r="G1492" s="47">
        <f>IF($D1492="","",IF(COUNTIF('Config'!$E$6:$E$13,$D1492)&gt;0,"Entrada",IF(COUNTIF('Config'!$G$6:$G$21,$D1492)&gt;0,"Saída","Verificar")))</f>
        <v/>
      </c>
    </row>
    <row r="1493" spans="7:7" ht="16.5" customHeight="1">
      <c r="G1493" s="47">
        <f>IF($D1493="","",IF(COUNTIF('Config'!$E$6:$E$13,$D1493)&gt;0,"Entrada",IF(COUNTIF('Config'!$G$6:$G$21,$D1493)&gt;0,"Saída","Verificar")))</f>
        <v/>
      </c>
    </row>
    <row r="1494" spans="7:7" ht="16.5" customHeight="1">
      <c r="G1494" s="47">
        <f>IF($D1494="","",IF(COUNTIF('Config'!$E$6:$E$13,$D1494)&gt;0,"Entrada",IF(COUNTIF('Config'!$G$6:$G$21,$D1494)&gt;0,"Saída","Verificar")))</f>
        <v/>
      </c>
    </row>
    <row r="1495" spans="7:7" ht="16.5" customHeight="1">
      <c r="G1495" s="47">
        <f>IF($D1495="","",IF(COUNTIF('Config'!$E$6:$E$13,$D1495)&gt;0,"Entrada",IF(COUNTIF('Config'!$G$6:$G$21,$D1495)&gt;0,"Saída","Verificar")))</f>
        <v/>
      </c>
    </row>
    <row r="1496" spans="7:7" ht="16.5" customHeight="1">
      <c r="G1496" s="47">
        <f>IF($D1496="","",IF(COUNTIF('Config'!$E$6:$E$13,$D1496)&gt;0,"Entrada",IF(COUNTIF('Config'!$G$6:$G$21,$D1496)&gt;0,"Saída","Verificar")))</f>
        <v/>
      </c>
    </row>
    <row r="1497" spans="7:7" ht="16.5" customHeight="1">
      <c r="G1497" s="47">
        <f>IF($D1497="","",IF(COUNTIF('Config'!$E$6:$E$13,$D1497)&gt;0,"Entrada",IF(COUNTIF('Config'!$G$6:$G$21,$D1497)&gt;0,"Saída","Verificar")))</f>
        <v/>
      </c>
    </row>
    <row r="1498" spans="7:7" ht="16.5" customHeight="1">
      <c r="G1498" s="47">
        <f>IF($D1498="","",IF(COUNTIF('Config'!$E$6:$E$13,$D1498)&gt;0,"Entrada",IF(COUNTIF('Config'!$G$6:$G$21,$D1498)&gt;0,"Saída","Verificar")))</f>
        <v/>
      </c>
    </row>
    <row r="1499" spans="7:7" ht="16.5" customHeight="1">
      <c r="G1499" s="47">
        <f>IF($D1499="","",IF(COUNTIF('Config'!$E$6:$E$13,$D1499)&gt;0,"Entrada",IF(COUNTIF('Config'!$G$6:$G$21,$D1499)&gt;0,"Saída","Verificar")))</f>
        <v/>
      </c>
    </row>
    <row r="1500" spans="7:7" ht="16.5" customHeight="1">
      <c r="G1500" s="47">
        <f>IF($D1500="","",IF(COUNTIF('Config'!$E$6:$E$13,$D1500)&gt;0,"Entrada",IF(COUNTIF('Config'!$G$6:$G$21,$D1500)&gt;0,"Saída","Verificar")))</f>
        <v/>
      </c>
    </row>
    <row r="1501" spans="7:7" ht="16.5" customHeight="1">
      <c r="G1501" s="47">
        <f>IF($D1501="","",IF(COUNTIF('Config'!$E$6:$E$13,$D1501)&gt;0,"Entrada",IF(COUNTIF('Config'!$G$6:$G$21,$D1501)&gt;0,"Saída","Verificar")))</f>
        <v/>
      </c>
    </row>
    <row r="1502" spans="7:7" ht="16.5" customHeight="1">
      <c r="G1502" s="47">
        <f>IF($D1502="","",IF(COUNTIF('Config'!$E$6:$E$13,$D1502)&gt;0,"Entrada",IF(COUNTIF('Config'!$G$6:$G$21,$D1502)&gt;0,"Saída","Verificar")))</f>
        <v/>
      </c>
    </row>
    <row r="1503" spans="7:7" ht="16.5" customHeight="1">
      <c r="G1503" s="47">
        <f>IF($D1503="","",IF(COUNTIF('Config'!$E$6:$E$13,$D1503)&gt;0,"Entrada",IF(COUNTIF('Config'!$G$6:$G$21,$D1503)&gt;0,"Saída","Verificar")))</f>
        <v/>
      </c>
    </row>
    <row r="1504" spans="7:7" ht="16.5" customHeight="1">
      <c r="G1504" s="47">
        <f>IF($D1504="","",IF(COUNTIF('Config'!$E$6:$E$13,$D1504)&gt;0,"Entrada",IF(COUNTIF('Config'!$G$6:$G$21,$D1504)&gt;0,"Saída","Verificar")))</f>
        <v/>
      </c>
    </row>
    <row r="1505" spans="7:7" ht="16.5" customHeight="1">
      <c r="G1505" s="47">
        <f>IF($D1505="","",IF(COUNTIF('Config'!$E$6:$E$13,$D1505)&gt;0,"Entrada",IF(COUNTIF('Config'!$G$6:$G$21,$D1505)&gt;0,"Saída","Verificar")))</f>
        <v/>
      </c>
    </row>
    <row r="1506" spans="7:7" ht="16.5" customHeight="1">
      <c r="G1506" s="47">
        <f>IF($D1506="","",IF(COUNTIF('Config'!$E$6:$E$13,$D1506)&gt;0,"Entrada",IF(COUNTIF('Config'!$G$6:$G$21,$D1506)&gt;0,"Saída","Verificar")))</f>
        <v/>
      </c>
    </row>
    <row r="1507" spans="7:7" ht="16.5" customHeight="1">
      <c r="G1507" s="47">
        <f>IF($D1507="","",IF(COUNTIF('Config'!$E$6:$E$13,$D1507)&gt;0,"Entrada",IF(COUNTIF('Config'!$G$6:$G$21,$D1507)&gt;0,"Saída","Verificar")))</f>
        <v/>
      </c>
    </row>
    <row r="1508" spans="7:7" ht="16.5" customHeight="1">
      <c r="G1508" s="47">
        <f>IF($D1508="","",IF(COUNTIF('Config'!$E$6:$E$13,$D1508)&gt;0,"Entrada",IF(COUNTIF('Config'!$G$6:$G$21,$D1508)&gt;0,"Saída","Verificar")))</f>
        <v/>
      </c>
    </row>
  </sheetData>
  <autoFilter ref="B8:I1508"/>
  <mergeCells count="9">
    <mergeCell ref="F1:G1"/>
    <mergeCell ref="B3:I3"/>
    <mergeCell ref="B4:I4"/>
    <mergeCell ref="B5:C5"/>
    <mergeCell ref="B6:C6"/>
    <mergeCell ref="E5:F5"/>
    <mergeCell ref="E6:F6"/>
    <mergeCell ref="G5:I5"/>
    <mergeCell ref="G6:I6"/>
  </mergeCells>
  <conditionalFormatting sqref="B9:I1508">
    <cfRule type="expression" dxfId="7" priority="8">
      <formula>MOD(ROW(),2)=0</formula>
    </cfRule>
    <cfRule type="expression" dxfId="8" priority="9">
      <formula>MOD(ROW(),2)=1</formula>
    </cfRule>
  </conditionalFormatting>
  <conditionalFormatting sqref="E6:F6">
    <cfRule type="cellIs" dxfId="0" priority="1" operator="lessThan">
      <formula>0</formula>
    </cfRule>
  </conditionalFormatting>
  <conditionalFormatting sqref="F9:F1508">
    <cfRule type="expression" dxfId="2" priority="3">
      <formula>$G9="Entrada"</formula>
    </cfRule>
    <cfRule type="expression" dxfId="3" priority="4">
      <formula>$G9="Saída"</formula>
    </cfRule>
  </conditionalFormatting>
  <conditionalFormatting sqref="G6:I6">
    <cfRule type="beginsWith" dxfId="1" priority="2" operator="beginsWith" text="⚠">
      <formula>LEFT(G6,1)="⚠"</formula>
    </cfRule>
  </conditionalFormatting>
  <conditionalFormatting sqref="G9:G1508">
    <cfRule type="cellIs" dxfId="4" priority="5" operator="equal">
      <formula>"Entrada"</formula>
    </cfRule>
    <cfRule type="cellIs" dxfId="5" priority="6" operator="equal">
      <formula>"Saída"</formula>
    </cfRule>
    <cfRule type="cellIs" dxfId="6" priority="7" operator="equal">
      <formula>"Verificar"</formula>
    </cfRule>
  </conditionalFormatting>
  <dataValidations count="5">
    <dataValidation type="date" allowBlank="1" showInputMessage="1" showErrorMessage="1" errorTitle="Data inválida" error="Use uma data válida, ex.: 05/03/2026." promptTitle="Data" prompt="Digite no formato dd/mm/aaaa." sqref="B9:B1508">
      <formula1>36526</formula1>
      <formula2>73415</formula2>
    </dataValidation>
    <dataValidation type="list" allowBlank="1" showInputMessage="1" showErrorMessage="1" errorTitle="Categoria inválida" error="Escolha uma categoria da lista." promptTitle="Categoria" prompt="Escolha no menu suspenso (edite a lista na aba Config)." sqref="D9:D1508">
      <formula1>'Dados'!$Q$6:$Q$29</formula1>
    </dataValidation>
    <dataValidation type="list" allowBlank="1" showInputMessage="1" showErrorMessage="1" errorTitle="Forma inválida" error="Escolha uma forma da lista." sqref="E9:E1508">
      <formula1>'Config'!$I$6:$I$13</formula1>
    </dataValidation>
    <dataValidation type="decimal" operator="greaterThan" allowBlank="1" showInputMessage="1" showErrorMessage="1" errorTitle="Valor inválido" error="Digite um número maior que zero." promptTitle="Valor" prompt="Sempre positivo. Entrada/Saída é definido pela categoria." sqref="F9:F1508">
      <formula1>0</formula1>
    </dataValidation>
    <dataValidation type="list" allowBlank="1" showInputMessage="1" showErrorMessage="1" errorTitle="Valor inválido" error="Escolha um item da lista." sqref="H9:H1508">
      <formula1>'Metas'!$B$6:$B$13</formula1>
    </dataValidation>
  </dataValidations>
  <hyperlinks>
    <hyperlink ref="B1" location="'Início'!A1" display="🏠 Início"/>
    <hyperlink ref="C1" location="'Painel'!A1" display="📊 Painel"/>
    <hyperlink ref="D1" location="'Lançamentos'!A1" display="📝 Lançamentos"/>
    <hyperlink ref="E1" location="'Orçamento'!A1" display="💳 Orçamento"/>
    <hyperlink ref="F1" location="'Resumo Anual'!A1" display="📅 Resumo Anual"/>
    <hyperlink ref="H1" location="'Metas'!A1" display="🎯 Metas"/>
    <hyperlink ref="I1" location="'Config'!A1" display="⚙ Config"/>
  </hyperlinks>
  <pageMargins left="0.4" right="0.4" top="0.5" bottom="0.5" header="0.3" footer="0.3"/>
  <pageSetup paperSize="9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H27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6.5" customHeight="1"/>
  <cols>
    <col min="1" max="1" width="2.7109375" customWidth="1"/>
    <col min="2" max="2" width="30.7109375" customWidth="1"/>
    <col min="3" max="5" width="17.7109375" customWidth="1"/>
    <col min="6" max="6" width="11.7109375" customWidth="1"/>
    <col min="7" max="7" width="26.7109375" customWidth="1"/>
    <col min="8" max="8" width="16.7109375" customWidth="1"/>
  </cols>
  <sheetData>
    <row r="1" spans="2:8" ht="22" customHeight="1">
      <c r="B1" s="3" t="s">
        <v>0</v>
      </c>
      <c r="C1" s="3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</row>
    <row r="2" spans="2:8" ht="6" customHeight="1"/>
    <row r="3" spans="2:8" ht="38" customHeight="1">
      <c r="B3" s="4" t="s">
        <v>127</v>
      </c>
      <c r="C3" s="4"/>
      <c r="D3" s="4"/>
      <c r="E3" s="4"/>
      <c r="F3" s="4"/>
      <c r="G3" s="4"/>
      <c r="H3" s="4"/>
    </row>
    <row r="4" spans="2:8" ht="20" customHeight="1">
      <c r="B4" s="48" t="s">
        <v>128</v>
      </c>
      <c r="C4" s="48"/>
      <c r="D4" s="48"/>
      <c r="E4" s="48"/>
      <c r="F4" s="48"/>
      <c r="G4" s="48"/>
      <c r="H4" s="48"/>
    </row>
    <row r="5" spans="2:8" ht="26" customHeight="1">
      <c r="B5" s="55" t="s">
        <v>129</v>
      </c>
      <c r="C5" s="56" t="str">
        <f>INDEX('Config'!$K$6:$K$17,MAX(1,'Dados'!$C$8))</f>
        <v>Outubro</v>
      </c>
      <c r="D5" s="57" t="s">
        <v>130</v>
      </c>
      <c r="E5" s="57"/>
      <c r="F5" s="57"/>
      <c r="G5" s="57"/>
      <c r="H5" s="57"/>
    </row>
    <row r="7" spans="2:8" ht="28" customHeight="1">
      <c r="B7" s="58" t="s">
        <v>95</v>
      </c>
      <c r="C7" s="54" t="s">
        <v>131</v>
      </c>
      <c r="D7" s="54" t="s">
        <v>96</v>
      </c>
      <c r="E7" s="54" t="s">
        <v>132</v>
      </c>
      <c r="F7" s="54" t="s">
        <v>133</v>
      </c>
      <c r="G7" s="54" t="s">
        <v>134</v>
      </c>
      <c r="H7" s="54" t="s">
        <v>135</v>
      </c>
    </row>
    <row r="8" spans="2:8" ht="16.5" customHeight="1">
      <c r="B8" s="59" t="s">
        <v>136</v>
      </c>
      <c r="C8" s="60">
        <v>0</v>
      </c>
      <c r="D8" s="61">
        <f>INDEX('Resumo Anual'!$C$16:$N$16,'Dados'!$C$7)</f>
        <v>0</v>
      </c>
      <c r="E8" s="61">
        <f>D8-C8</f>
        <v>0</v>
      </c>
      <c r="F8" s="62">
        <f>IF(C8&gt;0,D8/C8,"")</f>
        <v/>
      </c>
      <c r="G8" s="63">
        <f>IF(F8="","",REPT("█",MIN(22,ROUND(F8*20,0))))</f>
        <v/>
      </c>
      <c r="H8" s="64" t="str">
        <f>IF(C8=0,"—",IF(D8&gt;=C8,"✓ Meta batida",IF(D8&gt;=C8*0.8,"⚠ Quase lá","✖ Abaixo")))</f>
        <v>—</v>
      </c>
    </row>
    <row r="9" spans="2:8" ht="16.5" customHeight="1">
      <c r="B9" s="36" t="s">
        <v>137</v>
      </c>
      <c r="C9" s="36"/>
      <c r="D9" s="36"/>
      <c r="E9" s="36"/>
      <c r="F9" s="36"/>
      <c r="G9" s="36"/>
      <c r="H9" s="36"/>
    </row>
    <row r="10" spans="2:8" ht="16.5" customHeight="1">
      <c r="B10" s="65" t="str">
        <f>IF('Config'!$G$6="","",'Config'!$G$6)</f>
        <v>Moradia</v>
      </c>
      <c r="C10" s="60">
        <v>0</v>
      </c>
      <c r="D10" s="61">
        <f>IF(B10="",0,INDEX('Resumo Anual'!$C$18:$N$18,'Dados'!$C$7))</f>
        <v>0</v>
      </c>
      <c r="E10" s="61">
        <f>C10-D10</f>
        <v>0</v>
      </c>
      <c r="F10" s="62">
        <f>IF(C10&gt;0,D10/C10,"")</f>
        <v/>
      </c>
      <c r="G10" s="63">
        <f>IF(F10="","",REPT("█",MIN(22,ROUND(F10*20,0))))</f>
        <v/>
      </c>
      <c r="H10" s="64" t="str">
        <f>IF(C10=0,IF(D10&gt;0,"Sem orçamento","—"),IF(D10&gt;C10,"✖ Estourou",IF(D10&gt;=C10*0.8,"⚠ Atenção","✓ OK")))</f>
        <v>—</v>
      </c>
    </row>
    <row r="11" spans="2:8" ht="16.5" customHeight="1">
      <c r="B11" s="65" t="str">
        <f>IF('Config'!$G$7="","",'Config'!$G$7)</f>
        <v>Contas da casa</v>
      </c>
      <c r="C11" s="60">
        <v>0</v>
      </c>
      <c r="D11" s="61">
        <f>IF(B11="",0,INDEX('Resumo Anual'!$C$19:$N$19,'Dados'!$C$7))</f>
        <v>0</v>
      </c>
      <c r="E11" s="61">
        <f>C11-D11</f>
        <v>0</v>
      </c>
      <c r="F11" s="62">
        <f>IF(C11&gt;0,D11/C11,"")</f>
        <v/>
      </c>
      <c r="G11" s="63">
        <f>IF(F11="","",REPT("█",MIN(22,ROUND(F11*20,0))))</f>
        <v/>
      </c>
      <c r="H11" s="64" t="str">
        <f>IF(C11=0,IF(D11&gt;0,"Sem orçamento","—"),IF(D11&gt;C11,"✖ Estourou",IF(D11&gt;=C11*0.8,"⚠ Atenção","✓ OK")))</f>
        <v>—</v>
      </c>
    </row>
    <row r="12" spans="2:8" ht="16.5" customHeight="1">
      <c r="B12" s="65" t="str">
        <f>IF('Config'!$G$8="","",'Config'!$G$8)</f>
        <v>Alimentação</v>
      </c>
      <c r="C12" s="60">
        <v>0</v>
      </c>
      <c r="D12" s="61">
        <f>IF(B12="",0,INDEX('Resumo Anual'!$C$20:$N$20,'Dados'!$C$7))</f>
        <v>0</v>
      </c>
      <c r="E12" s="61">
        <f>C12-D12</f>
        <v>0</v>
      </c>
      <c r="F12" s="62">
        <f>IF(C12&gt;0,D12/C12,"")</f>
        <v/>
      </c>
      <c r="G12" s="63">
        <f>IF(F12="","",REPT("█",MIN(22,ROUND(F12*20,0))))</f>
        <v/>
      </c>
      <c r="H12" s="64" t="str">
        <f>IF(C12=0,IF(D12&gt;0,"Sem orçamento","—"),IF(D12&gt;C12,"✖ Estourou",IF(D12&gt;=C12*0.8,"⚠ Atenção","✓ OK")))</f>
        <v>—</v>
      </c>
    </row>
    <row r="13" spans="2:8" ht="16.5" customHeight="1">
      <c r="B13" s="65" t="str">
        <f>IF('Config'!$G$9="","",'Config'!$G$9)</f>
        <v>Transporte</v>
      </c>
      <c r="C13" s="60">
        <v>0</v>
      </c>
      <c r="D13" s="61">
        <f>IF(B13="",0,INDEX('Resumo Anual'!$C$21:$N$21,'Dados'!$C$7))</f>
        <v>0</v>
      </c>
      <c r="E13" s="61">
        <f>C13-D13</f>
        <v>0</v>
      </c>
      <c r="F13" s="62">
        <f>IF(C13&gt;0,D13/C13,"")</f>
        <v/>
      </c>
      <c r="G13" s="63">
        <f>IF(F13="","",REPT("█",MIN(22,ROUND(F13*20,0))))</f>
        <v/>
      </c>
      <c r="H13" s="64" t="str">
        <f>IF(C13=0,IF(D13&gt;0,"Sem orçamento","—"),IF(D13&gt;C13,"✖ Estourou",IF(D13&gt;=C13*0.8,"⚠ Atenção","✓ OK")))</f>
        <v>—</v>
      </c>
    </row>
    <row r="14" spans="2:8" ht="16.5" customHeight="1">
      <c r="B14" s="65" t="str">
        <f>IF('Config'!$G$10="","",'Config'!$G$10)</f>
        <v>Saúde</v>
      </c>
      <c r="C14" s="60">
        <v>0</v>
      </c>
      <c r="D14" s="61">
        <f>IF(B14="",0,INDEX('Resumo Anual'!$C$22:$N$22,'Dados'!$C$7))</f>
        <v>0</v>
      </c>
      <c r="E14" s="61">
        <f>C14-D14</f>
        <v>0</v>
      </c>
      <c r="F14" s="62">
        <f>IF(C14&gt;0,D14/C14,"")</f>
        <v/>
      </c>
      <c r="G14" s="63">
        <f>IF(F14="","",REPT("█",MIN(22,ROUND(F14*20,0))))</f>
        <v/>
      </c>
      <c r="H14" s="64" t="str">
        <f>IF(C14=0,IF(D14&gt;0,"Sem orçamento","—"),IF(D14&gt;C14,"✖ Estourou",IF(D14&gt;=C14*0.8,"⚠ Atenção","✓ OK")))</f>
        <v>—</v>
      </c>
    </row>
    <row r="15" spans="2:8" ht="16.5" customHeight="1">
      <c r="B15" s="65" t="str">
        <f>IF('Config'!$G$11="","",'Config'!$G$11)</f>
        <v>Educação</v>
      </c>
      <c r="C15" s="60">
        <v>0</v>
      </c>
      <c r="D15" s="61">
        <f>IF(B15="",0,INDEX('Resumo Anual'!$C$23:$N$23,'Dados'!$C$7))</f>
        <v>0</v>
      </c>
      <c r="E15" s="61">
        <f>C15-D15</f>
        <v>0</v>
      </c>
      <c r="F15" s="62">
        <f>IF(C15&gt;0,D15/C15,"")</f>
        <v/>
      </c>
      <c r="G15" s="63">
        <f>IF(F15="","",REPT("█",MIN(22,ROUND(F15*20,0))))</f>
        <v/>
      </c>
      <c r="H15" s="64" t="str">
        <f>IF(C15=0,IF(D15&gt;0,"Sem orçamento","—"),IF(D15&gt;C15,"✖ Estourou",IF(D15&gt;=C15*0.8,"⚠ Atenção","✓ OK")))</f>
        <v>—</v>
      </c>
    </row>
    <row r="16" spans="2:8" ht="16.5" customHeight="1">
      <c r="B16" s="65" t="str">
        <f>IF('Config'!$G$12="","",'Config'!$G$12)</f>
        <v>Lazer</v>
      </c>
      <c r="C16" s="60">
        <v>0</v>
      </c>
      <c r="D16" s="61">
        <f>IF(B16="",0,INDEX('Resumo Anual'!$C$24:$N$24,'Dados'!$C$7))</f>
        <v>0</v>
      </c>
      <c r="E16" s="61">
        <f>C16-D16</f>
        <v>0</v>
      </c>
      <c r="F16" s="62">
        <f>IF(C16&gt;0,D16/C16,"")</f>
        <v/>
      </c>
      <c r="G16" s="63">
        <f>IF(F16="","",REPT("█",MIN(22,ROUND(F16*20,0))))</f>
        <v/>
      </c>
      <c r="H16" s="64" t="str">
        <f>IF(C16=0,IF(D16&gt;0,"Sem orçamento","—"),IF(D16&gt;C16,"✖ Estourou",IF(D16&gt;=C16*0.8,"⚠ Atenção","✓ OK")))</f>
        <v>—</v>
      </c>
    </row>
    <row r="17" spans="2:8" ht="16.5" customHeight="1">
      <c r="B17" s="65" t="str">
        <f>IF('Config'!$G$13="","",'Config'!$G$13)</f>
        <v>Vestuário</v>
      </c>
      <c r="C17" s="60">
        <v>0</v>
      </c>
      <c r="D17" s="61">
        <f>IF(B17="",0,INDEX('Resumo Anual'!$C$25:$N$25,'Dados'!$C$7))</f>
        <v>0</v>
      </c>
      <c r="E17" s="61">
        <f>C17-D17</f>
        <v>0</v>
      </c>
      <c r="F17" s="62">
        <f>IF(C17&gt;0,D17/C17,"")</f>
        <v/>
      </c>
      <c r="G17" s="63">
        <f>IF(F17="","",REPT("█",MIN(22,ROUND(F17*20,0))))</f>
        <v/>
      </c>
      <c r="H17" s="64" t="str">
        <f>IF(C17=0,IF(D17&gt;0,"Sem orçamento","—"),IF(D17&gt;C17,"✖ Estourou",IF(D17&gt;=C17*0.8,"⚠ Atenção","✓ OK")))</f>
        <v>—</v>
      </c>
    </row>
    <row r="18" spans="2:8" ht="16.5" customHeight="1">
      <c r="B18" s="65" t="str">
        <f>IF('Config'!$G$14="","",'Config'!$G$14)</f>
        <v>Assinaturas</v>
      </c>
      <c r="C18" s="60">
        <v>0</v>
      </c>
      <c r="D18" s="61">
        <f>IF(B18="",0,INDEX('Resumo Anual'!$C$26:$N$26,'Dados'!$C$7))</f>
        <v>0</v>
      </c>
      <c r="E18" s="61">
        <f>C18-D18</f>
        <v>0</v>
      </c>
      <c r="F18" s="62">
        <f>IF(C18&gt;0,D18/C18,"")</f>
        <v/>
      </c>
      <c r="G18" s="63">
        <f>IF(F18="","",REPT("█",MIN(22,ROUND(F18*20,0))))</f>
        <v/>
      </c>
      <c r="H18" s="64" t="str">
        <f>IF(C18=0,IF(D18&gt;0,"Sem orçamento","—"),IF(D18&gt;C18,"✖ Estourou",IF(D18&gt;=C18*0.8,"⚠ Atenção","✓ OK")))</f>
        <v>—</v>
      </c>
    </row>
    <row r="19" spans="2:8" ht="16.5" customHeight="1">
      <c r="B19" s="65" t="str">
        <f>IF('Config'!$G$15="","",'Config'!$G$15)</f>
        <v>Cuidados pessoais</v>
      </c>
      <c r="C19" s="60">
        <v>0</v>
      </c>
      <c r="D19" s="61">
        <f>IF(B19="",0,INDEX('Resumo Anual'!$C$27:$N$27,'Dados'!$C$7))</f>
        <v>0</v>
      </c>
      <c r="E19" s="61">
        <f>C19-D19</f>
        <v>0</v>
      </c>
      <c r="F19" s="62">
        <f>IF(C19&gt;0,D19/C19,"")</f>
        <v/>
      </c>
      <c r="G19" s="63">
        <f>IF(F19="","",REPT("█",MIN(22,ROUND(F19*20,0))))</f>
        <v/>
      </c>
      <c r="H19" s="64" t="str">
        <f>IF(C19=0,IF(D19&gt;0,"Sem orçamento","—"),IF(D19&gt;C19,"✖ Estourou",IF(D19&gt;=C19*0.8,"⚠ Atenção","✓ OK")))</f>
        <v>—</v>
      </c>
    </row>
    <row r="20" spans="2:8" ht="16.5" customHeight="1">
      <c r="B20" s="65" t="str">
        <f>IF('Config'!$G$16="","",'Config'!$G$16)</f>
        <v>Pets</v>
      </c>
      <c r="C20" s="60">
        <v>0</v>
      </c>
      <c r="D20" s="61">
        <f>IF(B20="",0,INDEX('Resumo Anual'!$C$28:$N$28,'Dados'!$C$7))</f>
        <v>0</v>
      </c>
      <c r="E20" s="61">
        <f>C20-D20</f>
        <v>0</v>
      </c>
      <c r="F20" s="62">
        <f>IF(C20&gt;0,D20/C20,"")</f>
        <v/>
      </c>
      <c r="G20" s="63">
        <f>IF(F20="","",REPT("█",MIN(22,ROUND(F20*20,0))))</f>
        <v/>
      </c>
      <c r="H20" s="64" t="str">
        <f>IF(C20=0,IF(D20&gt;0,"Sem orçamento","—"),IF(D20&gt;C20,"✖ Estourou",IF(D20&gt;=C20*0.8,"⚠ Atenção","✓ OK")))</f>
        <v>—</v>
      </c>
    </row>
    <row r="21" spans="2:8" ht="16.5" customHeight="1">
      <c r="B21" s="65" t="str">
        <f>IF('Config'!$G$17="","",'Config'!$G$17)</f>
        <v>Presentes e doações</v>
      </c>
      <c r="C21" s="60">
        <v>0</v>
      </c>
      <c r="D21" s="61">
        <f>IF(B21="",0,INDEX('Resumo Anual'!$C$29:$N$29,'Dados'!$C$7))</f>
        <v>0</v>
      </c>
      <c r="E21" s="61">
        <f>C21-D21</f>
        <v>0</v>
      </c>
      <c r="F21" s="62">
        <f>IF(C21&gt;0,D21/C21,"")</f>
        <v/>
      </c>
      <c r="G21" s="63">
        <f>IF(F21="","",REPT("█",MIN(22,ROUND(F21*20,0))))</f>
        <v/>
      </c>
      <c r="H21" s="64" t="str">
        <f>IF(C21=0,IF(D21&gt;0,"Sem orçamento","—"),IF(D21&gt;C21,"✖ Estourou",IF(D21&gt;=C21*0.8,"⚠ Atenção","✓ OK")))</f>
        <v>—</v>
      </c>
    </row>
    <row r="22" spans="2:8" ht="16.5" customHeight="1">
      <c r="B22" s="65" t="str">
        <f>IF('Config'!$G$18="","",'Config'!$G$18)</f>
        <v>Dívidas e financiamentos</v>
      </c>
      <c r="C22" s="60">
        <v>0</v>
      </c>
      <c r="D22" s="61">
        <f>IF(B22="",0,INDEX('Resumo Anual'!$C$30:$N$30,'Dados'!$C$7))</f>
        <v>0</v>
      </c>
      <c r="E22" s="61">
        <f>C22-D22</f>
        <v>0</v>
      </c>
      <c r="F22" s="62">
        <f>IF(C22&gt;0,D22/C22,"")</f>
        <v/>
      </c>
      <c r="G22" s="63">
        <f>IF(F22="","",REPT("█",MIN(22,ROUND(F22*20,0))))</f>
        <v/>
      </c>
      <c r="H22" s="64" t="str">
        <f>IF(C22=0,IF(D22&gt;0,"Sem orçamento","—"),IF(D22&gt;C22,"✖ Estourou",IF(D22&gt;=C22*0.8,"⚠ Atenção","✓ OK")))</f>
        <v>—</v>
      </c>
    </row>
    <row r="23" spans="2:8" ht="16.5" customHeight="1">
      <c r="B23" s="65" t="str">
        <f>IF('Config'!$G$19="","",'Config'!$G$19)</f>
        <v>Reserva e Metas</v>
      </c>
      <c r="C23" s="60">
        <v>0</v>
      </c>
      <c r="D23" s="61">
        <f>IF(B23="",0,INDEX('Resumo Anual'!$C$31:$N$31,'Dados'!$C$7))</f>
        <v>0</v>
      </c>
      <c r="E23" s="61">
        <f>D23-C23</f>
        <v>0</v>
      </c>
      <c r="F23" s="62">
        <f>IF(C23&gt;0,D23/C23,"")</f>
        <v/>
      </c>
      <c r="G23" s="63">
        <f>IF(F23="","",REPT("█",MIN(22,ROUND(F23*20,0))))</f>
        <v/>
      </c>
      <c r="H23" s="64" t="str">
        <f>IF(C23=0,"—",IF(D23&gt;=C23,"✓ Meta batida",IF(D23&gt;=C23*0.8,"⚠ Quase lá","✖ Abaixo")))</f>
        <v>—</v>
      </c>
    </row>
    <row r="24" spans="2:8" ht="16.5" customHeight="1">
      <c r="B24" s="65" t="str">
        <f>IF('Config'!$G$20="","",'Config'!$G$20)</f>
        <v>Impostos pessoais</v>
      </c>
      <c r="C24" s="60">
        <v>0</v>
      </c>
      <c r="D24" s="61">
        <f>IF(B24="",0,INDEX('Resumo Anual'!$C$32:$N$32,'Dados'!$C$7))</f>
        <v>0</v>
      </c>
      <c r="E24" s="61">
        <f>C24-D24</f>
        <v>0</v>
      </c>
      <c r="F24" s="62">
        <f>IF(C24&gt;0,D24/C24,"")</f>
        <v/>
      </c>
      <c r="G24" s="63">
        <f>IF(F24="","",REPT("█",MIN(22,ROUND(F24*20,0))))</f>
        <v/>
      </c>
      <c r="H24" s="64" t="str">
        <f>IF(C24=0,IF(D24&gt;0,"Sem orçamento","—"),IF(D24&gt;C24,"✖ Estourou",IF(D24&gt;=C24*0.8,"⚠ Atenção","✓ OK")))</f>
        <v>—</v>
      </c>
    </row>
    <row r="25" spans="2:8" ht="16.5" customHeight="1">
      <c r="B25" s="65" t="str">
        <f>IF('Config'!$G$21="","",'Config'!$G$21)</f>
        <v>Outros</v>
      </c>
      <c r="C25" s="60">
        <v>0</v>
      </c>
      <c r="D25" s="61">
        <f>IF(B25="",0,INDEX('Resumo Anual'!$C$33:$N$33,'Dados'!$C$7))</f>
        <v>0</v>
      </c>
      <c r="E25" s="61">
        <f>C25-D25</f>
        <v>0</v>
      </c>
      <c r="F25" s="62">
        <f>IF(C25&gt;0,D25/C25,"")</f>
        <v/>
      </c>
      <c r="G25" s="63">
        <f>IF(F25="","",REPT("█",MIN(22,ROUND(F25*20,0))))</f>
        <v/>
      </c>
      <c r="H25" s="64" t="str">
        <f>IF(C25=0,IF(D25&gt;0,"Sem orçamento","—"),IF(D25&gt;C25,"✖ Estourou",IF(D25&gt;=C25*0.8,"⚠ Atenção","✓ OK")))</f>
        <v>—</v>
      </c>
    </row>
    <row r="26" spans="2:8" ht="16.5" customHeight="1">
      <c r="B26" s="66" t="s">
        <v>138</v>
      </c>
      <c r="C26" s="67">
        <f>SUM(C10:C25)</f>
        <v>0</v>
      </c>
      <c r="D26" s="67">
        <f>SUM(D10:D25)</f>
        <v>0</v>
      </c>
      <c r="E26" s="67">
        <f>C26-D26</f>
        <v>0</v>
      </c>
      <c r="F26" s="68">
        <f>IF(C26&gt;0,D26/C26,"")</f>
        <v/>
      </c>
      <c r="G26" s="69">
        <f>IF(F26="","",REPT("█",MIN(22,ROUND(F26*20,0))))</f>
        <v/>
      </c>
      <c r="H26" s="70" t="str">
        <f>IF(C26=0,"—",IF(D26&gt;C26,"✖ Estourou",IF(D26&gt;=C26*0.8,"⚠ Atenção","✓ OK")))</f>
        <v>—</v>
      </c>
    </row>
    <row r="27" spans="2:8" ht="16.5" customHeight="1">
      <c r="B27" s="71" t="s">
        <v>139</v>
      </c>
      <c r="C27" s="72">
        <f>C8-C26</f>
        <v>0</v>
      </c>
      <c r="D27" s="72">
        <f>D8-D26</f>
        <v>0</v>
      </c>
      <c r="E27" s="72">
        <f>D27-C27</f>
        <v>0</v>
      </c>
      <c r="F27" s="72"/>
      <c r="G27" s="72"/>
      <c r="H27" s="72"/>
    </row>
  </sheetData>
  <mergeCells count="4">
    <mergeCell ref="B3:H3"/>
    <mergeCell ref="B4:H4"/>
    <mergeCell ref="D5:H5"/>
    <mergeCell ref="B9:H9"/>
  </mergeCells>
  <conditionalFormatting sqref="C27:E27">
    <cfRule type="cellIs" dxfId="9" priority="6" operator="lessThan">
      <formula>0</formula>
    </cfRule>
    <cfRule type="cellIs" dxfId="10" priority="7" operator="greaterThan">
      <formula>0</formula>
    </cfRule>
  </conditionalFormatting>
  <conditionalFormatting sqref="E10:E26">
    <cfRule type="cellIs" dxfId="9" priority="4" operator="lessThan">
      <formula>0</formula>
    </cfRule>
    <cfRule type="cellIs" dxfId="10" priority="5" operator="greaterThan">
      <formula>0</formula>
    </cfRule>
  </conditionalFormatting>
  <conditionalFormatting sqref="E8">
    <cfRule type="cellIs" dxfId="9" priority="2" operator="lessThan">
      <formula>0</formula>
    </cfRule>
    <cfRule type="cellIs" dxfId="10" priority="3" operator="greaterThan">
      <formula>0</formula>
    </cfRule>
  </conditionalFormatting>
  <conditionalFormatting sqref="G10:G22">
    <cfRule type="expression" dxfId="0" priority="14">
      <formula>AND(ISNUMBER(F10),F10&gt;1)</formula>
    </cfRule>
    <cfRule type="expression" dxfId="12" priority="15">
      <formula>AND(ISNUMBER(F10),F10&gt;=0.8)</formula>
    </cfRule>
  </conditionalFormatting>
  <conditionalFormatting sqref="G23">
    <cfRule type="expression" dxfId="11" priority="1" stopIfTrue="1">
      <formula>TRUE</formula>
    </cfRule>
  </conditionalFormatting>
  <conditionalFormatting sqref="G24:G26">
    <cfRule type="expression" dxfId="0" priority="16">
      <formula>AND(ISNUMBER(F24),F24&gt;1)</formula>
    </cfRule>
    <cfRule type="expression" dxfId="12" priority="17">
      <formula>AND(ISNUMBER(F24),F24&gt;=0.8)</formula>
    </cfRule>
  </conditionalFormatting>
  <conditionalFormatting sqref="H8:H26">
    <cfRule type="containsText" dxfId="5" priority="8" operator="containsText" text="Estourou">
      <formula>NOT(ISERROR(SEARCH("Estourou",H8)))</formula>
    </cfRule>
    <cfRule type="containsText" dxfId="6" priority="9" operator="containsText" text="Atenção">
      <formula>NOT(ISERROR(SEARCH("Atenção",H8)))</formula>
    </cfRule>
    <cfRule type="containsText" dxfId="4" priority="10" operator="containsText" text="OK">
      <formula>NOT(ISERROR(SEARCH("OK",H8)))</formula>
    </cfRule>
    <cfRule type="containsText" dxfId="4" priority="11" operator="containsText" text="Meta batida">
      <formula>NOT(ISERROR(SEARCH("Meta batida",H8)))</formula>
    </cfRule>
    <cfRule type="containsText" dxfId="6" priority="12" operator="containsText" text="Quase lá">
      <formula>NOT(ISERROR(SEARCH("Quase lá",H8)))</formula>
    </cfRule>
    <cfRule type="containsText" dxfId="5" priority="13" operator="containsText" text="Abaixo">
      <formula>NOT(ISERROR(SEARCH("Abaixo",H8)))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C5">
      <formula1>'Config'!$K$6:$K$17</formula1>
    </dataValidation>
  </dataValidations>
  <hyperlinks>
    <hyperlink ref="B1" location="'Início'!A1" display="🏠 Início"/>
    <hyperlink ref="C1" location="'Painel'!A1" display="📊 Painel"/>
    <hyperlink ref="D1" location="'Lançamentos'!A1" display="📝 Lançamentos"/>
    <hyperlink ref="E1" location="'Orçamento'!A1" display="💳 Orçamento"/>
    <hyperlink ref="F1" location="'Resumo Anual'!A1" display="📅 Resumo Anual"/>
    <hyperlink ref="G1" location="'Metas'!A1" display="🎯 Metas"/>
    <hyperlink ref="H1" location="'Config'!A1" display="⚙ Config"/>
  </hyperlinks>
  <pageMargins left="0.4" right="0.4" top="0.5" bottom="0.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Q39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6.5" customHeight="1"/>
  <cols>
    <col min="1" max="1" width="2.7109375" customWidth="1"/>
    <col min="2" max="2" width="32.7109375" customWidth="1"/>
    <col min="3" max="14" width="12.28515625" customWidth="1"/>
    <col min="15" max="15" width="14.7109375" customWidth="1"/>
    <col min="16" max="16" width="13.7109375" customWidth="1"/>
    <col min="17" max="17" width="11.7109375" customWidth="1"/>
  </cols>
  <sheetData>
    <row r="1" spans="2:17" ht="22" customHeight="1">
      <c r="B1" s="3" t="s">
        <v>0</v>
      </c>
      <c r="C1" s="3" t="s">
        <v>1</v>
      </c>
      <c r="D1" s="3"/>
      <c r="E1" s="3" t="s">
        <v>2</v>
      </c>
      <c r="F1" s="3"/>
      <c r="G1" s="3"/>
      <c r="H1" s="3" t="s">
        <v>3</v>
      </c>
      <c r="I1" s="3"/>
      <c r="J1" s="3"/>
      <c r="K1" s="2" t="s">
        <v>4</v>
      </c>
      <c r="L1" s="2"/>
      <c r="M1" s="2"/>
      <c r="N1" s="3" t="s">
        <v>5</v>
      </c>
      <c r="O1" s="3"/>
      <c r="P1" s="3" t="s">
        <v>6</v>
      </c>
      <c r="Q1" s="3"/>
    </row>
    <row r="2" spans="2:17" ht="6" customHeight="1"/>
    <row r="3" spans="2:17" ht="38" customHeight="1">
      <c r="B3" s="4" t="s">
        <v>114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20" customHeight="1">
      <c r="B4" s="48" t="s">
        <v>115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5" spans="2:17" ht="16.5" hidden="1" customHeight="1">
      <c r="C5" s="73">
        <f>DATE('Config'!$C$6,1,1)</f>
        <v>46023.0</v>
      </c>
      <c r="D5" s="73">
        <f>DATE('Config'!$C$6,2,1)</f>
        <v>46054.0</v>
      </c>
      <c r="E5" s="73">
        <f>DATE('Config'!$C$6,3,1)</f>
        <v>46082.0</v>
      </c>
      <c r="F5" s="73">
        <f>DATE('Config'!$C$6,4,1)</f>
        <v>46113.0</v>
      </c>
      <c r="G5" s="73">
        <f>DATE('Config'!$C$6,5,1)</f>
        <v>46143.0</v>
      </c>
      <c r="H5" s="73">
        <f>DATE('Config'!$C$6,6,1)</f>
        <v>46174.0</v>
      </c>
      <c r="I5" s="73">
        <f>DATE('Config'!$C$6,7,1)</f>
        <v>46204.0</v>
      </c>
      <c r="J5" s="73">
        <f>DATE('Config'!$C$6,8,1)</f>
        <v>46235.0</v>
      </c>
      <c r="K5" s="73">
        <f>DATE('Config'!$C$6,9,1)</f>
        <v>46266.0</v>
      </c>
      <c r="L5" s="73">
        <f>DATE('Config'!$C$6,10,1)</f>
        <v>46296.0</v>
      </c>
      <c r="M5" s="73">
        <f>DATE('Config'!$C$6,11,1)</f>
        <v>46327.0</v>
      </c>
      <c r="N5" s="73">
        <f>DATE('Config'!$C$6,12,1)</f>
        <v>46357.0</v>
      </c>
    </row>
    <row r="6" spans="2:17" ht="24" customHeight="1">
      <c r="B6" s="58" t="s">
        <v>95</v>
      </c>
      <c r="C6" s="54" t="str">
        <f>INDEX('Config'!$L$6:$L$17,1)</f>
        <v>Jan</v>
      </c>
      <c r="D6" s="54" t="str">
        <f>INDEX('Config'!$L$6:$L$17,2)</f>
        <v>Fev</v>
      </c>
      <c r="E6" s="54" t="str">
        <f>INDEX('Config'!$L$6:$L$17,3)</f>
        <v>Mar</v>
      </c>
      <c r="F6" s="54" t="str">
        <f>INDEX('Config'!$L$6:$L$17,4)</f>
        <v>Abr</v>
      </c>
      <c r="G6" s="54" t="str">
        <f>INDEX('Config'!$L$6:$L$17,5)</f>
        <v>Mai</v>
      </c>
      <c r="H6" s="54" t="str">
        <f>INDEX('Config'!$L$6:$L$17,6)</f>
        <v>Jun</v>
      </c>
      <c r="I6" s="54" t="str">
        <f>INDEX('Config'!$L$6:$L$17,7)</f>
        <v>Jul</v>
      </c>
      <c r="J6" s="54" t="str">
        <f>INDEX('Config'!$L$6:$L$17,8)</f>
        <v>Ago</v>
      </c>
      <c r="K6" s="54" t="str">
        <f>INDEX('Config'!$L$6:$L$17,9)</f>
        <v>Set</v>
      </c>
      <c r="L6" s="54" t="str">
        <f>INDEX('Config'!$L$6:$L$17,10)</f>
        <v>Out</v>
      </c>
      <c r="M6" s="54" t="str">
        <f>INDEX('Config'!$L$6:$L$17,11)</f>
        <v>Nov</v>
      </c>
      <c r="N6" s="54" t="str">
        <f>INDEX('Config'!$L$6:$L$17,12)</f>
        <v>Dez</v>
      </c>
      <c r="O6" s="54" t="s">
        <v>116</v>
      </c>
      <c r="P6" s="54" t="s">
        <v>117</v>
      </c>
      <c r="Q6" s="54" t="s">
        <v>118</v>
      </c>
    </row>
    <row r="7" spans="2:17" ht="16.5" customHeight="1">
      <c r="B7" s="74" t="s">
        <v>119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</row>
    <row r="8" spans="2:17" ht="16.5" customHeight="1">
      <c r="B8" s="65" t="str">
        <f>IF('Config'!$E$6="","",'Config'!$E$6)</f>
        <v>Salário</v>
      </c>
      <c r="C8" s="75">
        <f>IF($B8="",0,SUMIFS('Lançamentos'!$F$9:$F$1508,'Lançamentos'!$D$9:$D$1508,$B8,'Lançamentos'!$B$9:$B$1508,"&gt;="&amp;C$5,'Lançamentos'!$B$9:$B$1508,"&lt;"&amp;EDATE(C$5,1)))</f>
        <v>0</v>
      </c>
      <c r="D8" s="75">
        <f>IF($B8="",0,SUMIFS('Lançamentos'!$F$9:$F$1508,'Lançamentos'!$D$9:$D$1508,$B8,'Lançamentos'!$B$9:$B$1508,"&gt;="&amp;D$5,'Lançamentos'!$B$9:$B$1508,"&lt;"&amp;EDATE(D$5,1)))</f>
        <v>0</v>
      </c>
      <c r="E8" s="75">
        <f>IF($B8="",0,SUMIFS('Lançamentos'!$F$9:$F$1508,'Lançamentos'!$D$9:$D$1508,$B8,'Lançamentos'!$B$9:$B$1508,"&gt;="&amp;E$5,'Lançamentos'!$B$9:$B$1508,"&lt;"&amp;EDATE(E$5,1)))</f>
        <v>0</v>
      </c>
      <c r="F8" s="75">
        <f>IF($B8="",0,SUMIFS('Lançamentos'!$F$9:$F$1508,'Lançamentos'!$D$9:$D$1508,$B8,'Lançamentos'!$B$9:$B$1508,"&gt;="&amp;F$5,'Lançamentos'!$B$9:$B$1508,"&lt;"&amp;EDATE(F$5,1)))</f>
        <v>0</v>
      </c>
      <c r="G8" s="75">
        <f>IF($B8="",0,SUMIFS('Lançamentos'!$F$9:$F$1508,'Lançamentos'!$D$9:$D$1508,$B8,'Lançamentos'!$B$9:$B$1508,"&gt;="&amp;G$5,'Lançamentos'!$B$9:$B$1508,"&lt;"&amp;EDATE(G$5,1)))</f>
        <v>0</v>
      </c>
      <c r="H8" s="75">
        <f>IF($B8="",0,SUMIFS('Lançamentos'!$F$9:$F$1508,'Lançamentos'!$D$9:$D$1508,$B8,'Lançamentos'!$B$9:$B$1508,"&gt;="&amp;H$5,'Lançamentos'!$B$9:$B$1508,"&lt;"&amp;EDATE(H$5,1)))</f>
        <v>0</v>
      </c>
      <c r="I8" s="75">
        <f>IF($B8="",0,SUMIFS('Lançamentos'!$F$9:$F$1508,'Lançamentos'!$D$9:$D$1508,$B8,'Lançamentos'!$B$9:$B$1508,"&gt;="&amp;I$5,'Lançamentos'!$B$9:$B$1508,"&lt;"&amp;EDATE(I$5,1)))</f>
        <v>0</v>
      </c>
      <c r="J8" s="75">
        <f>IF($B8="",0,SUMIFS('Lançamentos'!$F$9:$F$1508,'Lançamentos'!$D$9:$D$1508,$B8,'Lançamentos'!$B$9:$B$1508,"&gt;="&amp;J$5,'Lançamentos'!$B$9:$B$1508,"&lt;"&amp;EDATE(J$5,1)))</f>
        <v>0</v>
      </c>
      <c r="K8" s="75">
        <f>IF($B8="",0,SUMIFS('Lançamentos'!$F$9:$F$1508,'Lançamentos'!$D$9:$D$1508,$B8,'Lançamentos'!$B$9:$B$1508,"&gt;="&amp;K$5,'Lançamentos'!$B$9:$B$1508,"&lt;"&amp;EDATE(K$5,1)))</f>
        <v>0</v>
      </c>
      <c r="L8" s="75">
        <f>IF($B8="",0,SUMIFS('Lançamentos'!$F$9:$F$1508,'Lançamentos'!$D$9:$D$1508,$B8,'Lançamentos'!$B$9:$B$1508,"&gt;="&amp;L$5,'Lançamentos'!$B$9:$B$1508,"&lt;"&amp;EDATE(L$5,1)))</f>
        <v>0</v>
      </c>
      <c r="M8" s="75">
        <f>IF($B8="",0,SUMIFS('Lançamentos'!$F$9:$F$1508,'Lançamentos'!$D$9:$D$1508,$B8,'Lançamentos'!$B$9:$B$1508,"&gt;="&amp;M$5,'Lançamentos'!$B$9:$B$1508,"&lt;"&amp;EDATE(M$5,1)))</f>
        <v>0</v>
      </c>
      <c r="N8" s="75">
        <f>IF($B8="",0,SUMIFS('Lançamentos'!$F$9:$F$1508,'Lançamentos'!$D$9:$D$1508,$B8,'Lançamentos'!$B$9:$B$1508,"&gt;="&amp;N$5,'Lançamentos'!$B$9:$B$1508,"&lt;"&amp;EDATE(N$5,1)))</f>
        <v>0</v>
      </c>
      <c r="O8" s="76">
        <f>SUM(C8:N8)</f>
        <v>0</v>
      </c>
      <c r="P8" s="77">
        <f>IFERROR(O8/'Dados'!$C$9,0)</f>
        <v>0</v>
      </c>
      <c r="Q8" s="78"/>
    </row>
    <row r="9" spans="2:17" ht="16.5" customHeight="1">
      <c r="B9" s="65" t="str">
        <f>IF('Config'!$E$7="","",'Config'!$E$7)</f>
        <v>Renda extra</v>
      </c>
      <c r="C9" s="75">
        <f>IF($B9="",0,SUMIFS('Lançamentos'!$F$9:$F$1508,'Lançamentos'!$D$9:$D$1508,$B9,'Lançamentos'!$B$9:$B$1508,"&gt;="&amp;C$5,'Lançamentos'!$B$9:$B$1508,"&lt;"&amp;EDATE(C$5,1)))</f>
        <v>0</v>
      </c>
      <c r="D9" s="75">
        <f>IF($B9="",0,SUMIFS('Lançamentos'!$F$9:$F$1508,'Lançamentos'!$D$9:$D$1508,$B9,'Lançamentos'!$B$9:$B$1508,"&gt;="&amp;D$5,'Lançamentos'!$B$9:$B$1508,"&lt;"&amp;EDATE(D$5,1)))</f>
        <v>0</v>
      </c>
      <c r="E9" s="75">
        <f>IF($B9="",0,SUMIFS('Lançamentos'!$F$9:$F$1508,'Lançamentos'!$D$9:$D$1508,$B9,'Lançamentos'!$B$9:$B$1508,"&gt;="&amp;E$5,'Lançamentos'!$B$9:$B$1508,"&lt;"&amp;EDATE(E$5,1)))</f>
        <v>0</v>
      </c>
      <c r="F9" s="75">
        <f>IF($B9="",0,SUMIFS('Lançamentos'!$F$9:$F$1508,'Lançamentos'!$D$9:$D$1508,$B9,'Lançamentos'!$B$9:$B$1508,"&gt;="&amp;F$5,'Lançamentos'!$B$9:$B$1508,"&lt;"&amp;EDATE(F$5,1)))</f>
        <v>0</v>
      </c>
      <c r="G9" s="75">
        <f>IF($B9="",0,SUMIFS('Lançamentos'!$F$9:$F$1508,'Lançamentos'!$D$9:$D$1508,$B9,'Lançamentos'!$B$9:$B$1508,"&gt;="&amp;G$5,'Lançamentos'!$B$9:$B$1508,"&lt;"&amp;EDATE(G$5,1)))</f>
        <v>0</v>
      </c>
      <c r="H9" s="75">
        <f>IF($B9="",0,SUMIFS('Lançamentos'!$F$9:$F$1508,'Lançamentos'!$D$9:$D$1508,$B9,'Lançamentos'!$B$9:$B$1508,"&gt;="&amp;H$5,'Lançamentos'!$B$9:$B$1508,"&lt;"&amp;EDATE(H$5,1)))</f>
        <v>0</v>
      </c>
      <c r="I9" s="75">
        <f>IF($B9="",0,SUMIFS('Lançamentos'!$F$9:$F$1508,'Lançamentos'!$D$9:$D$1508,$B9,'Lançamentos'!$B$9:$B$1508,"&gt;="&amp;I$5,'Lançamentos'!$B$9:$B$1508,"&lt;"&amp;EDATE(I$5,1)))</f>
        <v>0</v>
      </c>
      <c r="J9" s="75">
        <f>IF($B9="",0,SUMIFS('Lançamentos'!$F$9:$F$1508,'Lançamentos'!$D$9:$D$1508,$B9,'Lançamentos'!$B$9:$B$1508,"&gt;="&amp;J$5,'Lançamentos'!$B$9:$B$1508,"&lt;"&amp;EDATE(J$5,1)))</f>
        <v>0</v>
      </c>
      <c r="K9" s="75">
        <f>IF($B9="",0,SUMIFS('Lançamentos'!$F$9:$F$1508,'Lançamentos'!$D$9:$D$1508,$B9,'Lançamentos'!$B$9:$B$1508,"&gt;="&amp;K$5,'Lançamentos'!$B$9:$B$1508,"&lt;"&amp;EDATE(K$5,1)))</f>
        <v>0</v>
      </c>
      <c r="L9" s="75">
        <f>IF($B9="",0,SUMIFS('Lançamentos'!$F$9:$F$1508,'Lançamentos'!$D$9:$D$1508,$B9,'Lançamentos'!$B$9:$B$1508,"&gt;="&amp;L$5,'Lançamentos'!$B$9:$B$1508,"&lt;"&amp;EDATE(L$5,1)))</f>
        <v>0</v>
      </c>
      <c r="M9" s="75">
        <f>IF($B9="",0,SUMIFS('Lançamentos'!$F$9:$F$1508,'Lançamentos'!$D$9:$D$1508,$B9,'Lançamentos'!$B$9:$B$1508,"&gt;="&amp;M$5,'Lançamentos'!$B$9:$B$1508,"&lt;"&amp;EDATE(M$5,1)))</f>
        <v>0</v>
      </c>
      <c r="N9" s="75">
        <f>IF($B9="",0,SUMIFS('Lançamentos'!$F$9:$F$1508,'Lançamentos'!$D$9:$D$1508,$B9,'Lançamentos'!$B$9:$B$1508,"&gt;="&amp;N$5,'Lançamentos'!$B$9:$B$1508,"&lt;"&amp;EDATE(N$5,1)))</f>
        <v>0</v>
      </c>
      <c r="O9" s="76">
        <f>SUM(C9:N9)</f>
        <v>0</v>
      </c>
      <c r="P9" s="77">
        <f>IFERROR(O9/'Dados'!$C$9,0)</f>
        <v>0</v>
      </c>
      <c r="Q9" s="78"/>
    </row>
    <row r="10" spans="2:17" ht="16.5" customHeight="1">
      <c r="B10" s="65" t="str">
        <f>IF('Config'!$E$8="","",'Config'!$E$8)</f>
        <v>Rendimentos de investimentos</v>
      </c>
      <c r="C10" s="75">
        <f>IF($B10="",0,SUMIFS('Lançamentos'!$F$9:$F$1508,'Lançamentos'!$D$9:$D$1508,$B10,'Lançamentos'!$B$9:$B$1508,"&gt;="&amp;C$5,'Lançamentos'!$B$9:$B$1508,"&lt;"&amp;EDATE(C$5,1)))</f>
        <v>0</v>
      </c>
      <c r="D10" s="75">
        <f>IF($B10="",0,SUMIFS('Lançamentos'!$F$9:$F$1508,'Lançamentos'!$D$9:$D$1508,$B10,'Lançamentos'!$B$9:$B$1508,"&gt;="&amp;D$5,'Lançamentos'!$B$9:$B$1508,"&lt;"&amp;EDATE(D$5,1)))</f>
        <v>0</v>
      </c>
      <c r="E10" s="75">
        <f>IF($B10="",0,SUMIFS('Lançamentos'!$F$9:$F$1508,'Lançamentos'!$D$9:$D$1508,$B10,'Lançamentos'!$B$9:$B$1508,"&gt;="&amp;E$5,'Lançamentos'!$B$9:$B$1508,"&lt;"&amp;EDATE(E$5,1)))</f>
        <v>0</v>
      </c>
      <c r="F10" s="75">
        <f>IF($B10="",0,SUMIFS('Lançamentos'!$F$9:$F$1508,'Lançamentos'!$D$9:$D$1508,$B10,'Lançamentos'!$B$9:$B$1508,"&gt;="&amp;F$5,'Lançamentos'!$B$9:$B$1508,"&lt;"&amp;EDATE(F$5,1)))</f>
        <v>0</v>
      </c>
      <c r="G10" s="75">
        <f>IF($B10="",0,SUMIFS('Lançamentos'!$F$9:$F$1508,'Lançamentos'!$D$9:$D$1508,$B10,'Lançamentos'!$B$9:$B$1508,"&gt;="&amp;G$5,'Lançamentos'!$B$9:$B$1508,"&lt;"&amp;EDATE(G$5,1)))</f>
        <v>0</v>
      </c>
      <c r="H10" s="75">
        <f>IF($B10="",0,SUMIFS('Lançamentos'!$F$9:$F$1508,'Lançamentos'!$D$9:$D$1508,$B10,'Lançamentos'!$B$9:$B$1508,"&gt;="&amp;H$5,'Lançamentos'!$B$9:$B$1508,"&lt;"&amp;EDATE(H$5,1)))</f>
        <v>0</v>
      </c>
      <c r="I10" s="75">
        <f>IF($B10="",0,SUMIFS('Lançamentos'!$F$9:$F$1508,'Lançamentos'!$D$9:$D$1508,$B10,'Lançamentos'!$B$9:$B$1508,"&gt;="&amp;I$5,'Lançamentos'!$B$9:$B$1508,"&lt;"&amp;EDATE(I$5,1)))</f>
        <v>0</v>
      </c>
      <c r="J10" s="75">
        <f>IF($B10="",0,SUMIFS('Lançamentos'!$F$9:$F$1508,'Lançamentos'!$D$9:$D$1508,$B10,'Lançamentos'!$B$9:$B$1508,"&gt;="&amp;J$5,'Lançamentos'!$B$9:$B$1508,"&lt;"&amp;EDATE(J$5,1)))</f>
        <v>0</v>
      </c>
      <c r="K10" s="75">
        <f>IF($B10="",0,SUMIFS('Lançamentos'!$F$9:$F$1508,'Lançamentos'!$D$9:$D$1508,$B10,'Lançamentos'!$B$9:$B$1508,"&gt;="&amp;K$5,'Lançamentos'!$B$9:$B$1508,"&lt;"&amp;EDATE(K$5,1)))</f>
        <v>0</v>
      </c>
      <c r="L10" s="75">
        <f>IF($B10="",0,SUMIFS('Lançamentos'!$F$9:$F$1508,'Lançamentos'!$D$9:$D$1508,$B10,'Lançamentos'!$B$9:$B$1508,"&gt;="&amp;L$5,'Lançamentos'!$B$9:$B$1508,"&lt;"&amp;EDATE(L$5,1)))</f>
        <v>0</v>
      </c>
      <c r="M10" s="75">
        <f>IF($B10="",0,SUMIFS('Lançamentos'!$F$9:$F$1508,'Lançamentos'!$D$9:$D$1508,$B10,'Lançamentos'!$B$9:$B$1508,"&gt;="&amp;M$5,'Lançamentos'!$B$9:$B$1508,"&lt;"&amp;EDATE(M$5,1)))</f>
        <v>0</v>
      </c>
      <c r="N10" s="75">
        <f>IF($B10="",0,SUMIFS('Lançamentos'!$F$9:$F$1508,'Lançamentos'!$D$9:$D$1508,$B10,'Lançamentos'!$B$9:$B$1508,"&gt;="&amp;N$5,'Lançamentos'!$B$9:$B$1508,"&lt;"&amp;EDATE(N$5,1)))</f>
        <v>0</v>
      </c>
      <c r="O10" s="76">
        <f>SUM(C10:N10)</f>
        <v>0</v>
      </c>
      <c r="P10" s="77">
        <f>IFERROR(O10/'Dados'!$C$9,0)</f>
        <v>0</v>
      </c>
      <c r="Q10" s="78"/>
    </row>
    <row r="11" spans="2:17" ht="16.5" customHeight="1">
      <c r="B11" s="65" t="str">
        <f>IF('Config'!$E$9="","",'Config'!$E$9)</f>
        <v>13º e bônus</v>
      </c>
      <c r="C11" s="75">
        <f>IF($B11="",0,SUMIFS('Lançamentos'!$F$9:$F$1508,'Lançamentos'!$D$9:$D$1508,$B11,'Lançamentos'!$B$9:$B$1508,"&gt;="&amp;C$5,'Lançamentos'!$B$9:$B$1508,"&lt;"&amp;EDATE(C$5,1)))</f>
        <v>0</v>
      </c>
      <c r="D11" s="75">
        <f>IF($B11="",0,SUMIFS('Lançamentos'!$F$9:$F$1508,'Lançamentos'!$D$9:$D$1508,$B11,'Lançamentos'!$B$9:$B$1508,"&gt;="&amp;D$5,'Lançamentos'!$B$9:$B$1508,"&lt;"&amp;EDATE(D$5,1)))</f>
        <v>0</v>
      </c>
      <c r="E11" s="75">
        <f>IF($B11="",0,SUMIFS('Lançamentos'!$F$9:$F$1508,'Lançamentos'!$D$9:$D$1508,$B11,'Lançamentos'!$B$9:$B$1508,"&gt;="&amp;E$5,'Lançamentos'!$B$9:$B$1508,"&lt;"&amp;EDATE(E$5,1)))</f>
        <v>0</v>
      </c>
      <c r="F11" s="75">
        <f>IF($B11="",0,SUMIFS('Lançamentos'!$F$9:$F$1508,'Lançamentos'!$D$9:$D$1508,$B11,'Lançamentos'!$B$9:$B$1508,"&gt;="&amp;F$5,'Lançamentos'!$B$9:$B$1508,"&lt;"&amp;EDATE(F$5,1)))</f>
        <v>0</v>
      </c>
      <c r="G11" s="75">
        <f>IF($B11="",0,SUMIFS('Lançamentos'!$F$9:$F$1508,'Lançamentos'!$D$9:$D$1508,$B11,'Lançamentos'!$B$9:$B$1508,"&gt;="&amp;G$5,'Lançamentos'!$B$9:$B$1508,"&lt;"&amp;EDATE(G$5,1)))</f>
        <v>0</v>
      </c>
      <c r="H11" s="75">
        <f>IF($B11="",0,SUMIFS('Lançamentos'!$F$9:$F$1508,'Lançamentos'!$D$9:$D$1508,$B11,'Lançamentos'!$B$9:$B$1508,"&gt;="&amp;H$5,'Lançamentos'!$B$9:$B$1508,"&lt;"&amp;EDATE(H$5,1)))</f>
        <v>0</v>
      </c>
      <c r="I11" s="75">
        <f>IF($B11="",0,SUMIFS('Lançamentos'!$F$9:$F$1508,'Lançamentos'!$D$9:$D$1508,$B11,'Lançamentos'!$B$9:$B$1508,"&gt;="&amp;I$5,'Lançamentos'!$B$9:$B$1508,"&lt;"&amp;EDATE(I$5,1)))</f>
        <v>0</v>
      </c>
      <c r="J11" s="75">
        <f>IF($B11="",0,SUMIFS('Lançamentos'!$F$9:$F$1508,'Lançamentos'!$D$9:$D$1508,$B11,'Lançamentos'!$B$9:$B$1508,"&gt;="&amp;J$5,'Lançamentos'!$B$9:$B$1508,"&lt;"&amp;EDATE(J$5,1)))</f>
        <v>0</v>
      </c>
      <c r="K11" s="75">
        <f>IF($B11="",0,SUMIFS('Lançamentos'!$F$9:$F$1508,'Lançamentos'!$D$9:$D$1508,$B11,'Lançamentos'!$B$9:$B$1508,"&gt;="&amp;K$5,'Lançamentos'!$B$9:$B$1508,"&lt;"&amp;EDATE(K$5,1)))</f>
        <v>0</v>
      </c>
      <c r="L11" s="75">
        <f>IF($B11="",0,SUMIFS('Lançamentos'!$F$9:$F$1508,'Lançamentos'!$D$9:$D$1508,$B11,'Lançamentos'!$B$9:$B$1508,"&gt;="&amp;L$5,'Lançamentos'!$B$9:$B$1508,"&lt;"&amp;EDATE(L$5,1)))</f>
        <v>0</v>
      </c>
      <c r="M11" s="75">
        <f>IF($B11="",0,SUMIFS('Lançamentos'!$F$9:$F$1508,'Lançamentos'!$D$9:$D$1508,$B11,'Lançamentos'!$B$9:$B$1508,"&gt;="&amp;M$5,'Lançamentos'!$B$9:$B$1508,"&lt;"&amp;EDATE(M$5,1)))</f>
        <v>0</v>
      </c>
      <c r="N11" s="75">
        <f>IF($B11="",0,SUMIFS('Lançamentos'!$F$9:$F$1508,'Lançamentos'!$D$9:$D$1508,$B11,'Lançamentos'!$B$9:$B$1508,"&gt;="&amp;N$5,'Lançamentos'!$B$9:$B$1508,"&lt;"&amp;EDATE(N$5,1)))</f>
        <v>0</v>
      </c>
      <c r="O11" s="76">
        <f>SUM(C11:N11)</f>
        <v>0</v>
      </c>
      <c r="P11" s="77">
        <f>IFERROR(O11/'Dados'!$C$9,0)</f>
        <v>0</v>
      </c>
      <c r="Q11" s="78"/>
    </row>
    <row r="12" spans="2:17" ht="16.5" customHeight="1">
      <c r="B12" s="65" t="str">
        <f>IF('Config'!$E$10="","",'Config'!$E$10)</f>
        <v>Reembolsos</v>
      </c>
      <c r="C12" s="75">
        <f>IF($B12="",0,SUMIFS('Lançamentos'!$F$9:$F$1508,'Lançamentos'!$D$9:$D$1508,$B12,'Lançamentos'!$B$9:$B$1508,"&gt;="&amp;C$5,'Lançamentos'!$B$9:$B$1508,"&lt;"&amp;EDATE(C$5,1)))</f>
        <v>0</v>
      </c>
      <c r="D12" s="75">
        <f>IF($B12="",0,SUMIFS('Lançamentos'!$F$9:$F$1508,'Lançamentos'!$D$9:$D$1508,$B12,'Lançamentos'!$B$9:$B$1508,"&gt;="&amp;D$5,'Lançamentos'!$B$9:$B$1508,"&lt;"&amp;EDATE(D$5,1)))</f>
        <v>0</v>
      </c>
      <c r="E12" s="75">
        <f>IF($B12="",0,SUMIFS('Lançamentos'!$F$9:$F$1508,'Lançamentos'!$D$9:$D$1508,$B12,'Lançamentos'!$B$9:$B$1508,"&gt;="&amp;E$5,'Lançamentos'!$B$9:$B$1508,"&lt;"&amp;EDATE(E$5,1)))</f>
        <v>0</v>
      </c>
      <c r="F12" s="75">
        <f>IF($B12="",0,SUMIFS('Lançamentos'!$F$9:$F$1508,'Lançamentos'!$D$9:$D$1508,$B12,'Lançamentos'!$B$9:$B$1508,"&gt;="&amp;F$5,'Lançamentos'!$B$9:$B$1508,"&lt;"&amp;EDATE(F$5,1)))</f>
        <v>0</v>
      </c>
      <c r="G12" s="75">
        <f>IF($B12="",0,SUMIFS('Lançamentos'!$F$9:$F$1508,'Lançamentos'!$D$9:$D$1508,$B12,'Lançamentos'!$B$9:$B$1508,"&gt;="&amp;G$5,'Lançamentos'!$B$9:$B$1508,"&lt;"&amp;EDATE(G$5,1)))</f>
        <v>0</v>
      </c>
      <c r="H12" s="75">
        <f>IF($B12="",0,SUMIFS('Lançamentos'!$F$9:$F$1508,'Lançamentos'!$D$9:$D$1508,$B12,'Lançamentos'!$B$9:$B$1508,"&gt;="&amp;H$5,'Lançamentos'!$B$9:$B$1508,"&lt;"&amp;EDATE(H$5,1)))</f>
        <v>0</v>
      </c>
      <c r="I12" s="75">
        <f>IF($B12="",0,SUMIFS('Lançamentos'!$F$9:$F$1508,'Lançamentos'!$D$9:$D$1508,$B12,'Lançamentos'!$B$9:$B$1508,"&gt;="&amp;I$5,'Lançamentos'!$B$9:$B$1508,"&lt;"&amp;EDATE(I$5,1)))</f>
        <v>0</v>
      </c>
      <c r="J12" s="75">
        <f>IF($B12="",0,SUMIFS('Lançamentos'!$F$9:$F$1508,'Lançamentos'!$D$9:$D$1508,$B12,'Lançamentos'!$B$9:$B$1508,"&gt;="&amp;J$5,'Lançamentos'!$B$9:$B$1508,"&lt;"&amp;EDATE(J$5,1)))</f>
        <v>0</v>
      </c>
      <c r="K12" s="75">
        <f>IF($B12="",0,SUMIFS('Lançamentos'!$F$9:$F$1508,'Lançamentos'!$D$9:$D$1508,$B12,'Lançamentos'!$B$9:$B$1508,"&gt;="&amp;K$5,'Lançamentos'!$B$9:$B$1508,"&lt;"&amp;EDATE(K$5,1)))</f>
        <v>0</v>
      </c>
      <c r="L12" s="75">
        <f>IF($B12="",0,SUMIFS('Lançamentos'!$F$9:$F$1508,'Lançamentos'!$D$9:$D$1508,$B12,'Lançamentos'!$B$9:$B$1508,"&gt;="&amp;L$5,'Lançamentos'!$B$9:$B$1508,"&lt;"&amp;EDATE(L$5,1)))</f>
        <v>0</v>
      </c>
      <c r="M12" s="75">
        <f>IF($B12="",0,SUMIFS('Lançamentos'!$F$9:$F$1508,'Lançamentos'!$D$9:$D$1508,$B12,'Lançamentos'!$B$9:$B$1508,"&gt;="&amp;M$5,'Lançamentos'!$B$9:$B$1508,"&lt;"&amp;EDATE(M$5,1)))</f>
        <v>0</v>
      </c>
      <c r="N12" s="75">
        <f>IF($B12="",0,SUMIFS('Lançamentos'!$F$9:$F$1508,'Lançamentos'!$D$9:$D$1508,$B12,'Lançamentos'!$B$9:$B$1508,"&gt;="&amp;N$5,'Lançamentos'!$B$9:$B$1508,"&lt;"&amp;EDATE(N$5,1)))</f>
        <v>0</v>
      </c>
      <c r="O12" s="76">
        <f>SUM(C12:N12)</f>
        <v>0</v>
      </c>
      <c r="P12" s="77">
        <f>IFERROR(O12/'Dados'!$C$9,0)</f>
        <v>0</v>
      </c>
      <c r="Q12" s="78"/>
    </row>
    <row r="13" spans="2:17" ht="16.5" customHeight="1">
      <c r="B13" s="65" t="str">
        <f>IF('Config'!$E$11="","",'Config'!$E$11)</f>
        <v>Aluguéis recebidos</v>
      </c>
      <c r="C13" s="75">
        <f>IF($B13="",0,SUMIFS('Lançamentos'!$F$9:$F$1508,'Lançamentos'!$D$9:$D$1508,$B13,'Lançamentos'!$B$9:$B$1508,"&gt;="&amp;C$5,'Lançamentos'!$B$9:$B$1508,"&lt;"&amp;EDATE(C$5,1)))</f>
        <v>0</v>
      </c>
      <c r="D13" s="75">
        <f>IF($B13="",0,SUMIFS('Lançamentos'!$F$9:$F$1508,'Lançamentos'!$D$9:$D$1508,$B13,'Lançamentos'!$B$9:$B$1508,"&gt;="&amp;D$5,'Lançamentos'!$B$9:$B$1508,"&lt;"&amp;EDATE(D$5,1)))</f>
        <v>0</v>
      </c>
      <c r="E13" s="75">
        <f>IF($B13="",0,SUMIFS('Lançamentos'!$F$9:$F$1508,'Lançamentos'!$D$9:$D$1508,$B13,'Lançamentos'!$B$9:$B$1508,"&gt;="&amp;E$5,'Lançamentos'!$B$9:$B$1508,"&lt;"&amp;EDATE(E$5,1)))</f>
        <v>0</v>
      </c>
      <c r="F13" s="75">
        <f>IF($B13="",0,SUMIFS('Lançamentos'!$F$9:$F$1508,'Lançamentos'!$D$9:$D$1508,$B13,'Lançamentos'!$B$9:$B$1508,"&gt;="&amp;F$5,'Lançamentos'!$B$9:$B$1508,"&lt;"&amp;EDATE(F$5,1)))</f>
        <v>0</v>
      </c>
      <c r="G13" s="75">
        <f>IF($B13="",0,SUMIFS('Lançamentos'!$F$9:$F$1508,'Lançamentos'!$D$9:$D$1508,$B13,'Lançamentos'!$B$9:$B$1508,"&gt;="&amp;G$5,'Lançamentos'!$B$9:$B$1508,"&lt;"&amp;EDATE(G$5,1)))</f>
        <v>0</v>
      </c>
      <c r="H13" s="75">
        <f>IF($B13="",0,SUMIFS('Lançamentos'!$F$9:$F$1508,'Lançamentos'!$D$9:$D$1508,$B13,'Lançamentos'!$B$9:$B$1508,"&gt;="&amp;H$5,'Lançamentos'!$B$9:$B$1508,"&lt;"&amp;EDATE(H$5,1)))</f>
        <v>0</v>
      </c>
      <c r="I13" s="75">
        <f>IF($B13="",0,SUMIFS('Lançamentos'!$F$9:$F$1508,'Lançamentos'!$D$9:$D$1508,$B13,'Lançamentos'!$B$9:$B$1508,"&gt;="&amp;I$5,'Lançamentos'!$B$9:$B$1508,"&lt;"&amp;EDATE(I$5,1)))</f>
        <v>0</v>
      </c>
      <c r="J13" s="75">
        <f>IF($B13="",0,SUMIFS('Lançamentos'!$F$9:$F$1508,'Lançamentos'!$D$9:$D$1508,$B13,'Lançamentos'!$B$9:$B$1508,"&gt;="&amp;J$5,'Lançamentos'!$B$9:$B$1508,"&lt;"&amp;EDATE(J$5,1)))</f>
        <v>0</v>
      </c>
      <c r="K13" s="75">
        <f>IF($B13="",0,SUMIFS('Lançamentos'!$F$9:$F$1508,'Lançamentos'!$D$9:$D$1508,$B13,'Lançamentos'!$B$9:$B$1508,"&gt;="&amp;K$5,'Lançamentos'!$B$9:$B$1508,"&lt;"&amp;EDATE(K$5,1)))</f>
        <v>0</v>
      </c>
      <c r="L13" s="75">
        <f>IF($B13="",0,SUMIFS('Lançamentos'!$F$9:$F$1508,'Lançamentos'!$D$9:$D$1508,$B13,'Lançamentos'!$B$9:$B$1508,"&gt;="&amp;L$5,'Lançamentos'!$B$9:$B$1508,"&lt;"&amp;EDATE(L$5,1)))</f>
        <v>0</v>
      </c>
      <c r="M13" s="75">
        <f>IF($B13="",0,SUMIFS('Lançamentos'!$F$9:$F$1508,'Lançamentos'!$D$9:$D$1508,$B13,'Lançamentos'!$B$9:$B$1508,"&gt;="&amp;M$5,'Lançamentos'!$B$9:$B$1508,"&lt;"&amp;EDATE(M$5,1)))</f>
        <v>0</v>
      </c>
      <c r="N13" s="75">
        <f>IF($B13="",0,SUMIFS('Lançamentos'!$F$9:$F$1508,'Lançamentos'!$D$9:$D$1508,$B13,'Lançamentos'!$B$9:$B$1508,"&gt;="&amp;N$5,'Lançamentos'!$B$9:$B$1508,"&lt;"&amp;EDATE(N$5,1)))</f>
        <v>0</v>
      </c>
      <c r="O13" s="76">
        <f>SUM(C13:N13)</f>
        <v>0</v>
      </c>
      <c r="P13" s="77">
        <f>IFERROR(O13/'Dados'!$C$9,0)</f>
        <v>0</v>
      </c>
      <c r="Q13" s="78"/>
    </row>
    <row r="14" spans="2:17" ht="16.5" customHeight="1">
      <c r="B14" s="65" t="str">
        <f>IF('Config'!$E$12="","",'Config'!$E$12)</f>
        <v>Presentes recebidos</v>
      </c>
      <c r="C14" s="75">
        <f>IF($B14="",0,SUMIFS('Lançamentos'!$F$9:$F$1508,'Lançamentos'!$D$9:$D$1508,$B14,'Lançamentos'!$B$9:$B$1508,"&gt;="&amp;C$5,'Lançamentos'!$B$9:$B$1508,"&lt;"&amp;EDATE(C$5,1)))</f>
        <v>0</v>
      </c>
      <c r="D14" s="75">
        <f>IF($B14="",0,SUMIFS('Lançamentos'!$F$9:$F$1508,'Lançamentos'!$D$9:$D$1508,$B14,'Lançamentos'!$B$9:$B$1508,"&gt;="&amp;D$5,'Lançamentos'!$B$9:$B$1508,"&lt;"&amp;EDATE(D$5,1)))</f>
        <v>0</v>
      </c>
      <c r="E14" s="75">
        <f>IF($B14="",0,SUMIFS('Lançamentos'!$F$9:$F$1508,'Lançamentos'!$D$9:$D$1508,$B14,'Lançamentos'!$B$9:$B$1508,"&gt;="&amp;E$5,'Lançamentos'!$B$9:$B$1508,"&lt;"&amp;EDATE(E$5,1)))</f>
        <v>0</v>
      </c>
      <c r="F14" s="75">
        <f>IF($B14="",0,SUMIFS('Lançamentos'!$F$9:$F$1508,'Lançamentos'!$D$9:$D$1508,$B14,'Lançamentos'!$B$9:$B$1508,"&gt;="&amp;F$5,'Lançamentos'!$B$9:$B$1508,"&lt;"&amp;EDATE(F$5,1)))</f>
        <v>0</v>
      </c>
      <c r="G14" s="75">
        <f>IF($B14="",0,SUMIFS('Lançamentos'!$F$9:$F$1508,'Lançamentos'!$D$9:$D$1508,$B14,'Lançamentos'!$B$9:$B$1508,"&gt;="&amp;G$5,'Lançamentos'!$B$9:$B$1508,"&lt;"&amp;EDATE(G$5,1)))</f>
        <v>0</v>
      </c>
      <c r="H14" s="75">
        <f>IF($B14="",0,SUMIFS('Lançamentos'!$F$9:$F$1508,'Lançamentos'!$D$9:$D$1508,$B14,'Lançamentos'!$B$9:$B$1508,"&gt;="&amp;H$5,'Lançamentos'!$B$9:$B$1508,"&lt;"&amp;EDATE(H$5,1)))</f>
        <v>0</v>
      </c>
      <c r="I14" s="75">
        <f>IF($B14="",0,SUMIFS('Lançamentos'!$F$9:$F$1508,'Lançamentos'!$D$9:$D$1508,$B14,'Lançamentos'!$B$9:$B$1508,"&gt;="&amp;I$5,'Lançamentos'!$B$9:$B$1508,"&lt;"&amp;EDATE(I$5,1)))</f>
        <v>0</v>
      </c>
      <c r="J14" s="75">
        <f>IF($B14="",0,SUMIFS('Lançamentos'!$F$9:$F$1508,'Lançamentos'!$D$9:$D$1508,$B14,'Lançamentos'!$B$9:$B$1508,"&gt;="&amp;J$5,'Lançamentos'!$B$9:$B$1508,"&lt;"&amp;EDATE(J$5,1)))</f>
        <v>0</v>
      </c>
      <c r="K14" s="75">
        <f>IF($B14="",0,SUMIFS('Lançamentos'!$F$9:$F$1508,'Lançamentos'!$D$9:$D$1508,$B14,'Lançamentos'!$B$9:$B$1508,"&gt;="&amp;K$5,'Lançamentos'!$B$9:$B$1508,"&lt;"&amp;EDATE(K$5,1)))</f>
        <v>0</v>
      </c>
      <c r="L14" s="75">
        <f>IF($B14="",0,SUMIFS('Lançamentos'!$F$9:$F$1508,'Lançamentos'!$D$9:$D$1508,$B14,'Lançamentos'!$B$9:$B$1508,"&gt;="&amp;L$5,'Lançamentos'!$B$9:$B$1508,"&lt;"&amp;EDATE(L$5,1)))</f>
        <v>0</v>
      </c>
      <c r="M14" s="75">
        <f>IF($B14="",0,SUMIFS('Lançamentos'!$F$9:$F$1508,'Lançamentos'!$D$9:$D$1508,$B14,'Lançamentos'!$B$9:$B$1508,"&gt;="&amp;M$5,'Lançamentos'!$B$9:$B$1508,"&lt;"&amp;EDATE(M$5,1)))</f>
        <v>0</v>
      </c>
      <c r="N14" s="75">
        <f>IF($B14="",0,SUMIFS('Lançamentos'!$F$9:$F$1508,'Lançamentos'!$D$9:$D$1508,$B14,'Lançamentos'!$B$9:$B$1508,"&gt;="&amp;N$5,'Lançamentos'!$B$9:$B$1508,"&lt;"&amp;EDATE(N$5,1)))</f>
        <v>0</v>
      </c>
      <c r="O14" s="76">
        <f>SUM(C14:N14)</f>
        <v>0</v>
      </c>
      <c r="P14" s="77">
        <f>IFERROR(O14/'Dados'!$C$9,0)</f>
        <v>0</v>
      </c>
      <c r="Q14" s="78"/>
    </row>
    <row r="15" spans="2:17" ht="16.5" customHeight="1">
      <c r="B15" s="65" t="str">
        <f>IF('Config'!$E$13="","",'Config'!$E$13)</f>
        <v>Outras entradas</v>
      </c>
      <c r="C15" s="75">
        <f>IF($B15="",0,SUMIFS('Lançamentos'!$F$9:$F$1508,'Lançamentos'!$D$9:$D$1508,$B15,'Lançamentos'!$B$9:$B$1508,"&gt;="&amp;C$5,'Lançamentos'!$B$9:$B$1508,"&lt;"&amp;EDATE(C$5,1)))</f>
        <v>0</v>
      </c>
      <c r="D15" s="75">
        <f>IF($B15="",0,SUMIFS('Lançamentos'!$F$9:$F$1508,'Lançamentos'!$D$9:$D$1508,$B15,'Lançamentos'!$B$9:$B$1508,"&gt;="&amp;D$5,'Lançamentos'!$B$9:$B$1508,"&lt;"&amp;EDATE(D$5,1)))</f>
        <v>0</v>
      </c>
      <c r="E15" s="75">
        <f>IF($B15="",0,SUMIFS('Lançamentos'!$F$9:$F$1508,'Lançamentos'!$D$9:$D$1508,$B15,'Lançamentos'!$B$9:$B$1508,"&gt;="&amp;E$5,'Lançamentos'!$B$9:$B$1508,"&lt;"&amp;EDATE(E$5,1)))</f>
        <v>0</v>
      </c>
      <c r="F15" s="75">
        <f>IF($B15="",0,SUMIFS('Lançamentos'!$F$9:$F$1508,'Lançamentos'!$D$9:$D$1508,$B15,'Lançamentos'!$B$9:$B$1508,"&gt;="&amp;F$5,'Lançamentos'!$B$9:$B$1508,"&lt;"&amp;EDATE(F$5,1)))</f>
        <v>0</v>
      </c>
      <c r="G15" s="75">
        <f>IF($B15="",0,SUMIFS('Lançamentos'!$F$9:$F$1508,'Lançamentos'!$D$9:$D$1508,$B15,'Lançamentos'!$B$9:$B$1508,"&gt;="&amp;G$5,'Lançamentos'!$B$9:$B$1508,"&lt;"&amp;EDATE(G$5,1)))</f>
        <v>0</v>
      </c>
      <c r="H15" s="75">
        <f>IF($B15="",0,SUMIFS('Lançamentos'!$F$9:$F$1508,'Lançamentos'!$D$9:$D$1508,$B15,'Lançamentos'!$B$9:$B$1508,"&gt;="&amp;H$5,'Lançamentos'!$B$9:$B$1508,"&lt;"&amp;EDATE(H$5,1)))</f>
        <v>0</v>
      </c>
      <c r="I15" s="75">
        <f>IF($B15="",0,SUMIFS('Lançamentos'!$F$9:$F$1508,'Lançamentos'!$D$9:$D$1508,$B15,'Lançamentos'!$B$9:$B$1508,"&gt;="&amp;I$5,'Lançamentos'!$B$9:$B$1508,"&lt;"&amp;EDATE(I$5,1)))</f>
        <v>0</v>
      </c>
      <c r="J15" s="75">
        <f>IF($B15="",0,SUMIFS('Lançamentos'!$F$9:$F$1508,'Lançamentos'!$D$9:$D$1508,$B15,'Lançamentos'!$B$9:$B$1508,"&gt;="&amp;J$5,'Lançamentos'!$B$9:$B$1508,"&lt;"&amp;EDATE(J$5,1)))</f>
        <v>0</v>
      </c>
      <c r="K15" s="75">
        <f>IF($B15="",0,SUMIFS('Lançamentos'!$F$9:$F$1508,'Lançamentos'!$D$9:$D$1508,$B15,'Lançamentos'!$B$9:$B$1508,"&gt;="&amp;K$5,'Lançamentos'!$B$9:$B$1508,"&lt;"&amp;EDATE(K$5,1)))</f>
        <v>0</v>
      </c>
      <c r="L15" s="75">
        <f>IF($B15="",0,SUMIFS('Lançamentos'!$F$9:$F$1508,'Lançamentos'!$D$9:$D$1508,$B15,'Lançamentos'!$B$9:$B$1508,"&gt;="&amp;L$5,'Lançamentos'!$B$9:$B$1508,"&lt;"&amp;EDATE(L$5,1)))</f>
        <v>0</v>
      </c>
      <c r="M15" s="75">
        <f>IF($B15="",0,SUMIFS('Lançamentos'!$F$9:$F$1508,'Lançamentos'!$D$9:$D$1508,$B15,'Lançamentos'!$B$9:$B$1508,"&gt;="&amp;M$5,'Lançamentos'!$B$9:$B$1508,"&lt;"&amp;EDATE(M$5,1)))</f>
        <v>0</v>
      </c>
      <c r="N15" s="75">
        <f>IF($B15="",0,SUMIFS('Lançamentos'!$F$9:$F$1508,'Lançamentos'!$D$9:$D$1508,$B15,'Lançamentos'!$B$9:$B$1508,"&gt;="&amp;N$5,'Lançamentos'!$B$9:$B$1508,"&lt;"&amp;EDATE(N$5,1)))</f>
        <v>0</v>
      </c>
      <c r="O15" s="76">
        <f>SUM(C15:N15)</f>
        <v>0</v>
      </c>
      <c r="P15" s="77">
        <f>IFERROR(O15/'Dados'!$C$9,0)</f>
        <v>0</v>
      </c>
      <c r="Q15" s="78"/>
    </row>
    <row r="16" spans="2:17" ht="16.5" customHeight="1">
      <c r="B16" s="79" t="s">
        <v>120</v>
      </c>
      <c r="C16" s="80">
        <f>SUM(C8:C15)</f>
        <v>0</v>
      </c>
      <c r="D16" s="80">
        <f>SUM(D8:D15)</f>
        <v>0</v>
      </c>
      <c r="E16" s="80">
        <f>SUM(E8:E15)</f>
        <v>0</v>
      </c>
      <c r="F16" s="80">
        <f>SUM(F8:F15)</f>
        <v>0</v>
      </c>
      <c r="G16" s="80">
        <f>SUM(G8:G15)</f>
        <v>0</v>
      </c>
      <c r="H16" s="80">
        <f>SUM(H8:H15)</f>
        <v>0</v>
      </c>
      <c r="I16" s="80">
        <f>SUM(I8:I15)</f>
        <v>0</v>
      </c>
      <c r="J16" s="80">
        <f>SUM(J8:J15)</f>
        <v>0</v>
      </c>
      <c r="K16" s="80">
        <f>SUM(K8:K15)</f>
        <v>0</v>
      </c>
      <c r="L16" s="80">
        <f>SUM(L8:L15)</f>
        <v>0</v>
      </c>
      <c r="M16" s="80">
        <f>SUM(M8:M15)</f>
        <v>0</v>
      </c>
      <c r="N16" s="80">
        <f>SUM(N8:N15)</f>
        <v>0</v>
      </c>
      <c r="O16" s="80">
        <f>SUM(O8:O15)</f>
        <v>0</v>
      </c>
      <c r="P16" s="80">
        <f>SUM(P8:P15)</f>
        <v>0</v>
      </c>
      <c r="Q16" s="80"/>
    </row>
    <row r="17" spans="2:17" ht="16.5" customHeight="1">
      <c r="B17" s="81" t="s">
        <v>121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</row>
    <row r="18" spans="2:17" ht="16.5" customHeight="1">
      <c r="B18" s="65" t="str">
        <f>IF('Config'!$G$6="","",'Config'!$G$6)</f>
        <v>Moradia</v>
      </c>
      <c r="C18" s="75">
        <f>IF($B18="",0,SUMIFS('Lançamentos'!$F$9:$F$1508,'Lançamentos'!$D$9:$D$1508,$B18,'Lançamentos'!$B$9:$B$1508,"&gt;="&amp;C$5,'Lançamentos'!$B$9:$B$1508,"&lt;"&amp;EDATE(C$5,1)))</f>
        <v>0</v>
      </c>
      <c r="D18" s="75">
        <f>IF($B18="",0,SUMIFS('Lançamentos'!$F$9:$F$1508,'Lançamentos'!$D$9:$D$1508,$B18,'Lançamentos'!$B$9:$B$1508,"&gt;="&amp;D$5,'Lançamentos'!$B$9:$B$1508,"&lt;"&amp;EDATE(D$5,1)))</f>
        <v>0</v>
      </c>
      <c r="E18" s="75">
        <f>IF($B18="",0,SUMIFS('Lançamentos'!$F$9:$F$1508,'Lançamentos'!$D$9:$D$1508,$B18,'Lançamentos'!$B$9:$B$1508,"&gt;="&amp;E$5,'Lançamentos'!$B$9:$B$1508,"&lt;"&amp;EDATE(E$5,1)))</f>
        <v>0</v>
      </c>
      <c r="F18" s="75">
        <f>IF($B18="",0,SUMIFS('Lançamentos'!$F$9:$F$1508,'Lançamentos'!$D$9:$D$1508,$B18,'Lançamentos'!$B$9:$B$1508,"&gt;="&amp;F$5,'Lançamentos'!$B$9:$B$1508,"&lt;"&amp;EDATE(F$5,1)))</f>
        <v>0</v>
      </c>
      <c r="G18" s="75">
        <f>IF($B18="",0,SUMIFS('Lançamentos'!$F$9:$F$1508,'Lançamentos'!$D$9:$D$1508,$B18,'Lançamentos'!$B$9:$B$1508,"&gt;="&amp;G$5,'Lançamentos'!$B$9:$B$1508,"&lt;"&amp;EDATE(G$5,1)))</f>
        <v>0</v>
      </c>
      <c r="H18" s="75">
        <f>IF($B18="",0,SUMIFS('Lançamentos'!$F$9:$F$1508,'Lançamentos'!$D$9:$D$1508,$B18,'Lançamentos'!$B$9:$B$1508,"&gt;="&amp;H$5,'Lançamentos'!$B$9:$B$1508,"&lt;"&amp;EDATE(H$5,1)))</f>
        <v>0</v>
      </c>
      <c r="I18" s="75">
        <f>IF($B18="",0,SUMIFS('Lançamentos'!$F$9:$F$1508,'Lançamentos'!$D$9:$D$1508,$B18,'Lançamentos'!$B$9:$B$1508,"&gt;="&amp;I$5,'Lançamentos'!$B$9:$B$1508,"&lt;"&amp;EDATE(I$5,1)))</f>
        <v>0</v>
      </c>
      <c r="J18" s="75">
        <f>IF($B18="",0,SUMIFS('Lançamentos'!$F$9:$F$1508,'Lançamentos'!$D$9:$D$1508,$B18,'Lançamentos'!$B$9:$B$1508,"&gt;="&amp;J$5,'Lançamentos'!$B$9:$B$1508,"&lt;"&amp;EDATE(J$5,1)))</f>
        <v>0</v>
      </c>
      <c r="K18" s="75">
        <f>IF($B18="",0,SUMIFS('Lançamentos'!$F$9:$F$1508,'Lançamentos'!$D$9:$D$1508,$B18,'Lançamentos'!$B$9:$B$1508,"&gt;="&amp;K$5,'Lançamentos'!$B$9:$B$1508,"&lt;"&amp;EDATE(K$5,1)))</f>
        <v>0</v>
      </c>
      <c r="L18" s="75">
        <f>IF($B18="",0,SUMIFS('Lançamentos'!$F$9:$F$1508,'Lançamentos'!$D$9:$D$1508,$B18,'Lançamentos'!$B$9:$B$1508,"&gt;="&amp;L$5,'Lançamentos'!$B$9:$B$1508,"&lt;"&amp;EDATE(L$5,1)))</f>
        <v>0</v>
      </c>
      <c r="M18" s="75">
        <f>IF($B18="",0,SUMIFS('Lançamentos'!$F$9:$F$1508,'Lançamentos'!$D$9:$D$1508,$B18,'Lançamentos'!$B$9:$B$1508,"&gt;="&amp;M$5,'Lançamentos'!$B$9:$B$1508,"&lt;"&amp;EDATE(M$5,1)))</f>
        <v>0</v>
      </c>
      <c r="N18" s="75">
        <f>IF($B18="",0,SUMIFS('Lançamentos'!$F$9:$F$1508,'Lançamentos'!$D$9:$D$1508,$B18,'Lançamentos'!$B$9:$B$1508,"&gt;="&amp;N$5,'Lançamentos'!$B$9:$B$1508,"&lt;"&amp;EDATE(N$5,1)))</f>
        <v>0</v>
      </c>
      <c r="O18" s="76">
        <f>SUM(C18:N18)</f>
        <v>0</v>
      </c>
      <c r="P18" s="77">
        <f>IFERROR(O18/'Dados'!$C$9,0)</f>
        <v>0</v>
      </c>
      <c r="Q18" s="82">
        <f>IFERROR(O18/$O$34,0)</f>
        <v>0</v>
      </c>
    </row>
    <row r="19" spans="2:17" ht="16.5" customHeight="1">
      <c r="B19" s="65" t="str">
        <f>IF('Config'!$G$7="","",'Config'!$G$7)</f>
        <v>Contas da casa</v>
      </c>
      <c r="C19" s="75">
        <f>IF($B19="",0,SUMIFS('Lançamentos'!$F$9:$F$1508,'Lançamentos'!$D$9:$D$1508,$B19,'Lançamentos'!$B$9:$B$1508,"&gt;="&amp;C$5,'Lançamentos'!$B$9:$B$1508,"&lt;"&amp;EDATE(C$5,1)))</f>
        <v>0</v>
      </c>
      <c r="D19" s="75">
        <f>IF($B19="",0,SUMIFS('Lançamentos'!$F$9:$F$1508,'Lançamentos'!$D$9:$D$1508,$B19,'Lançamentos'!$B$9:$B$1508,"&gt;="&amp;D$5,'Lançamentos'!$B$9:$B$1508,"&lt;"&amp;EDATE(D$5,1)))</f>
        <v>0</v>
      </c>
      <c r="E19" s="75">
        <f>IF($B19="",0,SUMIFS('Lançamentos'!$F$9:$F$1508,'Lançamentos'!$D$9:$D$1508,$B19,'Lançamentos'!$B$9:$B$1508,"&gt;="&amp;E$5,'Lançamentos'!$B$9:$B$1508,"&lt;"&amp;EDATE(E$5,1)))</f>
        <v>0</v>
      </c>
      <c r="F19" s="75">
        <f>IF($B19="",0,SUMIFS('Lançamentos'!$F$9:$F$1508,'Lançamentos'!$D$9:$D$1508,$B19,'Lançamentos'!$B$9:$B$1508,"&gt;="&amp;F$5,'Lançamentos'!$B$9:$B$1508,"&lt;"&amp;EDATE(F$5,1)))</f>
        <v>0</v>
      </c>
      <c r="G19" s="75">
        <f>IF($B19="",0,SUMIFS('Lançamentos'!$F$9:$F$1508,'Lançamentos'!$D$9:$D$1508,$B19,'Lançamentos'!$B$9:$B$1508,"&gt;="&amp;G$5,'Lançamentos'!$B$9:$B$1508,"&lt;"&amp;EDATE(G$5,1)))</f>
        <v>0</v>
      </c>
      <c r="H19" s="75">
        <f>IF($B19="",0,SUMIFS('Lançamentos'!$F$9:$F$1508,'Lançamentos'!$D$9:$D$1508,$B19,'Lançamentos'!$B$9:$B$1508,"&gt;="&amp;H$5,'Lançamentos'!$B$9:$B$1508,"&lt;"&amp;EDATE(H$5,1)))</f>
        <v>0</v>
      </c>
      <c r="I19" s="75">
        <f>IF($B19="",0,SUMIFS('Lançamentos'!$F$9:$F$1508,'Lançamentos'!$D$9:$D$1508,$B19,'Lançamentos'!$B$9:$B$1508,"&gt;="&amp;I$5,'Lançamentos'!$B$9:$B$1508,"&lt;"&amp;EDATE(I$5,1)))</f>
        <v>0</v>
      </c>
      <c r="J19" s="75">
        <f>IF($B19="",0,SUMIFS('Lançamentos'!$F$9:$F$1508,'Lançamentos'!$D$9:$D$1508,$B19,'Lançamentos'!$B$9:$B$1508,"&gt;="&amp;J$5,'Lançamentos'!$B$9:$B$1508,"&lt;"&amp;EDATE(J$5,1)))</f>
        <v>0</v>
      </c>
      <c r="K19" s="75">
        <f>IF($B19="",0,SUMIFS('Lançamentos'!$F$9:$F$1508,'Lançamentos'!$D$9:$D$1508,$B19,'Lançamentos'!$B$9:$B$1508,"&gt;="&amp;K$5,'Lançamentos'!$B$9:$B$1508,"&lt;"&amp;EDATE(K$5,1)))</f>
        <v>0</v>
      </c>
      <c r="L19" s="75">
        <f>IF($B19="",0,SUMIFS('Lançamentos'!$F$9:$F$1508,'Lançamentos'!$D$9:$D$1508,$B19,'Lançamentos'!$B$9:$B$1508,"&gt;="&amp;L$5,'Lançamentos'!$B$9:$B$1508,"&lt;"&amp;EDATE(L$5,1)))</f>
        <v>0</v>
      </c>
      <c r="M19" s="75">
        <f>IF($B19="",0,SUMIFS('Lançamentos'!$F$9:$F$1508,'Lançamentos'!$D$9:$D$1508,$B19,'Lançamentos'!$B$9:$B$1508,"&gt;="&amp;M$5,'Lançamentos'!$B$9:$B$1508,"&lt;"&amp;EDATE(M$5,1)))</f>
        <v>0</v>
      </c>
      <c r="N19" s="75">
        <f>IF($B19="",0,SUMIFS('Lançamentos'!$F$9:$F$1508,'Lançamentos'!$D$9:$D$1508,$B19,'Lançamentos'!$B$9:$B$1508,"&gt;="&amp;N$5,'Lançamentos'!$B$9:$B$1508,"&lt;"&amp;EDATE(N$5,1)))</f>
        <v>0</v>
      </c>
      <c r="O19" s="76">
        <f>SUM(C19:N19)</f>
        <v>0</v>
      </c>
      <c r="P19" s="77">
        <f>IFERROR(O19/'Dados'!$C$9,0)</f>
        <v>0</v>
      </c>
      <c r="Q19" s="82">
        <f>IFERROR(O19/$O$34,0)</f>
        <v>0</v>
      </c>
    </row>
    <row r="20" spans="2:17" ht="16.5" customHeight="1">
      <c r="B20" s="65" t="str">
        <f>IF('Config'!$G$8="","",'Config'!$G$8)</f>
        <v>Alimentação</v>
      </c>
      <c r="C20" s="75">
        <f>IF($B20="",0,SUMIFS('Lançamentos'!$F$9:$F$1508,'Lançamentos'!$D$9:$D$1508,$B20,'Lançamentos'!$B$9:$B$1508,"&gt;="&amp;C$5,'Lançamentos'!$B$9:$B$1508,"&lt;"&amp;EDATE(C$5,1)))</f>
        <v>0</v>
      </c>
      <c r="D20" s="75">
        <f>IF($B20="",0,SUMIFS('Lançamentos'!$F$9:$F$1508,'Lançamentos'!$D$9:$D$1508,$B20,'Lançamentos'!$B$9:$B$1508,"&gt;="&amp;D$5,'Lançamentos'!$B$9:$B$1508,"&lt;"&amp;EDATE(D$5,1)))</f>
        <v>0</v>
      </c>
      <c r="E20" s="75">
        <f>IF($B20="",0,SUMIFS('Lançamentos'!$F$9:$F$1508,'Lançamentos'!$D$9:$D$1508,$B20,'Lançamentos'!$B$9:$B$1508,"&gt;="&amp;E$5,'Lançamentos'!$B$9:$B$1508,"&lt;"&amp;EDATE(E$5,1)))</f>
        <v>0</v>
      </c>
      <c r="F20" s="75">
        <f>IF($B20="",0,SUMIFS('Lançamentos'!$F$9:$F$1508,'Lançamentos'!$D$9:$D$1508,$B20,'Lançamentos'!$B$9:$B$1508,"&gt;="&amp;F$5,'Lançamentos'!$B$9:$B$1508,"&lt;"&amp;EDATE(F$5,1)))</f>
        <v>0</v>
      </c>
      <c r="G20" s="75">
        <f>IF($B20="",0,SUMIFS('Lançamentos'!$F$9:$F$1508,'Lançamentos'!$D$9:$D$1508,$B20,'Lançamentos'!$B$9:$B$1508,"&gt;="&amp;G$5,'Lançamentos'!$B$9:$B$1508,"&lt;"&amp;EDATE(G$5,1)))</f>
        <v>0</v>
      </c>
      <c r="H20" s="75">
        <f>IF($B20="",0,SUMIFS('Lançamentos'!$F$9:$F$1508,'Lançamentos'!$D$9:$D$1508,$B20,'Lançamentos'!$B$9:$B$1508,"&gt;="&amp;H$5,'Lançamentos'!$B$9:$B$1508,"&lt;"&amp;EDATE(H$5,1)))</f>
        <v>0</v>
      </c>
      <c r="I20" s="75">
        <f>IF($B20="",0,SUMIFS('Lançamentos'!$F$9:$F$1508,'Lançamentos'!$D$9:$D$1508,$B20,'Lançamentos'!$B$9:$B$1508,"&gt;="&amp;I$5,'Lançamentos'!$B$9:$B$1508,"&lt;"&amp;EDATE(I$5,1)))</f>
        <v>0</v>
      </c>
      <c r="J20" s="75">
        <f>IF($B20="",0,SUMIFS('Lançamentos'!$F$9:$F$1508,'Lançamentos'!$D$9:$D$1508,$B20,'Lançamentos'!$B$9:$B$1508,"&gt;="&amp;J$5,'Lançamentos'!$B$9:$B$1508,"&lt;"&amp;EDATE(J$5,1)))</f>
        <v>0</v>
      </c>
      <c r="K20" s="75">
        <f>IF($B20="",0,SUMIFS('Lançamentos'!$F$9:$F$1508,'Lançamentos'!$D$9:$D$1508,$B20,'Lançamentos'!$B$9:$B$1508,"&gt;="&amp;K$5,'Lançamentos'!$B$9:$B$1508,"&lt;"&amp;EDATE(K$5,1)))</f>
        <v>0</v>
      </c>
      <c r="L20" s="75">
        <f>IF($B20="",0,SUMIFS('Lançamentos'!$F$9:$F$1508,'Lançamentos'!$D$9:$D$1508,$B20,'Lançamentos'!$B$9:$B$1508,"&gt;="&amp;L$5,'Lançamentos'!$B$9:$B$1508,"&lt;"&amp;EDATE(L$5,1)))</f>
        <v>0</v>
      </c>
      <c r="M20" s="75">
        <f>IF($B20="",0,SUMIFS('Lançamentos'!$F$9:$F$1508,'Lançamentos'!$D$9:$D$1508,$B20,'Lançamentos'!$B$9:$B$1508,"&gt;="&amp;M$5,'Lançamentos'!$B$9:$B$1508,"&lt;"&amp;EDATE(M$5,1)))</f>
        <v>0</v>
      </c>
      <c r="N20" s="75">
        <f>IF($B20="",0,SUMIFS('Lançamentos'!$F$9:$F$1508,'Lançamentos'!$D$9:$D$1508,$B20,'Lançamentos'!$B$9:$B$1508,"&gt;="&amp;N$5,'Lançamentos'!$B$9:$B$1508,"&lt;"&amp;EDATE(N$5,1)))</f>
        <v>0</v>
      </c>
      <c r="O20" s="76">
        <f>SUM(C20:N20)</f>
        <v>0</v>
      </c>
      <c r="P20" s="77">
        <f>IFERROR(O20/'Dados'!$C$9,0)</f>
        <v>0</v>
      </c>
      <c r="Q20" s="82">
        <f>IFERROR(O20/$O$34,0)</f>
        <v>0</v>
      </c>
    </row>
    <row r="21" spans="2:17" ht="16.5" customHeight="1">
      <c r="B21" s="65" t="str">
        <f>IF('Config'!$G$9="","",'Config'!$G$9)</f>
        <v>Transporte</v>
      </c>
      <c r="C21" s="75">
        <f>IF($B21="",0,SUMIFS('Lançamentos'!$F$9:$F$1508,'Lançamentos'!$D$9:$D$1508,$B21,'Lançamentos'!$B$9:$B$1508,"&gt;="&amp;C$5,'Lançamentos'!$B$9:$B$1508,"&lt;"&amp;EDATE(C$5,1)))</f>
        <v>0</v>
      </c>
      <c r="D21" s="75">
        <f>IF($B21="",0,SUMIFS('Lançamentos'!$F$9:$F$1508,'Lançamentos'!$D$9:$D$1508,$B21,'Lançamentos'!$B$9:$B$1508,"&gt;="&amp;D$5,'Lançamentos'!$B$9:$B$1508,"&lt;"&amp;EDATE(D$5,1)))</f>
        <v>0</v>
      </c>
      <c r="E21" s="75">
        <f>IF($B21="",0,SUMIFS('Lançamentos'!$F$9:$F$1508,'Lançamentos'!$D$9:$D$1508,$B21,'Lançamentos'!$B$9:$B$1508,"&gt;="&amp;E$5,'Lançamentos'!$B$9:$B$1508,"&lt;"&amp;EDATE(E$5,1)))</f>
        <v>0</v>
      </c>
      <c r="F21" s="75">
        <f>IF($B21="",0,SUMIFS('Lançamentos'!$F$9:$F$1508,'Lançamentos'!$D$9:$D$1508,$B21,'Lançamentos'!$B$9:$B$1508,"&gt;="&amp;F$5,'Lançamentos'!$B$9:$B$1508,"&lt;"&amp;EDATE(F$5,1)))</f>
        <v>0</v>
      </c>
      <c r="G21" s="75">
        <f>IF($B21="",0,SUMIFS('Lançamentos'!$F$9:$F$1508,'Lançamentos'!$D$9:$D$1508,$B21,'Lançamentos'!$B$9:$B$1508,"&gt;="&amp;G$5,'Lançamentos'!$B$9:$B$1508,"&lt;"&amp;EDATE(G$5,1)))</f>
        <v>0</v>
      </c>
      <c r="H21" s="75">
        <f>IF($B21="",0,SUMIFS('Lançamentos'!$F$9:$F$1508,'Lançamentos'!$D$9:$D$1508,$B21,'Lançamentos'!$B$9:$B$1508,"&gt;="&amp;H$5,'Lançamentos'!$B$9:$B$1508,"&lt;"&amp;EDATE(H$5,1)))</f>
        <v>0</v>
      </c>
      <c r="I21" s="75">
        <f>IF($B21="",0,SUMIFS('Lançamentos'!$F$9:$F$1508,'Lançamentos'!$D$9:$D$1508,$B21,'Lançamentos'!$B$9:$B$1508,"&gt;="&amp;I$5,'Lançamentos'!$B$9:$B$1508,"&lt;"&amp;EDATE(I$5,1)))</f>
        <v>0</v>
      </c>
      <c r="J21" s="75">
        <f>IF($B21="",0,SUMIFS('Lançamentos'!$F$9:$F$1508,'Lançamentos'!$D$9:$D$1508,$B21,'Lançamentos'!$B$9:$B$1508,"&gt;="&amp;J$5,'Lançamentos'!$B$9:$B$1508,"&lt;"&amp;EDATE(J$5,1)))</f>
        <v>0</v>
      </c>
      <c r="K21" s="75">
        <f>IF($B21="",0,SUMIFS('Lançamentos'!$F$9:$F$1508,'Lançamentos'!$D$9:$D$1508,$B21,'Lançamentos'!$B$9:$B$1508,"&gt;="&amp;K$5,'Lançamentos'!$B$9:$B$1508,"&lt;"&amp;EDATE(K$5,1)))</f>
        <v>0</v>
      </c>
      <c r="L21" s="75">
        <f>IF($B21="",0,SUMIFS('Lançamentos'!$F$9:$F$1508,'Lançamentos'!$D$9:$D$1508,$B21,'Lançamentos'!$B$9:$B$1508,"&gt;="&amp;L$5,'Lançamentos'!$B$9:$B$1508,"&lt;"&amp;EDATE(L$5,1)))</f>
        <v>0</v>
      </c>
      <c r="M21" s="75">
        <f>IF($B21="",0,SUMIFS('Lançamentos'!$F$9:$F$1508,'Lançamentos'!$D$9:$D$1508,$B21,'Lançamentos'!$B$9:$B$1508,"&gt;="&amp;M$5,'Lançamentos'!$B$9:$B$1508,"&lt;"&amp;EDATE(M$5,1)))</f>
        <v>0</v>
      </c>
      <c r="N21" s="75">
        <f>IF($B21="",0,SUMIFS('Lançamentos'!$F$9:$F$1508,'Lançamentos'!$D$9:$D$1508,$B21,'Lançamentos'!$B$9:$B$1508,"&gt;="&amp;N$5,'Lançamentos'!$B$9:$B$1508,"&lt;"&amp;EDATE(N$5,1)))</f>
        <v>0</v>
      </c>
      <c r="O21" s="76">
        <f>SUM(C21:N21)</f>
        <v>0</v>
      </c>
      <c r="P21" s="77">
        <f>IFERROR(O21/'Dados'!$C$9,0)</f>
        <v>0</v>
      </c>
      <c r="Q21" s="82">
        <f>IFERROR(O21/$O$34,0)</f>
        <v>0</v>
      </c>
    </row>
    <row r="22" spans="2:17" ht="16.5" customHeight="1">
      <c r="B22" s="65" t="str">
        <f>IF('Config'!$G$10="","",'Config'!$G$10)</f>
        <v>Saúde</v>
      </c>
      <c r="C22" s="75">
        <f>IF($B22="",0,SUMIFS('Lançamentos'!$F$9:$F$1508,'Lançamentos'!$D$9:$D$1508,$B22,'Lançamentos'!$B$9:$B$1508,"&gt;="&amp;C$5,'Lançamentos'!$B$9:$B$1508,"&lt;"&amp;EDATE(C$5,1)))</f>
        <v>0</v>
      </c>
      <c r="D22" s="75">
        <f>IF($B22="",0,SUMIFS('Lançamentos'!$F$9:$F$1508,'Lançamentos'!$D$9:$D$1508,$B22,'Lançamentos'!$B$9:$B$1508,"&gt;="&amp;D$5,'Lançamentos'!$B$9:$B$1508,"&lt;"&amp;EDATE(D$5,1)))</f>
        <v>0</v>
      </c>
      <c r="E22" s="75">
        <f>IF($B22="",0,SUMIFS('Lançamentos'!$F$9:$F$1508,'Lançamentos'!$D$9:$D$1508,$B22,'Lançamentos'!$B$9:$B$1508,"&gt;="&amp;E$5,'Lançamentos'!$B$9:$B$1508,"&lt;"&amp;EDATE(E$5,1)))</f>
        <v>0</v>
      </c>
      <c r="F22" s="75">
        <f>IF($B22="",0,SUMIFS('Lançamentos'!$F$9:$F$1508,'Lançamentos'!$D$9:$D$1508,$B22,'Lançamentos'!$B$9:$B$1508,"&gt;="&amp;F$5,'Lançamentos'!$B$9:$B$1508,"&lt;"&amp;EDATE(F$5,1)))</f>
        <v>0</v>
      </c>
      <c r="G22" s="75">
        <f>IF($B22="",0,SUMIFS('Lançamentos'!$F$9:$F$1508,'Lançamentos'!$D$9:$D$1508,$B22,'Lançamentos'!$B$9:$B$1508,"&gt;="&amp;G$5,'Lançamentos'!$B$9:$B$1508,"&lt;"&amp;EDATE(G$5,1)))</f>
        <v>0</v>
      </c>
      <c r="H22" s="75">
        <f>IF($B22="",0,SUMIFS('Lançamentos'!$F$9:$F$1508,'Lançamentos'!$D$9:$D$1508,$B22,'Lançamentos'!$B$9:$B$1508,"&gt;="&amp;H$5,'Lançamentos'!$B$9:$B$1508,"&lt;"&amp;EDATE(H$5,1)))</f>
        <v>0</v>
      </c>
      <c r="I22" s="75">
        <f>IF($B22="",0,SUMIFS('Lançamentos'!$F$9:$F$1508,'Lançamentos'!$D$9:$D$1508,$B22,'Lançamentos'!$B$9:$B$1508,"&gt;="&amp;I$5,'Lançamentos'!$B$9:$B$1508,"&lt;"&amp;EDATE(I$5,1)))</f>
        <v>0</v>
      </c>
      <c r="J22" s="75">
        <f>IF($B22="",0,SUMIFS('Lançamentos'!$F$9:$F$1508,'Lançamentos'!$D$9:$D$1508,$B22,'Lançamentos'!$B$9:$B$1508,"&gt;="&amp;J$5,'Lançamentos'!$B$9:$B$1508,"&lt;"&amp;EDATE(J$5,1)))</f>
        <v>0</v>
      </c>
      <c r="K22" s="75">
        <f>IF($B22="",0,SUMIFS('Lançamentos'!$F$9:$F$1508,'Lançamentos'!$D$9:$D$1508,$B22,'Lançamentos'!$B$9:$B$1508,"&gt;="&amp;K$5,'Lançamentos'!$B$9:$B$1508,"&lt;"&amp;EDATE(K$5,1)))</f>
        <v>0</v>
      </c>
      <c r="L22" s="75">
        <f>IF($B22="",0,SUMIFS('Lançamentos'!$F$9:$F$1508,'Lançamentos'!$D$9:$D$1508,$B22,'Lançamentos'!$B$9:$B$1508,"&gt;="&amp;L$5,'Lançamentos'!$B$9:$B$1508,"&lt;"&amp;EDATE(L$5,1)))</f>
        <v>0</v>
      </c>
      <c r="M22" s="75">
        <f>IF($B22="",0,SUMIFS('Lançamentos'!$F$9:$F$1508,'Lançamentos'!$D$9:$D$1508,$B22,'Lançamentos'!$B$9:$B$1508,"&gt;="&amp;M$5,'Lançamentos'!$B$9:$B$1508,"&lt;"&amp;EDATE(M$5,1)))</f>
        <v>0</v>
      </c>
      <c r="N22" s="75">
        <f>IF($B22="",0,SUMIFS('Lançamentos'!$F$9:$F$1508,'Lançamentos'!$D$9:$D$1508,$B22,'Lançamentos'!$B$9:$B$1508,"&gt;="&amp;N$5,'Lançamentos'!$B$9:$B$1508,"&lt;"&amp;EDATE(N$5,1)))</f>
        <v>0</v>
      </c>
      <c r="O22" s="76">
        <f>SUM(C22:N22)</f>
        <v>0</v>
      </c>
      <c r="P22" s="77">
        <f>IFERROR(O22/'Dados'!$C$9,0)</f>
        <v>0</v>
      </c>
      <c r="Q22" s="82">
        <f>IFERROR(O22/$O$34,0)</f>
        <v>0</v>
      </c>
    </row>
    <row r="23" spans="2:17" ht="16.5" customHeight="1">
      <c r="B23" s="65" t="str">
        <f>IF('Config'!$G$11="","",'Config'!$G$11)</f>
        <v>Educação</v>
      </c>
      <c r="C23" s="75">
        <f>IF($B23="",0,SUMIFS('Lançamentos'!$F$9:$F$1508,'Lançamentos'!$D$9:$D$1508,$B23,'Lançamentos'!$B$9:$B$1508,"&gt;="&amp;C$5,'Lançamentos'!$B$9:$B$1508,"&lt;"&amp;EDATE(C$5,1)))</f>
        <v>0</v>
      </c>
      <c r="D23" s="75">
        <f>IF($B23="",0,SUMIFS('Lançamentos'!$F$9:$F$1508,'Lançamentos'!$D$9:$D$1508,$B23,'Lançamentos'!$B$9:$B$1508,"&gt;="&amp;D$5,'Lançamentos'!$B$9:$B$1508,"&lt;"&amp;EDATE(D$5,1)))</f>
        <v>0</v>
      </c>
      <c r="E23" s="75">
        <f>IF($B23="",0,SUMIFS('Lançamentos'!$F$9:$F$1508,'Lançamentos'!$D$9:$D$1508,$B23,'Lançamentos'!$B$9:$B$1508,"&gt;="&amp;E$5,'Lançamentos'!$B$9:$B$1508,"&lt;"&amp;EDATE(E$5,1)))</f>
        <v>0</v>
      </c>
      <c r="F23" s="75">
        <f>IF($B23="",0,SUMIFS('Lançamentos'!$F$9:$F$1508,'Lançamentos'!$D$9:$D$1508,$B23,'Lançamentos'!$B$9:$B$1508,"&gt;="&amp;F$5,'Lançamentos'!$B$9:$B$1508,"&lt;"&amp;EDATE(F$5,1)))</f>
        <v>0</v>
      </c>
      <c r="G23" s="75">
        <f>IF($B23="",0,SUMIFS('Lançamentos'!$F$9:$F$1508,'Lançamentos'!$D$9:$D$1508,$B23,'Lançamentos'!$B$9:$B$1508,"&gt;="&amp;G$5,'Lançamentos'!$B$9:$B$1508,"&lt;"&amp;EDATE(G$5,1)))</f>
        <v>0</v>
      </c>
      <c r="H23" s="75">
        <f>IF($B23="",0,SUMIFS('Lançamentos'!$F$9:$F$1508,'Lançamentos'!$D$9:$D$1508,$B23,'Lançamentos'!$B$9:$B$1508,"&gt;="&amp;H$5,'Lançamentos'!$B$9:$B$1508,"&lt;"&amp;EDATE(H$5,1)))</f>
        <v>0</v>
      </c>
      <c r="I23" s="75">
        <f>IF($B23="",0,SUMIFS('Lançamentos'!$F$9:$F$1508,'Lançamentos'!$D$9:$D$1508,$B23,'Lançamentos'!$B$9:$B$1508,"&gt;="&amp;I$5,'Lançamentos'!$B$9:$B$1508,"&lt;"&amp;EDATE(I$5,1)))</f>
        <v>0</v>
      </c>
      <c r="J23" s="75">
        <f>IF($B23="",0,SUMIFS('Lançamentos'!$F$9:$F$1508,'Lançamentos'!$D$9:$D$1508,$B23,'Lançamentos'!$B$9:$B$1508,"&gt;="&amp;J$5,'Lançamentos'!$B$9:$B$1508,"&lt;"&amp;EDATE(J$5,1)))</f>
        <v>0</v>
      </c>
      <c r="K23" s="75">
        <f>IF($B23="",0,SUMIFS('Lançamentos'!$F$9:$F$1508,'Lançamentos'!$D$9:$D$1508,$B23,'Lançamentos'!$B$9:$B$1508,"&gt;="&amp;K$5,'Lançamentos'!$B$9:$B$1508,"&lt;"&amp;EDATE(K$5,1)))</f>
        <v>0</v>
      </c>
      <c r="L23" s="75">
        <f>IF($B23="",0,SUMIFS('Lançamentos'!$F$9:$F$1508,'Lançamentos'!$D$9:$D$1508,$B23,'Lançamentos'!$B$9:$B$1508,"&gt;="&amp;L$5,'Lançamentos'!$B$9:$B$1508,"&lt;"&amp;EDATE(L$5,1)))</f>
        <v>0</v>
      </c>
      <c r="M23" s="75">
        <f>IF($B23="",0,SUMIFS('Lançamentos'!$F$9:$F$1508,'Lançamentos'!$D$9:$D$1508,$B23,'Lançamentos'!$B$9:$B$1508,"&gt;="&amp;M$5,'Lançamentos'!$B$9:$B$1508,"&lt;"&amp;EDATE(M$5,1)))</f>
        <v>0</v>
      </c>
      <c r="N23" s="75">
        <f>IF($B23="",0,SUMIFS('Lançamentos'!$F$9:$F$1508,'Lançamentos'!$D$9:$D$1508,$B23,'Lançamentos'!$B$9:$B$1508,"&gt;="&amp;N$5,'Lançamentos'!$B$9:$B$1508,"&lt;"&amp;EDATE(N$5,1)))</f>
        <v>0</v>
      </c>
      <c r="O23" s="76">
        <f>SUM(C23:N23)</f>
        <v>0</v>
      </c>
      <c r="P23" s="77">
        <f>IFERROR(O23/'Dados'!$C$9,0)</f>
        <v>0</v>
      </c>
      <c r="Q23" s="82">
        <f>IFERROR(O23/$O$34,0)</f>
        <v>0</v>
      </c>
    </row>
    <row r="24" spans="2:17" ht="16.5" customHeight="1">
      <c r="B24" s="65" t="str">
        <f>IF('Config'!$G$12="","",'Config'!$G$12)</f>
        <v>Lazer</v>
      </c>
      <c r="C24" s="75">
        <f>IF($B24="",0,SUMIFS('Lançamentos'!$F$9:$F$1508,'Lançamentos'!$D$9:$D$1508,$B24,'Lançamentos'!$B$9:$B$1508,"&gt;="&amp;C$5,'Lançamentos'!$B$9:$B$1508,"&lt;"&amp;EDATE(C$5,1)))</f>
        <v>0</v>
      </c>
      <c r="D24" s="75">
        <f>IF($B24="",0,SUMIFS('Lançamentos'!$F$9:$F$1508,'Lançamentos'!$D$9:$D$1508,$B24,'Lançamentos'!$B$9:$B$1508,"&gt;="&amp;D$5,'Lançamentos'!$B$9:$B$1508,"&lt;"&amp;EDATE(D$5,1)))</f>
        <v>0</v>
      </c>
      <c r="E24" s="75">
        <f>IF($B24="",0,SUMIFS('Lançamentos'!$F$9:$F$1508,'Lançamentos'!$D$9:$D$1508,$B24,'Lançamentos'!$B$9:$B$1508,"&gt;="&amp;E$5,'Lançamentos'!$B$9:$B$1508,"&lt;"&amp;EDATE(E$5,1)))</f>
        <v>0</v>
      </c>
      <c r="F24" s="75">
        <f>IF($B24="",0,SUMIFS('Lançamentos'!$F$9:$F$1508,'Lançamentos'!$D$9:$D$1508,$B24,'Lançamentos'!$B$9:$B$1508,"&gt;="&amp;F$5,'Lançamentos'!$B$9:$B$1508,"&lt;"&amp;EDATE(F$5,1)))</f>
        <v>0</v>
      </c>
      <c r="G24" s="75">
        <f>IF($B24="",0,SUMIFS('Lançamentos'!$F$9:$F$1508,'Lançamentos'!$D$9:$D$1508,$B24,'Lançamentos'!$B$9:$B$1508,"&gt;="&amp;G$5,'Lançamentos'!$B$9:$B$1508,"&lt;"&amp;EDATE(G$5,1)))</f>
        <v>0</v>
      </c>
      <c r="H24" s="75">
        <f>IF($B24="",0,SUMIFS('Lançamentos'!$F$9:$F$1508,'Lançamentos'!$D$9:$D$1508,$B24,'Lançamentos'!$B$9:$B$1508,"&gt;="&amp;H$5,'Lançamentos'!$B$9:$B$1508,"&lt;"&amp;EDATE(H$5,1)))</f>
        <v>0</v>
      </c>
      <c r="I24" s="75">
        <f>IF($B24="",0,SUMIFS('Lançamentos'!$F$9:$F$1508,'Lançamentos'!$D$9:$D$1508,$B24,'Lançamentos'!$B$9:$B$1508,"&gt;="&amp;I$5,'Lançamentos'!$B$9:$B$1508,"&lt;"&amp;EDATE(I$5,1)))</f>
        <v>0</v>
      </c>
      <c r="J24" s="75">
        <f>IF($B24="",0,SUMIFS('Lançamentos'!$F$9:$F$1508,'Lançamentos'!$D$9:$D$1508,$B24,'Lançamentos'!$B$9:$B$1508,"&gt;="&amp;J$5,'Lançamentos'!$B$9:$B$1508,"&lt;"&amp;EDATE(J$5,1)))</f>
        <v>0</v>
      </c>
      <c r="K24" s="75">
        <f>IF($B24="",0,SUMIFS('Lançamentos'!$F$9:$F$1508,'Lançamentos'!$D$9:$D$1508,$B24,'Lançamentos'!$B$9:$B$1508,"&gt;="&amp;K$5,'Lançamentos'!$B$9:$B$1508,"&lt;"&amp;EDATE(K$5,1)))</f>
        <v>0</v>
      </c>
      <c r="L24" s="75">
        <f>IF($B24="",0,SUMIFS('Lançamentos'!$F$9:$F$1508,'Lançamentos'!$D$9:$D$1508,$B24,'Lançamentos'!$B$9:$B$1508,"&gt;="&amp;L$5,'Lançamentos'!$B$9:$B$1508,"&lt;"&amp;EDATE(L$5,1)))</f>
        <v>0</v>
      </c>
      <c r="M24" s="75">
        <f>IF($B24="",0,SUMIFS('Lançamentos'!$F$9:$F$1508,'Lançamentos'!$D$9:$D$1508,$B24,'Lançamentos'!$B$9:$B$1508,"&gt;="&amp;M$5,'Lançamentos'!$B$9:$B$1508,"&lt;"&amp;EDATE(M$5,1)))</f>
        <v>0</v>
      </c>
      <c r="N24" s="75">
        <f>IF($B24="",0,SUMIFS('Lançamentos'!$F$9:$F$1508,'Lançamentos'!$D$9:$D$1508,$B24,'Lançamentos'!$B$9:$B$1508,"&gt;="&amp;N$5,'Lançamentos'!$B$9:$B$1508,"&lt;"&amp;EDATE(N$5,1)))</f>
        <v>0</v>
      </c>
      <c r="O24" s="76">
        <f>SUM(C24:N24)</f>
        <v>0</v>
      </c>
      <c r="P24" s="77">
        <f>IFERROR(O24/'Dados'!$C$9,0)</f>
        <v>0</v>
      </c>
      <c r="Q24" s="82">
        <f>IFERROR(O24/$O$34,0)</f>
        <v>0</v>
      </c>
    </row>
    <row r="25" spans="2:17" ht="16.5" customHeight="1">
      <c r="B25" s="65" t="str">
        <f>IF('Config'!$G$13="","",'Config'!$G$13)</f>
        <v>Vestuário</v>
      </c>
      <c r="C25" s="75">
        <f>IF($B25="",0,SUMIFS('Lançamentos'!$F$9:$F$1508,'Lançamentos'!$D$9:$D$1508,$B25,'Lançamentos'!$B$9:$B$1508,"&gt;="&amp;C$5,'Lançamentos'!$B$9:$B$1508,"&lt;"&amp;EDATE(C$5,1)))</f>
        <v>0</v>
      </c>
      <c r="D25" s="75">
        <f>IF($B25="",0,SUMIFS('Lançamentos'!$F$9:$F$1508,'Lançamentos'!$D$9:$D$1508,$B25,'Lançamentos'!$B$9:$B$1508,"&gt;="&amp;D$5,'Lançamentos'!$B$9:$B$1508,"&lt;"&amp;EDATE(D$5,1)))</f>
        <v>0</v>
      </c>
      <c r="E25" s="75">
        <f>IF($B25="",0,SUMIFS('Lançamentos'!$F$9:$F$1508,'Lançamentos'!$D$9:$D$1508,$B25,'Lançamentos'!$B$9:$B$1508,"&gt;="&amp;E$5,'Lançamentos'!$B$9:$B$1508,"&lt;"&amp;EDATE(E$5,1)))</f>
        <v>0</v>
      </c>
      <c r="F25" s="75">
        <f>IF($B25="",0,SUMIFS('Lançamentos'!$F$9:$F$1508,'Lançamentos'!$D$9:$D$1508,$B25,'Lançamentos'!$B$9:$B$1508,"&gt;="&amp;F$5,'Lançamentos'!$B$9:$B$1508,"&lt;"&amp;EDATE(F$5,1)))</f>
        <v>0</v>
      </c>
      <c r="G25" s="75">
        <f>IF($B25="",0,SUMIFS('Lançamentos'!$F$9:$F$1508,'Lançamentos'!$D$9:$D$1508,$B25,'Lançamentos'!$B$9:$B$1508,"&gt;="&amp;G$5,'Lançamentos'!$B$9:$B$1508,"&lt;"&amp;EDATE(G$5,1)))</f>
        <v>0</v>
      </c>
      <c r="H25" s="75">
        <f>IF($B25="",0,SUMIFS('Lançamentos'!$F$9:$F$1508,'Lançamentos'!$D$9:$D$1508,$B25,'Lançamentos'!$B$9:$B$1508,"&gt;="&amp;H$5,'Lançamentos'!$B$9:$B$1508,"&lt;"&amp;EDATE(H$5,1)))</f>
        <v>0</v>
      </c>
      <c r="I25" s="75">
        <f>IF($B25="",0,SUMIFS('Lançamentos'!$F$9:$F$1508,'Lançamentos'!$D$9:$D$1508,$B25,'Lançamentos'!$B$9:$B$1508,"&gt;="&amp;I$5,'Lançamentos'!$B$9:$B$1508,"&lt;"&amp;EDATE(I$5,1)))</f>
        <v>0</v>
      </c>
      <c r="J25" s="75">
        <f>IF($B25="",0,SUMIFS('Lançamentos'!$F$9:$F$1508,'Lançamentos'!$D$9:$D$1508,$B25,'Lançamentos'!$B$9:$B$1508,"&gt;="&amp;J$5,'Lançamentos'!$B$9:$B$1508,"&lt;"&amp;EDATE(J$5,1)))</f>
        <v>0</v>
      </c>
      <c r="K25" s="75">
        <f>IF($B25="",0,SUMIFS('Lançamentos'!$F$9:$F$1508,'Lançamentos'!$D$9:$D$1508,$B25,'Lançamentos'!$B$9:$B$1508,"&gt;="&amp;K$5,'Lançamentos'!$B$9:$B$1508,"&lt;"&amp;EDATE(K$5,1)))</f>
        <v>0</v>
      </c>
      <c r="L25" s="75">
        <f>IF($B25="",0,SUMIFS('Lançamentos'!$F$9:$F$1508,'Lançamentos'!$D$9:$D$1508,$B25,'Lançamentos'!$B$9:$B$1508,"&gt;="&amp;L$5,'Lançamentos'!$B$9:$B$1508,"&lt;"&amp;EDATE(L$5,1)))</f>
        <v>0</v>
      </c>
      <c r="M25" s="75">
        <f>IF($B25="",0,SUMIFS('Lançamentos'!$F$9:$F$1508,'Lançamentos'!$D$9:$D$1508,$B25,'Lançamentos'!$B$9:$B$1508,"&gt;="&amp;M$5,'Lançamentos'!$B$9:$B$1508,"&lt;"&amp;EDATE(M$5,1)))</f>
        <v>0</v>
      </c>
      <c r="N25" s="75">
        <f>IF($B25="",0,SUMIFS('Lançamentos'!$F$9:$F$1508,'Lançamentos'!$D$9:$D$1508,$B25,'Lançamentos'!$B$9:$B$1508,"&gt;="&amp;N$5,'Lançamentos'!$B$9:$B$1508,"&lt;"&amp;EDATE(N$5,1)))</f>
        <v>0</v>
      </c>
      <c r="O25" s="76">
        <f>SUM(C25:N25)</f>
        <v>0</v>
      </c>
      <c r="P25" s="77">
        <f>IFERROR(O25/'Dados'!$C$9,0)</f>
        <v>0</v>
      </c>
      <c r="Q25" s="82">
        <f>IFERROR(O25/$O$34,0)</f>
        <v>0</v>
      </c>
    </row>
    <row r="26" spans="2:17" ht="16.5" customHeight="1">
      <c r="B26" s="65" t="str">
        <f>IF('Config'!$G$14="","",'Config'!$G$14)</f>
        <v>Assinaturas</v>
      </c>
      <c r="C26" s="75">
        <f>IF($B26="",0,SUMIFS('Lançamentos'!$F$9:$F$1508,'Lançamentos'!$D$9:$D$1508,$B26,'Lançamentos'!$B$9:$B$1508,"&gt;="&amp;C$5,'Lançamentos'!$B$9:$B$1508,"&lt;"&amp;EDATE(C$5,1)))</f>
        <v>0</v>
      </c>
      <c r="D26" s="75">
        <f>IF($B26="",0,SUMIFS('Lançamentos'!$F$9:$F$1508,'Lançamentos'!$D$9:$D$1508,$B26,'Lançamentos'!$B$9:$B$1508,"&gt;="&amp;D$5,'Lançamentos'!$B$9:$B$1508,"&lt;"&amp;EDATE(D$5,1)))</f>
        <v>0</v>
      </c>
      <c r="E26" s="75">
        <f>IF($B26="",0,SUMIFS('Lançamentos'!$F$9:$F$1508,'Lançamentos'!$D$9:$D$1508,$B26,'Lançamentos'!$B$9:$B$1508,"&gt;="&amp;E$5,'Lançamentos'!$B$9:$B$1508,"&lt;"&amp;EDATE(E$5,1)))</f>
        <v>0</v>
      </c>
      <c r="F26" s="75">
        <f>IF($B26="",0,SUMIFS('Lançamentos'!$F$9:$F$1508,'Lançamentos'!$D$9:$D$1508,$B26,'Lançamentos'!$B$9:$B$1508,"&gt;="&amp;F$5,'Lançamentos'!$B$9:$B$1508,"&lt;"&amp;EDATE(F$5,1)))</f>
        <v>0</v>
      </c>
      <c r="G26" s="75">
        <f>IF($B26="",0,SUMIFS('Lançamentos'!$F$9:$F$1508,'Lançamentos'!$D$9:$D$1508,$B26,'Lançamentos'!$B$9:$B$1508,"&gt;="&amp;G$5,'Lançamentos'!$B$9:$B$1508,"&lt;"&amp;EDATE(G$5,1)))</f>
        <v>0</v>
      </c>
      <c r="H26" s="75">
        <f>IF($B26="",0,SUMIFS('Lançamentos'!$F$9:$F$1508,'Lançamentos'!$D$9:$D$1508,$B26,'Lançamentos'!$B$9:$B$1508,"&gt;="&amp;H$5,'Lançamentos'!$B$9:$B$1508,"&lt;"&amp;EDATE(H$5,1)))</f>
        <v>0</v>
      </c>
      <c r="I26" s="75">
        <f>IF($B26="",0,SUMIFS('Lançamentos'!$F$9:$F$1508,'Lançamentos'!$D$9:$D$1508,$B26,'Lançamentos'!$B$9:$B$1508,"&gt;="&amp;I$5,'Lançamentos'!$B$9:$B$1508,"&lt;"&amp;EDATE(I$5,1)))</f>
        <v>0</v>
      </c>
      <c r="J26" s="75">
        <f>IF($B26="",0,SUMIFS('Lançamentos'!$F$9:$F$1508,'Lançamentos'!$D$9:$D$1508,$B26,'Lançamentos'!$B$9:$B$1508,"&gt;="&amp;J$5,'Lançamentos'!$B$9:$B$1508,"&lt;"&amp;EDATE(J$5,1)))</f>
        <v>0</v>
      </c>
      <c r="K26" s="75">
        <f>IF($B26="",0,SUMIFS('Lançamentos'!$F$9:$F$1508,'Lançamentos'!$D$9:$D$1508,$B26,'Lançamentos'!$B$9:$B$1508,"&gt;="&amp;K$5,'Lançamentos'!$B$9:$B$1508,"&lt;"&amp;EDATE(K$5,1)))</f>
        <v>0</v>
      </c>
      <c r="L26" s="75">
        <f>IF($B26="",0,SUMIFS('Lançamentos'!$F$9:$F$1508,'Lançamentos'!$D$9:$D$1508,$B26,'Lançamentos'!$B$9:$B$1508,"&gt;="&amp;L$5,'Lançamentos'!$B$9:$B$1508,"&lt;"&amp;EDATE(L$5,1)))</f>
        <v>0</v>
      </c>
      <c r="M26" s="75">
        <f>IF($B26="",0,SUMIFS('Lançamentos'!$F$9:$F$1508,'Lançamentos'!$D$9:$D$1508,$B26,'Lançamentos'!$B$9:$B$1508,"&gt;="&amp;M$5,'Lançamentos'!$B$9:$B$1508,"&lt;"&amp;EDATE(M$5,1)))</f>
        <v>0</v>
      </c>
      <c r="N26" s="75">
        <f>IF($B26="",0,SUMIFS('Lançamentos'!$F$9:$F$1508,'Lançamentos'!$D$9:$D$1508,$B26,'Lançamentos'!$B$9:$B$1508,"&gt;="&amp;N$5,'Lançamentos'!$B$9:$B$1508,"&lt;"&amp;EDATE(N$5,1)))</f>
        <v>0</v>
      </c>
      <c r="O26" s="76">
        <f>SUM(C26:N26)</f>
        <v>0</v>
      </c>
      <c r="P26" s="77">
        <f>IFERROR(O26/'Dados'!$C$9,0)</f>
        <v>0</v>
      </c>
      <c r="Q26" s="82">
        <f>IFERROR(O26/$O$34,0)</f>
        <v>0</v>
      </c>
    </row>
    <row r="27" spans="2:17" ht="16.5" customHeight="1">
      <c r="B27" s="65" t="str">
        <f>IF('Config'!$G$15="","",'Config'!$G$15)</f>
        <v>Cuidados pessoais</v>
      </c>
      <c r="C27" s="75">
        <f>IF($B27="",0,SUMIFS('Lançamentos'!$F$9:$F$1508,'Lançamentos'!$D$9:$D$1508,$B27,'Lançamentos'!$B$9:$B$1508,"&gt;="&amp;C$5,'Lançamentos'!$B$9:$B$1508,"&lt;"&amp;EDATE(C$5,1)))</f>
        <v>0</v>
      </c>
      <c r="D27" s="75">
        <f>IF($B27="",0,SUMIFS('Lançamentos'!$F$9:$F$1508,'Lançamentos'!$D$9:$D$1508,$B27,'Lançamentos'!$B$9:$B$1508,"&gt;="&amp;D$5,'Lançamentos'!$B$9:$B$1508,"&lt;"&amp;EDATE(D$5,1)))</f>
        <v>0</v>
      </c>
      <c r="E27" s="75">
        <f>IF($B27="",0,SUMIFS('Lançamentos'!$F$9:$F$1508,'Lançamentos'!$D$9:$D$1508,$B27,'Lançamentos'!$B$9:$B$1508,"&gt;="&amp;E$5,'Lançamentos'!$B$9:$B$1508,"&lt;"&amp;EDATE(E$5,1)))</f>
        <v>0</v>
      </c>
      <c r="F27" s="75">
        <f>IF($B27="",0,SUMIFS('Lançamentos'!$F$9:$F$1508,'Lançamentos'!$D$9:$D$1508,$B27,'Lançamentos'!$B$9:$B$1508,"&gt;="&amp;F$5,'Lançamentos'!$B$9:$B$1508,"&lt;"&amp;EDATE(F$5,1)))</f>
        <v>0</v>
      </c>
      <c r="G27" s="75">
        <f>IF($B27="",0,SUMIFS('Lançamentos'!$F$9:$F$1508,'Lançamentos'!$D$9:$D$1508,$B27,'Lançamentos'!$B$9:$B$1508,"&gt;="&amp;G$5,'Lançamentos'!$B$9:$B$1508,"&lt;"&amp;EDATE(G$5,1)))</f>
        <v>0</v>
      </c>
      <c r="H27" s="75">
        <f>IF($B27="",0,SUMIFS('Lançamentos'!$F$9:$F$1508,'Lançamentos'!$D$9:$D$1508,$B27,'Lançamentos'!$B$9:$B$1508,"&gt;="&amp;H$5,'Lançamentos'!$B$9:$B$1508,"&lt;"&amp;EDATE(H$5,1)))</f>
        <v>0</v>
      </c>
      <c r="I27" s="75">
        <f>IF($B27="",0,SUMIFS('Lançamentos'!$F$9:$F$1508,'Lançamentos'!$D$9:$D$1508,$B27,'Lançamentos'!$B$9:$B$1508,"&gt;="&amp;I$5,'Lançamentos'!$B$9:$B$1508,"&lt;"&amp;EDATE(I$5,1)))</f>
        <v>0</v>
      </c>
      <c r="J27" s="75">
        <f>IF($B27="",0,SUMIFS('Lançamentos'!$F$9:$F$1508,'Lançamentos'!$D$9:$D$1508,$B27,'Lançamentos'!$B$9:$B$1508,"&gt;="&amp;J$5,'Lançamentos'!$B$9:$B$1508,"&lt;"&amp;EDATE(J$5,1)))</f>
        <v>0</v>
      </c>
      <c r="K27" s="75">
        <f>IF($B27="",0,SUMIFS('Lançamentos'!$F$9:$F$1508,'Lançamentos'!$D$9:$D$1508,$B27,'Lançamentos'!$B$9:$B$1508,"&gt;="&amp;K$5,'Lançamentos'!$B$9:$B$1508,"&lt;"&amp;EDATE(K$5,1)))</f>
        <v>0</v>
      </c>
      <c r="L27" s="75">
        <f>IF($B27="",0,SUMIFS('Lançamentos'!$F$9:$F$1508,'Lançamentos'!$D$9:$D$1508,$B27,'Lançamentos'!$B$9:$B$1508,"&gt;="&amp;L$5,'Lançamentos'!$B$9:$B$1508,"&lt;"&amp;EDATE(L$5,1)))</f>
        <v>0</v>
      </c>
      <c r="M27" s="75">
        <f>IF($B27="",0,SUMIFS('Lançamentos'!$F$9:$F$1508,'Lançamentos'!$D$9:$D$1508,$B27,'Lançamentos'!$B$9:$B$1508,"&gt;="&amp;M$5,'Lançamentos'!$B$9:$B$1508,"&lt;"&amp;EDATE(M$5,1)))</f>
        <v>0</v>
      </c>
      <c r="N27" s="75">
        <f>IF($B27="",0,SUMIFS('Lançamentos'!$F$9:$F$1508,'Lançamentos'!$D$9:$D$1508,$B27,'Lançamentos'!$B$9:$B$1508,"&gt;="&amp;N$5,'Lançamentos'!$B$9:$B$1508,"&lt;"&amp;EDATE(N$5,1)))</f>
        <v>0</v>
      </c>
      <c r="O27" s="76">
        <f>SUM(C27:N27)</f>
        <v>0</v>
      </c>
      <c r="P27" s="77">
        <f>IFERROR(O27/'Dados'!$C$9,0)</f>
        <v>0</v>
      </c>
      <c r="Q27" s="82">
        <f>IFERROR(O27/$O$34,0)</f>
        <v>0</v>
      </c>
    </row>
    <row r="28" spans="2:17" ht="16.5" customHeight="1">
      <c r="B28" s="65" t="str">
        <f>IF('Config'!$G$16="","",'Config'!$G$16)</f>
        <v>Pets</v>
      </c>
      <c r="C28" s="75">
        <f>IF($B28="",0,SUMIFS('Lançamentos'!$F$9:$F$1508,'Lançamentos'!$D$9:$D$1508,$B28,'Lançamentos'!$B$9:$B$1508,"&gt;="&amp;C$5,'Lançamentos'!$B$9:$B$1508,"&lt;"&amp;EDATE(C$5,1)))</f>
        <v>0</v>
      </c>
      <c r="D28" s="75">
        <f>IF($B28="",0,SUMIFS('Lançamentos'!$F$9:$F$1508,'Lançamentos'!$D$9:$D$1508,$B28,'Lançamentos'!$B$9:$B$1508,"&gt;="&amp;D$5,'Lançamentos'!$B$9:$B$1508,"&lt;"&amp;EDATE(D$5,1)))</f>
        <v>0</v>
      </c>
      <c r="E28" s="75">
        <f>IF($B28="",0,SUMIFS('Lançamentos'!$F$9:$F$1508,'Lançamentos'!$D$9:$D$1508,$B28,'Lançamentos'!$B$9:$B$1508,"&gt;="&amp;E$5,'Lançamentos'!$B$9:$B$1508,"&lt;"&amp;EDATE(E$5,1)))</f>
        <v>0</v>
      </c>
      <c r="F28" s="75">
        <f>IF($B28="",0,SUMIFS('Lançamentos'!$F$9:$F$1508,'Lançamentos'!$D$9:$D$1508,$B28,'Lançamentos'!$B$9:$B$1508,"&gt;="&amp;F$5,'Lançamentos'!$B$9:$B$1508,"&lt;"&amp;EDATE(F$5,1)))</f>
        <v>0</v>
      </c>
      <c r="G28" s="75">
        <f>IF($B28="",0,SUMIFS('Lançamentos'!$F$9:$F$1508,'Lançamentos'!$D$9:$D$1508,$B28,'Lançamentos'!$B$9:$B$1508,"&gt;="&amp;G$5,'Lançamentos'!$B$9:$B$1508,"&lt;"&amp;EDATE(G$5,1)))</f>
        <v>0</v>
      </c>
      <c r="H28" s="75">
        <f>IF($B28="",0,SUMIFS('Lançamentos'!$F$9:$F$1508,'Lançamentos'!$D$9:$D$1508,$B28,'Lançamentos'!$B$9:$B$1508,"&gt;="&amp;H$5,'Lançamentos'!$B$9:$B$1508,"&lt;"&amp;EDATE(H$5,1)))</f>
        <v>0</v>
      </c>
      <c r="I28" s="75">
        <f>IF($B28="",0,SUMIFS('Lançamentos'!$F$9:$F$1508,'Lançamentos'!$D$9:$D$1508,$B28,'Lançamentos'!$B$9:$B$1508,"&gt;="&amp;I$5,'Lançamentos'!$B$9:$B$1508,"&lt;"&amp;EDATE(I$5,1)))</f>
        <v>0</v>
      </c>
      <c r="J28" s="75">
        <f>IF($B28="",0,SUMIFS('Lançamentos'!$F$9:$F$1508,'Lançamentos'!$D$9:$D$1508,$B28,'Lançamentos'!$B$9:$B$1508,"&gt;="&amp;J$5,'Lançamentos'!$B$9:$B$1508,"&lt;"&amp;EDATE(J$5,1)))</f>
        <v>0</v>
      </c>
      <c r="K28" s="75">
        <f>IF($B28="",0,SUMIFS('Lançamentos'!$F$9:$F$1508,'Lançamentos'!$D$9:$D$1508,$B28,'Lançamentos'!$B$9:$B$1508,"&gt;="&amp;K$5,'Lançamentos'!$B$9:$B$1508,"&lt;"&amp;EDATE(K$5,1)))</f>
        <v>0</v>
      </c>
      <c r="L28" s="75">
        <f>IF($B28="",0,SUMIFS('Lançamentos'!$F$9:$F$1508,'Lançamentos'!$D$9:$D$1508,$B28,'Lançamentos'!$B$9:$B$1508,"&gt;="&amp;L$5,'Lançamentos'!$B$9:$B$1508,"&lt;"&amp;EDATE(L$5,1)))</f>
        <v>0</v>
      </c>
      <c r="M28" s="75">
        <f>IF($B28="",0,SUMIFS('Lançamentos'!$F$9:$F$1508,'Lançamentos'!$D$9:$D$1508,$B28,'Lançamentos'!$B$9:$B$1508,"&gt;="&amp;M$5,'Lançamentos'!$B$9:$B$1508,"&lt;"&amp;EDATE(M$5,1)))</f>
        <v>0</v>
      </c>
      <c r="N28" s="75">
        <f>IF($B28="",0,SUMIFS('Lançamentos'!$F$9:$F$1508,'Lançamentos'!$D$9:$D$1508,$B28,'Lançamentos'!$B$9:$B$1508,"&gt;="&amp;N$5,'Lançamentos'!$B$9:$B$1508,"&lt;"&amp;EDATE(N$5,1)))</f>
        <v>0</v>
      </c>
      <c r="O28" s="76">
        <f>SUM(C28:N28)</f>
        <v>0</v>
      </c>
      <c r="P28" s="77">
        <f>IFERROR(O28/'Dados'!$C$9,0)</f>
        <v>0</v>
      </c>
      <c r="Q28" s="82">
        <f>IFERROR(O28/$O$34,0)</f>
        <v>0</v>
      </c>
    </row>
    <row r="29" spans="2:17" ht="16.5" customHeight="1">
      <c r="B29" s="65" t="str">
        <f>IF('Config'!$G$17="","",'Config'!$G$17)</f>
        <v>Presentes e doações</v>
      </c>
      <c r="C29" s="75">
        <f>IF($B29="",0,SUMIFS('Lançamentos'!$F$9:$F$1508,'Lançamentos'!$D$9:$D$1508,$B29,'Lançamentos'!$B$9:$B$1508,"&gt;="&amp;C$5,'Lançamentos'!$B$9:$B$1508,"&lt;"&amp;EDATE(C$5,1)))</f>
        <v>0</v>
      </c>
      <c r="D29" s="75">
        <f>IF($B29="",0,SUMIFS('Lançamentos'!$F$9:$F$1508,'Lançamentos'!$D$9:$D$1508,$B29,'Lançamentos'!$B$9:$B$1508,"&gt;="&amp;D$5,'Lançamentos'!$B$9:$B$1508,"&lt;"&amp;EDATE(D$5,1)))</f>
        <v>0</v>
      </c>
      <c r="E29" s="75">
        <f>IF($B29="",0,SUMIFS('Lançamentos'!$F$9:$F$1508,'Lançamentos'!$D$9:$D$1508,$B29,'Lançamentos'!$B$9:$B$1508,"&gt;="&amp;E$5,'Lançamentos'!$B$9:$B$1508,"&lt;"&amp;EDATE(E$5,1)))</f>
        <v>0</v>
      </c>
      <c r="F29" s="75">
        <f>IF($B29="",0,SUMIFS('Lançamentos'!$F$9:$F$1508,'Lançamentos'!$D$9:$D$1508,$B29,'Lançamentos'!$B$9:$B$1508,"&gt;="&amp;F$5,'Lançamentos'!$B$9:$B$1508,"&lt;"&amp;EDATE(F$5,1)))</f>
        <v>0</v>
      </c>
      <c r="G29" s="75">
        <f>IF($B29="",0,SUMIFS('Lançamentos'!$F$9:$F$1508,'Lançamentos'!$D$9:$D$1508,$B29,'Lançamentos'!$B$9:$B$1508,"&gt;="&amp;G$5,'Lançamentos'!$B$9:$B$1508,"&lt;"&amp;EDATE(G$5,1)))</f>
        <v>0</v>
      </c>
      <c r="H29" s="75">
        <f>IF($B29="",0,SUMIFS('Lançamentos'!$F$9:$F$1508,'Lançamentos'!$D$9:$D$1508,$B29,'Lançamentos'!$B$9:$B$1508,"&gt;="&amp;H$5,'Lançamentos'!$B$9:$B$1508,"&lt;"&amp;EDATE(H$5,1)))</f>
        <v>0</v>
      </c>
      <c r="I29" s="75">
        <f>IF($B29="",0,SUMIFS('Lançamentos'!$F$9:$F$1508,'Lançamentos'!$D$9:$D$1508,$B29,'Lançamentos'!$B$9:$B$1508,"&gt;="&amp;I$5,'Lançamentos'!$B$9:$B$1508,"&lt;"&amp;EDATE(I$5,1)))</f>
        <v>0</v>
      </c>
      <c r="J29" s="75">
        <f>IF($B29="",0,SUMIFS('Lançamentos'!$F$9:$F$1508,'Lançamentos'!$D$9:$D$1508,$B29,'Lançamentos'!$B$9:$B$1508,"&gt;="&amp;J$5,'Lançamentos'!$B$9:$B$1508,"&lt;"&amp;EDATE(J$5,1)))</f>
        <v>0</v>
      </c>
      <c r="K29" s="75">
        <f>IF($B29="",0,SUMIFS('Lançamentos'!$F$9:$F$1508,'Lançamentos'!$D$9:$D$1508,$B29,'Lançamentos'!$B$9:$B$1508,"&gt;="&amp;K$5,'Lançamentos'!$B$9:$B$1508,"&lt;"&amp;EDATE(K$5,1)))</f>
        <v>0</v>
      </c>
      <c r="L29" s="75">
        <f>IF($B29="",0,SUMIFS('Lançamentos'!$F$9:$F$1508,'Lançamentos'!$D$9:$D$1508,$B29,'Lançamentos'!$B$9:$B$1508,"&gt;="&amp;L$5,'Lançamentos'!$B$9:$B$1508,"&lt;"&amp;EDATE(L$5,1)))</f>
        <v>0</v>
      </c>
      <c r="M29" s="75">
        <f>IF($B29="",0,SUMIFS('Lançamentos'!$F$9:$F$1508,'Lançamentos'!$D$9:$D$1508,$B29,'Lançamentos'!$B$9:$B$1508,"&gt;="&amp;M$5,'Lançamentos'!$B$9:$B$1508,"&lt;"&amp;EDATE(M$5,1)))</f>
        <v>0</v>
      </c>
      <c r="N29" s="75">
        <f>IF($B29="",0,SUMIFS('Lançamentos'!$F$9:$F$1508,'Lançamentos'!$D$9:$D$1508,$B29,'Lançamentos'!$B$9:$B$1508,"&gt;="&amp;N$5,'Lançamentos'!$B$9:$B$1508,"&lt;"&amp;EDATE(N$5,1)))</f>
        <v>0</v>
      </c>
      <c r="O29" s="76">
        <f>SUM(C29:N29)</f>
        <v>0</v>
      </c>
      <c r="P29" s="77">
        <f>IFERROR(O29/'Dados'!$C$9,0)</f>
        <v>0</v>
      </c>
      <c r="Q29" s="82">
        <f>IFERROR(O29/$O$34,0)</f>
        <v>0</v>
      </c>
    </row>
    <row r="30" spans="2:17" ht="16.5" customHeight="1">
      <c r="B30" s="65" t="str">
        <f>IF('Config'!$G$18="","",'Config'!$G$18)</f>
        <v>Dívidas e financiamentos</v>
      </c>
      <c r="C30" s="75">
        <f>IF($B30="",0,SUMIFS('Lançamentos'!$F$9:$F$1508,'Lançamentos'!$D$9:$D$1508,$B30,'Lançamentos'!$B$9:$B$1508,"&gt;="&amp;C$5,'Lançamentos'!$B$9:$B$1508,"&lt;"&amp;EDATE(C$5,1)))</f>
        <v>0</v>
      </c>
      <c r="D30" s="75">
        <f>IF($B30="",0,SUMIFS('Lançamentos'!$F$9:$F$1508,'Lançamentos'!$D$9:$D$1508,$B30,'Lançamentos'!$B$9:$B$1508,"&gt;="&amp;D$5,'Lançamentos'!$B$9:$B$1508,"&lt;"&amp;EDATE(D$5,1)))</f>
        <v>0</v>
      </c>
      <c r="E30" s="75">
        <f>IF($B30="",0,SUMIFS('Lançamentos'!$F$9:$F$1508,'Lançamentos'!$D$9:$D$1508,$B30,'Lançamentos'!$B$9:$B$1508,"&gt;="&amp;E$5,'Lançamentos'!$B$9:$B$1508,"&lt;"&amp;EDATE(E$5,1)))</f>
        <v>0</v>
      </c>
      <c r="F30" s="75">
        <f>IF($B30="",0,SUMIFS('Lançamentos'!$F$9:$F$1508,'Lançamentos'!$D$9:$D$1508,$B30,'Lançamentos'!$B$9:$B$1508,"&gt;="&amp;F$5,'Lançamentos'!$B$9:$B$1508,"&lt;"&amp;EDATE(F$5,1)))</f>
        <v>0</v>
      </c>
      <c r="G30" s="75">
        <f>IF($B30="",0,SUMIFS('Lançamentos'!$F$9:$F$1508,'Lançamentos'!$D$9:$D$1508,$B30,'Lançamentos'!$B$9:$B$1508,"&gt;="&amp;G$5,'Lançamentos'!$B$9:$B$1508,"&lt;"&amp;EDATE(G$5,1)))</f>
        <v>0</v>
      </c>
      <c r="H30" s="75">
        <f>IF($B30="",0,SUMIFS('Lançamentos'!$F$9:$F$1508,'Lançamentos'!$D$9:$D$1508,$B30,'Lançamentos'!$B$9:$B$1508,"&gt;="&amp;H$5,'Lançamentos'!$B$9:$B$1508,"&lt;"&amp;EDATE(H$5,1)))</f>
        <v>0</v>
      </c>
      <c r="I30" s="75">
        <f>IF($B30="",0,SUMIFS('Lançamentos'!$F$9:$F$1508,'Lançamentos'!$D$9:$D$1508,$B30,'Lançamentos'!$B$9:$B$1508,"&gt;="&amp;I$5,'Lançamentos'!$B$9:$B$1508,"&lt;"&amp;EDATE(I$5,1)))</f>
        <v>0</v>
      </c>
      <c r="J30" s="75">
        <f>IF($B30="",0,SUMIFS('Lançamentos'!$F$9:$F$1508,'Lançamentos'!$D$9:$D$1508,$B30,'Lançamentos'!$B$9:$B$1508,"&gt;="&amp;J$5,'Lançamentos'!$B$9:$B$1508,"&lt;"&amp;EDATE(J$5,1)))</f>
        <v>0</v>
      </c>
      <c r="K30" s="75">
        <f>IF($B30="",0,SUMIFS('Lançamentos'!$F$9:$F$1508,'Lançamentos'!$D$9:$D$1508,$B30,'Lançamentos'!$B$9:$B$1508,"&gt;="&amp;K$5,'Lançamentos'!$B$9:$B$1508,"&lt;"&amp;EDATE(K$5,1)))</f>
        <v>0</v>
      </c>
      <c r="L30" s="75">
        <f>IF($B30="",0,SUMIFS('Lançamentos'!$F$9:$F$1508,'Lançamentos'!$D$9:$D$1508,$B30,'Lançamentos'!$B$9:$B$1508,"&gt;="&amp;L$5,'Lançamentos'!$B$9:$B$1508,"&lt;"&amp;EDATE(L$5,1)))</f>
        <v>0</v>
      </c>
      <c r="M30" s="75">
        <f>IF($B30="",0,SUMIFS('Lançamentos'!$F$9:$F$1508,'Lançamentos'!$D$9:$D$1508,$B30,'Lançamentos'!$B$9:$B$1508,"&gt;="&amp;M$5,'Lançamentos'!$B$9:$B$1508,"&lt;"&amp;EDATE(M$5,1)))</f>
        <v>0</v>
      </c>
      <c r="N30" s="75">
        <f>IF($B30="",0,SUMIFS('Lançamentos'!$F$9:$F$1508,'Lançamentos'!$D$9:$D$1508,$B30,'Lançamentos'!$B$9:$B$1508,"&gt;="&amp;N$5,'Lançamentos'!$B$9:$B$1508,"&lt;"&amp;EDATE(N$5,1)))</f>
        <v>0</v>
      </c>
      <c r="O30" s="76">
        <f>SUM(C30:N30)</f>
        <v>0</v>
      </c>
      <c r="P30" s="77">
        <f>IFERROR(O30/'Dados'!$C$9,0)</f>
        <v>0</v>
      </c>
      <c r="Q30" s="82">
        <f>IFERROR(O30/$O$34,0)</f>
        <v>0</v>
      </c>
    </row>
    <row r="31" spans="2:17" ht="16.5" customHeight="1">
      <c r="B31" s="65" t="str">
        <f>IF('Config'!$G$19="","",'Config'!$G$19)</f>
        <v>Reserva e Metas</v>
      </c>
      <c r="C31" s="75">
        <f>IF($B31="",0,SUMIFS('Lançamentos'!$F$9:$F$1508,'Lançamentos'!$D$9:$D$1508,$B31,'Lançamentos'!$B$9:$B$1508,"&gt;="&amp;C$5,'Lançamentos'!$B$9:$B$1508,"&lt;"&amp;EDATE(C$5,1)))</f>
        <v>0</v>
      </c>
      <c r="D31" s="75">
        <f>IF($B31="",0,SUMIFS('Lançamentos'!$F$9:$F$1508,'Lançamentos'!$D$9:$D$1508,$B31,'Lançamentos'!$B$9:$B$1508,"&gt;="&amp;D$5,'Lançamentos'!$B$9:$B$1508,"&lt;"&amp;EDATE(D$5,1)))</f>
        <v>0</v>
      </c>
      <c r="E31" s="75">
        <f>IF($B31="",0,SUMIFS('Lançamentos'!$F$9:$F$1508,'Lançamentos'!$D$9:$D$1508,$B31,'Lançamentos'!$B$9:$B$1508,"&gt;="&amp;E$5,'Lançamentos'!$B$9:$B$1508,"&lt;"&amp;EDATE(E$5,1)))</f>
        <v>0</v>
      </c>
      <c r="F31" s="75">
        <f>IF($B31="",0,SUMIFS('Lançamentos'!$F$9:$F$1508,'Lançamentos'!$D$9:$D$1508,$B31,'Lançamentos'!$B$9:$B$1508,"&gt;="&amp;F$5,'Lançamentos'!$B$9:$B$1508,"&lt;"&amp;EDATE(F$5,1)))</f>
        <v>0</v>
      </c>
      <c r="G31" s="75">
        <f>IF($B31="",0,SUMIFS('Lançamentos'!$F$9:$F$1508,'Lançamentos'!$D$9:$D$1508,$B31,'Lançamentos'!$B$9:$B$1508,"&gt;="&amp;G$5,'Lançamentos'!$B$9:$B$1508,"&lt;"&amp;EDATE(G$5,1)))</f>
        <v>0</v>
      </c>
      <c r="H31" s="75">
        <f>IF($B31="",0,SUMIFS('Lançamentos'!$F$9:$F$1508,'Lançamentos'!$D$9:$D$1508,$B31,'Lançamentos'!$B$9:$B$1508,"&gt;="&amp;H$5,'Lançamentos'!$B$9:$B$1508,"&lt;"&amp;EDATE(H$5,1)))</f>
        <v>0</v>
      </c>
      <c r="I31" s="75">
        <f>IF($B31="",0,SUMIFS('Lançamentos'!$F$9:$F$1508,'Lançamentos'!$D$9:$D$1508,$B31,'Lançamentos'!$B$9:$B$1508,"&gt;="&amp;I$5,'Lançamentos'!$B$9:$B$1508,"&lt;"&amp;EDATE(I$5,1)))</f>
        <v>0</v>
      </c>
      <c r="J31" s="75">
        <f>IF($B31="",0,SUMIFS('Lançamentos'!$F$9:$F$1508,'Lançamentos'!$D$9:$D$1508,$B31,'Lançamentos'!$B$9:$B$1508,"&gt;="&amp;J$5,'Lançamentos'!$B$9:$B$1508,"&lt;"&amp;EDATE(J$5,1)))</f>
        <v>0</v>
      </c>
      <c r="K31" s="75">
        <f>IF($B31="",0,SUMIFS('Lançamentos'!$F$9:$F$1508,'Lançamentos'!$D$9:$D$1508,$B31,'Lançamentos'!$B$9:$B$1508,"&gt;="&amp;K$5,'Lançamentos'!$B$9:$B$1508,"&lt;"&amp;EDATE(K$5,1)))</f>
        <v>0</v>
      </c>
      <c r="L31" s="75">
        <f>IF($B31="",0,SUMIFS('Lançamentos'!$F$9:$F$1508,'Lançamentos'!$D$9:$D$1508,$B31,'Lançamentos'!$B$9:$B$1508,"&gt;="&amp;L$5,'Lançamentos'!$B$9:$B$1508,"&lt;"&amp;EDATE(L$5,1)))</f>
        <v>0</v>
      </c>
      <c r="M31" s="75">
        <f>IF($B31="",0,SUMIFS('Lançamentos'!$F$9:$F$1508,'Lançamentos'!$D$9:$D$1508,$B31,'Lançamentos'!$B$9:$B$1508,"&gt;="&amp;M$5,'Lançamentos'!$B$9:$B$1508,"&lt;"&amp;EDATE(M$5,1)))</f>
        <v>0</v>
      </c>
      <c r="N31" s="75">
        <f>IF($B31="",0,SUMIFS('Lançamentos'!$F$9:$F$1508,'Lançamentos'!$D$9:$D$1508,$B31,'Lançamentos'!$B$9:$B$1508,"&gt;="&amp;N$5,'Lançamentos'!$B$9:$B$1508,"&lt;"&amp;EDATE(N$5,1)))</f>
        <v>0</v>
      </c>
      <c r="O31" s="76">
        <f>SUM(C31:N31)</f>
        <v>0</v>
      </c>
      <c r="P31" s="77">
        <f>IFERROR(O31/'Dados'!$C$9,0)</f>
        <v>0</v>
      </c>
      <c r="Q31" s="82">
        <f>IFERROR(O31/$O$34,0)</f>
        <v>0</v>
      </c>
    </row>
    <row r="32" spans="2:17" ht="16.5" customHeight="1">
      <c r="B32" s="65" t="str">
        <f>IF('Config'!$G$20="","",'Config'!$G$20)</f>
        <v>Impostos pessoais</v>
      </c>
      <c r="C32" s="75">
        <f>IF($B32="",0,SUMIFS('Lançamentos'!$F$9:$F$1508,'Lançamentos'!$D$9:$D$1508,$B32,'Lançamentos'!$B$9:$B$1508,"&gt;="&amp;C$5,'Lançamentos'!$B$9:$B$1508,"&lt;"&amp;EDATE(C$5,1)))</f>
        <v>0</v>
      </c>
      <c r="D32" s="75">
        <f>IF($B32="",0,SUMIFS('Lançamentos'!$F$9:$F$1508,'Lançamentos'!$D$9:$D$1508,$B32,'Lançamentos'!$B$9:$B$1508,"&gt;="&amp;D$5,'Lançamentos'!$B$9:$B$1508,"&lt;"&amp;EDATE(D$5,1)))</f>
        <v>0</v>
      </c>
      <c r="E32" s="75">
        <f>IF($B32="",0,SUMIFS('Lançamentos'!$F$9:$F$1508,'Lançamentos'!$D$9:$D$1508,$B32,'Lançamentos'!$B$9:$B$1508,"&gt;="&amp;E$5,'Lançamentos'!$B$9:$B$1508,"&lt;"&amp;EDATE(E$5,1)))</f>
        <v>0</v>
      </c>
      <c r="F32" s="75">
        <f>IF($B32="",0,SUMIFS('Lançamentos'!$F$9:$F$1508,'Lançamentos'!$D$9:$D$1508,$B32,'Lançamentos'!$B$9:$B$1508,"&gt;="&amp;F$5,'Lançamentos'!$B$9:$B$1508,"&lt;"&amp;EDATE(F$5,1)))</f>
        <v>0</v>
      </c>
      <c r="G32" s="75">
        <f>IF($B32="",0,SUMIFS('Lançamentos'!$F$9:$F$1508,'Lançamentos'!$D$9:$D$1508,$B32,'Lançamentos'!$B$9:$B$1508,"&gt;="&amp;G$5,'Lançamentos'!$B$9:$B$1508,"&lt;"&amp;EDATE(G$5,1)))</f>
        <v>0</v>
      </c>
      <c r="H32" s="75">
        <f>IF($B32="",0,SUMIFS('Lançamentos'!$F$9:$F$1508,'Lançamentos'!$D$9:$D$1508,$B32,'Lançamentos'!$B$9:$B$1508,"&gt;="&amp;H$5,'Lançamentos'!$B$9:$B$1508,"&lt;"&amp;EDATE(H$5,1)))</f>
        <v>0</v>
      </c>
      <c r="I32" s="75">
        <f>IF($B32="",0,SUMIFS('Lançamentos'!$F$9:$F$1508,'Lançamentos'!$D$9:$D$1508,$B32,'Lançamentos'!$B$9:$B$1508,"&gt;="&amp;I$5,'Lançamentos'!$B$9:$B$1508,"&lt;"&amp;EDATE(I$5,1)))</f>
        <v>0</v>
      </c>
      <c r="J32" s="75">
        <f>IF($B32="",0,SUMIFS('Lançamentos'!$F$9:$F$1508,'Lançamentos'!$D$9:$D$1508,$B32,'Lançamentos'!$B$9:$B$1508,"&gt;="&amp;J$5,'Lançamentos'!$B$9:$B$1508,"&lt;"&amp;EDATE(J$5,1)))</f>
        <v>0</v>
      </c>
      <c r="K32" s="75">
        <f>IF($B32="",0,SUMIFS('Lançamentos'!$F$9:$F$1508,'Lançamentos'!$D$9:$D$1508,$B32,'Lançamentos'!$B$9:$B$1508,"&gt;="&amp;K$5,'Lançamentos'!$B$9:$B$1508,"&lt;"&amp;EDATE(K$5,1)))</f>
        <v>0</v>
      </c>
      <c r="L32" s="75">
        <f>IF($B32="",0,SUMIFS('Lançamentos'!$F$9:$F$1508,'Lançamentos'!$D$9:$D$1508,$B32,'Lançamentos'!$B$9:$B$1508,"&gt;="&amp;L$5,'Lançamentos'!$B$9:$B$1508,"&lt;"&amp;EDATE(L$5,1)))</f>
        <v>0</v>
      </c>
      <c r="M32" s="75">
        <f>IF($B32="",0,SUMIFS('Lançamentos'!$F$9:$F$1508,'Lançamentos'!$D$9:$D$1508,$B32,'Lançamentos'!$B$9:$B$1508,"&gt;="&amp;M$5,'Lançamentos'!$B$9:$B$1508,"&lt;"&amp;EDATE(M$5,1)))</f>
        <v>0</v>
      </c>
      <c r="N32" s="75">
        <f>IF($B32="",0,SUMIFS('Lançamentos'!$F$9:$F$1508,'Lançamentos'!$D$9:$D$1508,$B32,'Lançamentos'!$B$9:$B$1508,"&gt;="&amp;N$5,'Lançamentos'!$B$9:$B$1508,"&lt;"&amp;EDATE(N$5,1)))</f>
        <v>0</v>
      </c>
      <c r="O32" s="76">
        <f>SUM(C32:N32)</f>
        <v>0</v>
      </c>
      <c r="P32" s="77">
        <f>IFERROR(O32/'Dados'!$C$9,0)</f>
        <v>0</v>
      </c>
      <c r="Q32" s="82">
        <f>IFERROR(O32/$O$34,0)</f>
        <v>0</v>
      </c>
    </row>
    <row r="33" spans="2:17" ht="16.5" customHeight="1">
      <c r="B33" s="65" t="str">
        <f>IF('Config'!$G$21="","",'Config'!$G$21)</f>
        <v>Outros</v>
      </c>
      <c r="C33" s="75">
        <f>IF($B33="",0,SUMIFS('Lançamentos'!$F$9:$F$1508,'Lançamentos'!$D$9:$D$1508,$B33,'Lançamentos'!$B$9:$B$1508,"&gt;="&amp;C$5,'Lançamentos'!$B$9:$B$1508,"&lt;"&amp;EDATE(C$5,1)))</f>
        <v>0</v>
      </c>
      <c r="D33" s="75">
        <f>IF($B33="",0,SUMIFS('Lançamentos'!$F$9:$F$1508,'Lançamentos'!$D$9:$D$1508,$B33,'Lançamentos'!$B$9:$B$1508,"&gt;="&amp;D$5,'Lançamentos'!$B$9:$B$1508,"&lt;"&amp;EDATE(D$5,1)))</f>
        <v>0</v>
      </c>
      <c r="E33" s="75">
        <f>IF($B33="",0,SUMIFS('Lançamentos'!$F$9:$F$1508,'Lançamentos'!$D$9:$D$1508,$B33,'Lançamentos'!$B$9:$B$1508,"&gt;="&amp;E$5,'Lançamentos'!$B$9:$B$1508,"&lt;"&amp;EDATE(E$5,1)))</f>
        <v>0</v>
      </c>
      <c r="F33" s="75">
        <f>IF($B33="",0,SUMIFS('Lançamentos'!$F$9:$F$1508,'Lançamentos'!$D$9:$D$1508,$B33,'Lançamentos'!$B$9:$B$1508,"&gt;="&amp;F$5,'Lançamentos'!$B$9:$B$1508,"&lt;"&amp;EDATE(F$5,1)))</f>
        <v>0</v>
      </c>
      <c r="G33" s="75">
        <f>IF($B33="",0,SUMIFS('Lançamentos'!$F$9:$F$1508,'Lançamentos'!$D$9:$D$1508,$B33,'Lançamentos'!$B$9:$B$1508,"&gt;="&amp;G$5,'Lançamentos'!$B$9:$B$1508,"&lt;"&amp;EDATE(G$5,1)))</f>
        <v>0</v>
      </c>
      <c r="H33" s="75">
        <f>IF($B33="",0,SUMIFS('Lançamentos'!$F$9:$F$1508,'Lançamentos'!$D$9:$D$1508,$B33,'Lançamentos'!$B$9:$B$1508,"&gt;="&amp;H$5,'Lançamentos'!$B$9:$B$1508,"&lt;"&amp;EDATE(H$5,1)))</f>
        <v>0</v>
      </c>
      <c r="I33" s="75">
        <f>IF($B33="",0,SUMIFS('Lançamentos'!$F$9:$F$1508,'Lançamentos'!$D$9:$D$1508,$B33,'Lançamentos'!$B$9:$B$1508,"&gt;="&amp;I$5,'Lançamentos'!$B$9:$B$1508,"&lt;"&amp;EDATE(I$5,1)))</f>
        <v>0</v>
      </c>
      <c r="J33" s="75">
        <f>IF($B33="",0,SUMIFS('Lançamentos'!$F$9:$F$1508,'Lançamentos'!$D$9:$D$1508,$B33,'Lançamentos'!$B$9:$B$1508,"&gt;="&amp;J$5,'Lançamentos'!$B$9:$B$1508,"&lt;"&amp;EDATE(J$5,1)))</f>
        <v>0</v>
      </c>
      <c r="K33" s="75">
        <f>IF($B33="",0,SUMIFS('Lançamentos'!$F$9:$F$1508,'Lançamentos'!$D$9:$D$1508,$B33,'Lançamentos'!$B$9:$B$1508,"&gt;="&amp;K$5,'Lançamentos'!$B$9:$B$1508,"&lt;"&amp;EDATE(K$5,1)))</f>
        <v>0</v>
      </c>
      <c r="L33" s="75">
        <f>IF($B33="",0,SUMIFS('Lançamentos'!$F$9:$F$1508,'Lançamentos'!$D$9:$D$1508,$B33,'Lançamentos'!$B$9:$B$1508,"&gt;="&amp;L$5,'Lançamentos'!$B$9:$B$1508,"&lt;"&amp;EDATE(L$5,1)))</f>
        <v>0</v>
      </c>
      <c r="M33" s="75">
        <f>IF($B33="",0,SUMIFS('Lançamentos'!$F$9:$F$1508,'Lançamentos'!$D$9:$D$1508,$B33,'Lançamentos'!$B$9:$B$1508,"&gt;="&amp;M$5,'Lançamentos'!$B$9:$B$1508,"&lt;"&amp;EDATE(M$5,1)))</f>
        <v>0</v>
      </c>
      <c r="N33" s="75">
        <f>IF($B33="",0,SUMIFS('Lançamentos'!$F$9:$F$1508,'Lançamentos'!$D$9:$D$1508,$B33,'Lançamentos'!$B$9:$B$1508,"&gt;="&amp;N$5,'Lançamentos'!$B$9:$B$1508,"&lt;"&amp;EDATE(N$5,1)))</f>
        <v>0</v>
      </c>
      <c r="O33" s="76">
        <f>SUM(C33:N33)</f>
        <v>0</v>
      </c>
      <c r="P33" s="77">
        <f>IFERROR(O33/'Dados'!$C$9,0)</f>
        <v>0</v>
      </c>
      <c r="Q33" s="82">
        <f>IFERROR(O33/$O$34,0)</f>
        <v>0</v>
      </c>
    </row>
    <row r="34" spans="2:17" ht="16.5" customHeight="1">
      <c r="B34" s="83" t="s">
        <v>122</v>
      </c>
      <c r="C34" s="84">
        <f>SUM(C18:C33)</f>
        <v>0</v>
      </c>
      <c r="D34" s="84">
        <f>SUM(D18:D33)</f>
        <v>0</v>
      </c>
      <c r="E34" s="84">
        <f>SUM(E18:E33)</f>
        <v>0</v>
      </c>
      <c r="F34" s="84">
        <f>SUM(F18:F33)</f>
        <v>0</v>
      </c>
      <c r="G34" s="84">
        <f>SUM(G18:G33)</f>
        <v>0</v>
      </c>
      <c r="H34" s="84">
        <f>SUM(H18:H33)</f>
        <v>0</v>
      </c>
      <c r="I34" s="84">
        <f>SUM(I18:I33)</f>
        <v>0</v>
      </c>
      <c r="J34" s="84">
        <f>SUM(J18:J33)</f>
        <v>0</v>
      </c>
      <c r="K34" s="84">
        <f>SUM(K18:K33)</f>
        <v>0</v>
      </c>
      <c r="L34" s="84">
        <f>SUM(L18:L33)</f>
        <v>0</v>
      </c>
      <c r="M34" s="84">
        <f>SUM(M18:M33)</f>
        <v>0</v>
      </c>
      <c r="N34" s="84">
        <f>SUM(N18:N33)</f>
        <v>0</v>
      </c>
      <c r="O34" s="84">
        <f>SUM(O18:O33)</f>
        <v>0</v>
      </c>
      <c r="P34" s="84">
        <f>SUM(P18:P33)</f>
        <v>0</v>
      </c>
      <c r="Q34" s="84"/>
    </row>
    <row r="35" spans="2:17" ht="16.5" customHeight="1">
      <c r="B35" s="85" t="s">
        <v>123</v>
      </c>
      <c r="C35" s="86">
        <f>C16-C34</f>
        <v>0</v>
      </c>
      <c r="D35" s="86">
        <f>D16-D34</f>
        <v>0</v>
      </c>
      <c r="E35" s="86">
        <f>E16-E34</f>
        <v>0</v>
      </c>
      <c r="F35" s="86">
        <f>F16-F34</f>
        <v>0</v>
      </c>
      <c r="G35" s="86">
        <f>G16-G34</f>
        <v>0</v>
      </c>
      <c r="H35" s="86">
        <f>H16-H34</f>
        <v>0</v>
      </c>
      <c r="I35" s="86">
        <f>I16-I34</f>
        <v>0</v>
      </c>
      <c r="J35" s="86">
        <f>J16-J34</f>
        <v>0</v>
      </c>
      <c r="K35" s="86">
        <f>K16-K34</f>
        <v>0</v>
      </c>
      <c r="L35" s="86">
        <f>L16-L34</f>
        <v>0</v>
      </c>
      <c r="M35" s="86">
        <f>M16-M34</f>
        <v>0</v>
      </c>
      <c r="N35" s="86">
        <f>N16-N34</f>
        <v>0</v>
      </c>
      <c r="O35" s="86">
        <f>O16-O34</f>
        <v>0</v>
      </c>
    </row>
    <row r="36" spans="2:17" ht="16.5" customHeight="1">
      <c r="B36" s="87" t="s">
        <v>124</v>
      </c>
      <c r="C36" s="86">
        <f>'Config'!$C$10+C35</f>
        <v>0</v>
      </c>
      <c r="D36" s="86">
        <f>C36+D35</f>
        <v>0</v>
      </c>
      <c r="E36" s="86">
        <f>D36+E35</f>
        <v>0</v>
      </c>
      <c r="F36" s="86">
        <f>E36+F35</f>
        <v>0</v>
      </c>
      <c r="G36" s="86">
        <f>F36+G35</f>
        <v>0</v>
      </c>
      <c r="H36" s="86">
        <f>G36+H35</f>
        <v>0</v>
      </c>
      <c r="I36" s="86">
        <f>H36+I35</f>
        <v>0</v>
      </c>
      <c r="J36" s="86">
        <f>I36+J35</f>
        <v>0</v>
      </c>
      <c r="K36" s="86">
        <f>J36+K35</f>
        <v>0</v>
      </c>
      <c r="L36" s="86">
        <f>K36+L35</f>
        <v>0</v>
      </c>
      <c r="M36" s="86">
        <f>L36+M35</f>
        <v>0</v>
      </c>
      <c r="N36" s="86">
        <f>M36+N35</f>
        <v>0</v>
      </c>
      <c r="O36" s="86">
        <f>N36</f>
        <v>0</v>
      </c>
      <c r="P36" s="86"/>
    </row>
    <row r="37" spans="2:17" ht="16.5" customHeight="1">
      <c r="B37" s="87" t="s">
        <v>125</v>
      </c>
      <c r="C37" s="88">
        <f>IF(C16=0,"",(C35+C31)/C16)</f>
        <v/>
      </c>
      <c r="D37" s="88">
        <f>IF(D16=0,"",(D35+D31)/D16)</f>
        <v/>
      </c>
      <c r="E37" s="88">
        <f>IF(E16=0,"",(E35+E31)/E16)</f>
        <v/>
      </c>
      <c r="F37" s="88">
        <f>IF(F16=0,"",(F35+F31)/F16)</f>
        <v/>
      </c>
      <c r="G37" s="88">
        <f>IF(G16=0,"",(G35+G31)/G16)</f>
        <v/>
      </c>
      <c r="H37" s="88">
        <f>IF(H16=0,"",(H35+H31)/H16)</f>
        <v/>
      </c>
      <c r="I37" s="88">
        <f>IF(I16=0,"",(I35+I31)/I16)</f>
        <v/>
      </c>
      <c r="J37" s="88">
        <f>IF(J16=0,"",(J35+J31)/J16)</f>
        <v/>
      </c>
      <c r="K37" s="88">
        <f>IF(K16=0,"",(K35+K31)/K16)</f>
        <v/>
      </c>
      <c r="L37" s="88">
        <f>IF(L16=0,"",(L35+L31)/L16)</f>
        <v/>
      </c>
      <c r="M37" s="88">
        <f>IF(M16=0,"",(M35+M31)/M16)</f>
        <v/>
      </c>
      <c r="N37" s="88">
        <f>IF(N16=0,"",(N35+N31)/N16)</f>
        <v/>
      </c>
      <c r="O37" s="88">
        <f>IF(O16=0,"",(O35+O31)/O16)</f>
        <v/>
      </c>
    </row>
    <row r="39" spans="2:17" ht="16.5" customHeight="1">
      <c r="B39" s="89" t="s">
        <v>126</v>
      </c>
    </row>
  </sheetData>
  <mergeCells count="10">
    <mergeCell ref="C1:D1"/>
    <mergeCell ref="E1:G1"/>
    <mergeCell ref="H1:J1"/>
    <mergeCell ref="K1:M1"/>
    <mergeCell ref="N1:O1"/>
    <mergeCell ref="P1:Q1"/>
    <mergeCell ref="B3:Q3"/>
    <mergeCell ref="B4:Q4"/>
    <mergeCell ref="B7:Q7"/>
    <mergeCell ref="B17:Q17"/>
  </mergeCells>
  <conditionalFormatting sqref="C18:N33">
    <cfRule type="colorScale" priority="2">
      <colorScale>
        <cfvo type="num" val="0"/>
        <cfvo type="max" val="0"/>
        <color rgb="FFFFFFFF"/>
        <color rgb="FFFDA4AF"/>
      </colorScale>
    </cfRule>
  </conditionalFormatting>
  <conditionalFormatting sqref="C35:O35">
    <cfRule type="cellIs" dxfId="9" priority="3" operator="lessThan">
      <formula>0</formula>
    </cfRule>
    <cfRule type="cellIs" dxfId="10" priority="4" operator="greaterThan">
      <formula>0</formula>
    </cfRule>
  </conditionalFormatting>
  <conditionalFormatting sqref="C36:O36">
    <cfRule type="cellIs" dxfId="9" priority="5" operator="lessThan">
      <formula>0</formula>
    </cfRule>
    <cfRule type="cellIs" dxfId="10" priority="6" operator="greaterThan">
      <formula>0</formula>
    </cfRule>
  </conditionalFormatting>
  <conditionalFormatting sqref="C37:O37">
    <cfRule type="expression" dxfId="5" priority="7">
      <formula>AND(ISNUMBER(C37),C37&lt;0)</formula>
    </cfRule>
    <cfRule type="expression" dxfId="4" priority="8">
      <formula>AND(ISNUMBER(C37),C37&gt;='Config'!$C$9)</formula>
    </cfRule>
    <cfRule type="expression" dxfId="6" priority="9">
      <formula>AND(ISNUMBER(C37),C37&gt;=0,C37&lt;'Config'!$C$9)</formula>
    </cfRule>
  </conditionalFormatting>
  <conditionalFormatting sqref="C8:N15">
    <cfRule type="colorScale" priority="1">
      <colorScale>
        <cfvo type="num" val="0"/>
        <cfvo type="max" val="0"/>
        <color rgb="FFFFFFFF"/>
        <color rgb="FFA7F3D0"/>
      </colorScale>
    </cfRule>
  </conditionalFormatting>
  <hyperlinks>
    <hyperlink ref="B1" location="'Início'!A1" display="🏠 Início"/>
    <hyperlink ref="C1" location="'Painel'!A1" display="📊 Painel"/>
    <hyperlink ref="E1" location="'Lançamentos'!A1" display="📝 Lançamentos"/>
    <hyperlink ref="H1" location="'Orçamento'!A1" display="💳 Orçamento"/>
    <hyperlink ref="K1" location="'Resumo Anual'!A1" display="📅 Resumo Anual"/>
    <hyperlink ref="N1" location="'Metas'!A1" display="🎯 Metas"/>
    <hyperlink ref="P1" location="'Config'!A1" display="⚙ Config"/>
  </hyperlinks>
  <pageMargins left="0.4" right="0.4" top="0.5" bottom="0.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M21"/>
  <sheetViews>
    <sheetView showGridLines="0" workbookViewId="0"/>
  </sheetViews>
  <sheetFormatPr defaultRowHeight="16.5" customHeight="1"/>
  <cols>
    <col min="1" max="1" width="2.7109375" customWidth="1"/>
    <col min="2" max="2" width="28.7109375" customWidth="1"/>
    <col min="3" max="4" width="15.7109375" customWidth="1"/>
    <col min="5" max="5" width="13.7109375" customWidth="1"/>
    <col min="6" max="6" width="16.7109375" customWidth="1"/>
    <col min="7" max="7" width="15.7109375" customWidth="1"/>
    <col min="8" max="8" width="10.7109375" customWidth="1"/>
    <col min="9" max="9" width="22.7109375" customWidth="1"/>
    <col min="10" max="10" width="14.7109375" customWidth="1"/>
    <col min="11" max="11" width="11.7109375" customWidth="1"/>
    <col min="12" max="12" width="17.7109375" customWidth="1"/>
    <col min="13" max="13" width="15.7109375" customWidth="1"/>
  </cols>
  <sheetData>
    <row r="1" spans="2:13" ht="22" customHeight="1">
      <c r="B1" s="3" t="s">
        <v>0</v>
      </c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2" t="s">
        <v>5</v>
      </c>
      <c r="K1" s="2"/>
      <c r="L1" s="3" t="s">
        <v>6</v>
      </c>
      <c r="M1" s="3"/>
    </row>
    <row r="2" spans="2:13" ht="6" customHeight="1"/>
    <row r="3" spans="2:13" ht="38" customHeight="1">
      <c r="B3" s="4" t="s">
        <v>140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ht="20" customHeight="1">
      <c r="B4" s="48" t="s">
        <v>141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2:13" ht="32" customHeight="1">
      <c r="B5" s="58" t="s">
        <v>142</v>
      </c>
      <c r="C5" s="54" t="s">
        <v>143</v>
      </c>
      <c r="D5" s="54" t="s">
        <v>144</v>
      </c>
      <c r="E5" s="54" t="s">
        <v>145</v>
      </c>
      <c r="F5" s="54" t="s">
        <v>146</v>
      </c>
      <c r="G5" s="54" t="s">
        <v>147</v>
      </c>
      <c r="H5" s="54" t="s">
        <v>148</v>
      </c>
      <c r="I5" s="54" t="s">
        <v>134</v>
      </c>
      <c r="J5" s="54" t="s">
        <v>149</v>
      </c>
      <c r="K5" s="54" t="s">
        <v>150</v>
      </c>
      <c r="L5" s="54" t="s">
        <v>151</v>
      </c>
      <c r="M5" s="54" t="s">
        <v>135</v>
      </c>
    </row>
    <row r="6" spans="2:13" ht="16.5" customHeight="1">
      <c r="B6" s="90"/>
      <c r="C6" s="60"/>
      <c r="D6" s="60"/>
      <c r="E6" s="91"/>
      <c r="F6" s="75">
        <f>IF($B6="","",SUMIFS('Lançamentos'!$F$9:$F$1508,'Lançamentos'!$H$9:$H$1508,$B6,'Lançamentos'!$G$9:$G$1508,"Saída")-SUMIFS('Lançamentos'!$F$9:$F$1508,'Lançamentos'!$H$9:$H$1508,$B6,'Lançamentos'!$G$9:$G$1508,"Entrada"))</f>
        <v/>
      </c>
      <c r="G6" s="76">
        <f>IF($B6="","",N(D6)+F6)</f>
        <v/>
      </c>
      <c r="H6" s="92">
        <f>IF(OR($B6="",N(C6)=0),"",G6/C6)</f>
        <v/>
      </c>
      <c r="I6" s="93">
        <f>IF(H6="","",REPT("█",MIN(24,ROUND(H6*20,0))))</f>
        <v/>
      </c>
      <c r="J6" s="75">
        <f>IF(H6="","",MAX(0,C6-G6))</f>
        <v/>
      </c>
      <c r="K6" s="94">
        <f>IF(OR($B6="",E6=""),"",MAX(0,(YEAR(E6)-YEAR('Config'!$C$7))*12+MONTH(E6)-MONTH('Config'!$C$7)))</f>
        <v/>
      </c>
      <c r="L6" s="75">
        <f>IF(OR(J6="",K6=""),"",IF(J6=0,0,IF(K6=0,J6,J6/K6)))</f>
        <v/>
      </c>
      <c r="M6" s="64">
        <f>IF($B6="","",IF(N(C6)=0,"—",IF(G6&gt;=C6,"✓ Concluída",IF(E6="","Em andamento",IF('Config'!$C$7&gt;E6,"✖ Atrasada","● No prazo")))))</f>
        <v/>
      </c>
    </row>
    <row r="7" spans="2:13" ht="16.5" customHeight="1">
      <c r="B7" s="90"/>
      <c r="C7" s="60"/>
      <c r="D7" s="60"/>
      <c r="E7" s="91"/>
      <c r="F7" s="75">
        <f>IF($B7="","",SUMIFS('Lançamentos'!$F$9:$F$1508,'Lançamentos'!$H$9:$H$1508,$B7,'Lançamentos'!$G$9:$G$1508,"Saída")-SUMIFS('Lançamentos'!$F$9:$F$1508,'Lançamentos'!$H$9:$H$1508,$B7,'Lançamentos'!$G$9:$G$1508,"Entrada"))</f>
        <v/>
      </c>
      <c r="G7" s="76">
        <f>IF($B7="","",N(D7)+F7)</f>
        <v/>
      </c>
      <c r="H7" s="92">
        <f>IF(OR($B7="",N(C7)=0),"",G7/C7)</f>
        <v/>
      </c>
      <c r="I7" s="93">
        <f>IF(H7="","",REPT("█",MIN(24,ROUND(H7*20,0))))</f>
        <v/>
      </c>
      <c r="J7" s="75">
        <f>IF(H7="","",MAX(0,C7-G7))</f>
        <v/>
      </c>
      <c r="K7" s="94">
        <f>IF(OR($B7="",E7=""),"",MAX(0,(YEAR(E7)-YEAR('Config'!$C$7))*12+MONTH(E7)-MONTH('Config'!$C$7)))</f>
        <v/>
      </c>
      <c r="L7" s="75">
        <f>IF(OR(J7="",K7=""),"",IF(J7=0,0,IF(K7=0,J7,J7/K7)))</f>
        <v/>
      </c>
      <c r="M7" s="64">
        <f>IF($B7="","",IF(N(C7)=0,"—",IF(G7&gt;=C7,"✓ Concluída",IF(E7="","Em andamento",IF('Config'!$C$7&gt;E7,"✖ Atrasada","● No prazo")))))</f>
        <v/>
      </c>
    </row>
    <row r="8" spans="2:13" ht="16.5" customHeight="1">
      <c r="B8" s="90"/>
      <c r="C8" s="60"/>
      <c r="D8" s="60"/>
      <c r="E8" s="91"/>
      <c r="F8" s="75">
        <f>IF($B8="","",SUMIFS('Lançamentos'!$F$9:$F$1508,'Lançamentos'!$H$9:$H$1508,$B8,'Lançamentos'!$G$9:$G$1508,"Saída")-SUMIFS('Lançamentos'!$F$9:$F$1508,'Lançamentos'!$H$9:$H$1508,$B8,'Lançamentos'!$G$9:$G$1508,"Entrada"))</f>
        <v/>
      </c>
      <c r="G8" s="76">
        <f>IF($B8="","",N(D8)+F8)</f>
        <v/>
      </c>
      <c r="H8" s="92">
        <f>IF(OR($B8="",N(C8)=0),"",G8/C8)</f>
        <v/>
      </c>
      <c r="I8" s="93">
        <f>IF(H8="","",REPT("█",MIN(24,ROUND(H8*20,0))))</f>
        <v/>
      </c>
      <c r="J8" s="75">
        <f>IF(H8="","",MAX(0,C8-G8))</f>
        <v/>
      </c>
      <c r="K8" s="94">
        <f>IF(OR($B8="",E8=""),"",MAX(0,(YEAR(E8)-YEAR('Config'!$C$7))*12+MONTH(E8)-MONTH('Config'!$C$7)))</f>
        <v/>
      </c>
      <c r="L8" s="75">
        <f>IF(OR(J8="",K8=""),"",IF(J8=0,0,IF(K8=0,J8,J8/K8)))</f>
        <v/>
      </c>
      <c r="M8" s="64">
        <f>IF($B8="","",IF(N(C8)=0,"—",IF(G8&gt;=C8,"✓ Concluída",IF(E8="","Em andamento",IF('Config'!$C$7&gt;E8,"✖ Atrasada","● No prazo")))))</f>
        <v/>
      </c>
    </row>
    <row r="9" spans="2:13" ht="16.5" customHeight="1">
      <c r="B9" s="90"/>
      <c r="C9" s="60"/>
      <c r="D9" s="60"/>
      <c r="E9" s="91"/>
      <c r="F9" s="75">
        <f>IF($B9="","",SUMIFS('Lançamentos'!$F$9:$F$1508,'Lançamentos'!$H$9:$H$1508,$B9,'Lançamentos'!$G$9:$G$1508,"Saída")-SUMIFS('Lançamentos'!$F$9:$F$1508,'Lançamentos'!$H$9:$H$1508,$B9,'Lançamentos'!$G$9:$G$1508,"Entrada"))</f>
        <v/>
      </c>
      <c r="G9" s="76">
        <f>IF($B9="","",N(D9)+F9)</f>
        <v/>
      </c>
      <c r="H9" s="92">
        <f>IF(OR($B9="",N(C9)=0),"",G9/C9)</f>
        <v/>
      </c>
      <c r="I9" s="93">
        <f>IF(H9="","",REPT("█",MIN(24,ROUND(H9*20,0))))</f>
        <v/>
      </c>
      <c r="J9" s="75">
        <f>IF(H9="","",MAX(0,C9-G9))</f>
        <v/>
      </c>
      <c r="K9" s="94">
        <f>IF(OR($B9="",E9=""),"",MAX(0,(YEAR(E9)-YEAR('Config'!$C$7))*12+MONTH(E9)-MONTH('Config'!$C$7)))</f>
        <v/>
      </c>
      <c r="L9" s="75">
        <f>IF(OR(J9="",K9=""),"",IF(J9=0,0,IF(K9=0,J9,J9/K9)))</f>
        <v/>
      </c>
      <c r="M9" s="64">
        <f>IF($B9="","",IF(N(C9)=0,"—",IF(G9&gt;=C9,"✓ Concluída",IF(E9="","Em andamento",IF('Config'!$C$7&gt;E9,"✖ Atrasada","● No prazo")))))</f>
        <v/>
      </c>
    </row>
    <row r="10" spans="2:13" ht="16.5" customHeight="1">
      <c r="B10" s="90"/>
      <c r="C10" s="60"/>
      <c r="D10" s="60"/>
      <c r="E10" s="91"/>
      <c r="F10" s="75">
        <f>IF($B10="","",SUMIFS('Lançamentos'!$F$9:$F$1508,'Lançamentos'!$H$9:$H$1508,$B10,'Lançamentos'!$G$9:$G$1508,"Saída")-SUMIFS('Lançamentos'!$F$9:$F$1508,'Lançamentos'!$H$9:$H$1508,$B10,'Lançamentos'!$G$9:$G$1508,"Entrada"))</f>
        <v/>
      </c>
      <c r="G10" s="76">
        <f>IF($B10="","",N(D10)+F10)</f>
        <v/>
      </c>
      <c r="H10" s="92">
        <f>IF(OR($B10="",N(C10)=0),"",G10/C10)</f>
        <v/>
      </c>
      <c r="I10" s="93">
        <f>IF(H10="","",REPT("█",MIN(24,ROUND(H10*20,0))))</f>
        <v/>
      </c>
      <c r="J10" s="75">
        <f>IF(H10="","",MAX(0,C10-G10))</f>
        <v/>
      </c>
      <c r="K10" s="94">
        <f>IF(OR($B10="",E10=""),"",MAX(0,(YEAR(E10)-YEAR('Config'!$C$7))*12+MONTH(E10)-MONTH('Config'!$C$7)))</f>
        <v/>
      </c>
      <c r="L10" s="75">
        <f>IF(OR(J10="",K10=""),"",IF(J10=0,0,IF(K10=0,J10,J10/K10)))</f>
        <v/>
      </c>
      <c r="M10" s="64">
        <f>IF($B10="","",IF(N(C10)=0,"—",IF(G10&gt;=C10,"✓ Concluída",IF(E10="","Em andamento",IF('Config'!$C$7&gt;E10,"✖ Atrasada","● No prazo")))))</f>
        <v/>
      </c>
    </row>
    <row r="11" spans="2:13" ht="16.5" customHeight="1">
      <c r="B11" s="90"/>
      <c r="C11" s="60"/>
      <c r="D11" s="60"/>
      <c r="E11" s="91"/>
      <c r="F11" s="75">
        <f>IF($B11="","",SUMIFS('Lançamentos'!$F$9:$F$1508,'Lançamentos'!$H$9:$H$1508,$B11,'Lançamentos'!$G$9:$G$1508,"Saída")-SUMIFS('Lançamentos'!$F$9:$F$1508,'Lançamentos'!$H$9:$H$1508,$B11,'Lançamentos'!$G$9:$G$1508,"Entrada"))</f>
        <v/>
      </c>
      <c r="G11" s="76">
        <f>IF($B11="","",N(D11)+F11)</f>
        <v/>
      </c>
      <c r="H11" s="92">
        <f>IF(OR($B11="",N(C11)=0),"",G11/C11)</f>
        <v/>
      </c>
      <c r="I11" s="93">
        <f>IF(H11="","",REPT("█",MIN(24,ROUND(H11*20,0))))</f>
        <v/>
      </c>
      <c r="J11" s="75">
        <f>IF(H11="","",MAX(0,C11-G11))</f>
        <v/>
      </c>
      <c r="K11" s="94">
        <f>IF(OR($B11="",E11=""),"",MAX(0,(YEAR(E11)-YEAR('Config'!$C$7))*12+MONTH(E11)-MONTH('Config'!$C$7)))</f>
        <v/>
      </c>
      <c r="L11" s="75">
        <f>IF(OR(J11="",K11=""),"",IF(J11=0,0,IF(K11=0,J11,J11/K11)))</f>
        <v/>
      </c>
      <c r="M11" s="64">
        <f>IF($B11="","",IF(N(C11)=0,"—",IF(G11&gt;=C11,"✓ Concluída",IF(E11="","Em andamento",IF('Config'!$C$7&gt;E11,"✖ Atrasada","● No prazo")))))</f>
        <v/>
      </c>
    </row>
    <row r="12" spans="2:13" ht="16.5" customHeight="1">
      <c r="B12" s="90"/>
      <c r="C12" s="60"/>
      <c r="D12" s="60"/>
      <c r="E12" s="91"/>
      <c r="F12" s="75">
        <f>IF($B12="","",SUMIFS('Lançamentos'!$F$9:$F$1508,'Lançamentos'!$H$9:$H$1508,$B12,'Lançamentos'!$G$9:$G$1508,"Saída")-SUMIFS('Lançamentos'!$F$9:$F$1508,'Lançamentos'!$H$9:$H$1508,$B12,'Lançamentos'!$G$9:$G$1508,"Entrada"))</f>
        <v/>
      </c>
      <c r="G12" s="76">
        <f>IF($B12="","",N(D12)+F12)</f>
        <v/>
      </c>
      <c r="H12" s="92">
        <f>IF(OR($B12="",N(C12)=0),"",G12/C12)</f>
        <v/>
      </c>
      <c r="I12" s="93">
        <f>IF(H12="","",REPT("█",MIN(24,ROUND(H12*20,0))))</f>
        <v/>
      </c>
      <c r="J12" s="75">
        <f>IF(H12="","",MAX(0,C12-G12))</f>
        <v/>
      </c>
      <c r="K12" s="94">
        <f>IF(OR($B12="",E12=""),"",MAX(0,(YEAR(E12)-YEAR('Config'!$C$7))*12+MONTH(E12)-MONTH('Config'!$C$7)))</f>
        <v/>
      </c>
      <c r="L12" s="75">
        <f>IF(OR(J12="",K12=""),"",IF(J12=0,0,IF(K12=0,J12,J12/K12)))</f>
        <v/>
      </c>
      <c r="M12" s="64">
        <f>IF($B12="","",IF(N(C12)=0,"—",IF(G12&gt;=C12,"✓ Concluída",IF(E12="","Em andamento",IF('Config'!$C$7&gt;E12,"✖ Atrasada","● No prazo")))))</f>
        <v/>
      </c>
    </row>
    <row r="13" spans="2:13" ht="16.5" customHeight="1">
      <c r="B13" s="90"/>
      <c r="C13" s="60"/>
      <c r="D13" s="60"/>
      <c r="E13" s="91"/>
      <c r="F13" s="75">
        <f>IF($B13="","",SUMIFS('Lançamentos'!$F$9:$F$1508,'Lançamentos'!$H$9:$H$1508,$B13,'Lançamentos'!$G$9:$G$1508,"Saída")-SUMIFS('Lançamentos'!$F$9:$F$1508,'Lançamentos'!$H$9:$H$1508,$B13,'Lançamentos'!$G$9:$G$1508,"Entrada"))</f>
        <v/>
      </c>
      <c r="G13" s="76">
        <f>IF($B13="","",N(D13)+F13)</f>
        <v/>
      </c>
      <c r="H13" s="92">
        <f>IF(OR($B13="",N(C13)=0),"",G13/C13)</f>
        <v/>
      </c>
      <c r="I13" s="93">
        <f>IF(H13="","",REPT("█",MIN(24,ROUND(H13*20,0))))</f>
        <v/>
      </c>
      <c r="J13" s="75">
        <f>IF(H13="","",MAX(0,C13-G13))</f>
        <v/>
      </c>
      <c r="K13" s="94">
        <f>IF(OR($B13="",E13=""),"",MAX(0,(YEAR(E13)-YEAR('Config'!$C$7))*12+MONTH(E13)-MONTH('Config'!$C$7)))</f>
        <v/>
      </c>
      <c r="L13" s="75">
        <f>IF(OR(J13="",K13=""),"",IF(J13=0,0,IF(K13=0,J13,J13/K13)))</f>
        <v/>
      </c>
      <c r="M13" s="64">
        <f>IF($B13="","",IF(N(C13)=0,"—",IF(G13&gt;=C13,"✓ Concluída",IF(E13="","Em andamento",IF('Config'!$C$7&gt;E13,"✖ Atrasada","● No prazo")))))</f>
        <v/>
      </c>
    </row>
    <row r="15" spans="2:13" ht="16.5" customHeight="1">
      <c r="B15" s="36" t="s">
        <v>152</v>
      </c>
      <c r="C15" s="36"/>
      <c r="D15" s="36"/>
      <c r="E15" s="36"/>
    </row>
    <row r="16" spans="2:13" ht="16.5" customHeight="1">
      <c r="B16" s="65" t="s">
        <v>153</v>
      </c>
      <c r="C16" s="65"/>
      <c r="D16" s="95">
        <v>6</v>
      </c>
    </row>
    <row r="17" spans="2:4" ht="16.5" customHeight="1">
      <c r="B17" s="65" t="s">
        <v>154</v>
      </c>
      <c r="C17" s="65"/>
      <c r="D17" s="96">
        <f>IFERROR('Resumo Anual'!$O$34/'Dados'!$C$9,0)</f>
        <v>0</v>
      </c>
    </row>
    <row r="18" spans="2:4" ht="16.5" customHeight="1">
      <c r="B18" s="65" t="s">
        <v>155</v>
      </c>
      <c r="C18" s="65"/>
      <c r="D18" s="96">
        <f>D16*D17</f>
        <v>0</v>
      </c>
    </row>
    <row r="19" spans="2:4" ht="16.5" customHeight="1">
      <c r="B19" s="65" t="s">
        <v>156</v>
      </c>
      <c r="C19" s="65"/>
      <c r="D19" s="96">
        <f>SUM(G6:G13)</f>
        <v>0</v>
      </c>
    </row>
    <row r="21" spans="2:4" ht="16.5" customHeight="1">
      <c r="B21" s="97" t="s">
        <v>157</v>
      </c>
    </row>
  </sheetData>
  <mergeCells count="12">
    <mergeCell ref="C1:D1"/>
    <mergeCell ref="E1:F1"/>
    <mergeCell ref="G1:H1"/>
    <mergeCell ref="J1:K1"/>
    <mergeCell ref="L1:M1"/>
    <mergeCell ref="B3:M3"/>
    <mergeCell ref="B4:M4"/>
    <mergeCell ref="B15:E15"/>
    <mergeCell ref="B16:C16"/>
    <mergeCell ref="B17:C17"/>
    <mergeCell ref="B18:C18"/>
    <mergeCell ref="B19:C19"/>
  </mergeCells>
  <conditionalFormatting sqref="I6:I13">
    <cfRule type="expression" dxfId="11" priority="4">
      <formula>AND(ISNUMBER(H6),H6&gt;=1)</formula>
    </cfRule>
    <cfRule type="expression" dxfId="12" priority="5">
      <formula>AND(ISNUMBER(H6),H6&lt;0.34)</formula>
    </cfRule>
  </conditionalFormatting>
  <conditionalFormatting sqref="M6:M13">
    <cfRule type="containsText" dxfId="4" priority="1" operator="containsText" text="Concluída">
      <formula>NOT(ISERROR(SEARCH("Concluída",M6)))</formula>
    </cfRule>
    <cfRule type="containsText" dxfId="5" priority="2" operator="containsText" text="Atrasada">
      <formula>NOT(ISERROR(SEARCH("Atrasada",M6)))</formula>
    </cfRule>
    <cfRule type="containsText" dxfId="13" priority="3" operator="containsText" text="No prazo">
      <formula>NOT(ISERROR(SEARCH("No prazo",M6)))</formula>
    </cfRule>
  </conditionalFormatting>
  <dataValidations count="2">
    <dataValidation type="decimal" operator="greaterThanOrEqual" allowBlank="1" showInputMessage="1" showErrorMessage="1" error="Digite um valor maior ou igual a zero." sqref="C6:D13">
      <formula1>0</formula1>
    </dataValidation>
    <dataValidation type="date" operator="greaterThan" allowBlank="1" showInputMessage="1" showErrorMessage="1" error="Digite uma data válida, ex.: 31/12/2027." sqref="E6:E13">
      <formula1>36526</formula1>
    </dataValidation>
  </dataValidations>
  <hyperlinks>
    <hyperlink ref="B1" location="'Início'!A1" display="🏠 Início"/>
    <hyperlink ref="C1" location="'Painel'!A1" display="📊 Painel"/>
    <hyperlink ref="E1" location="'Lançamentos'!A1" display="📝 Lançamentos"/>
    <hyperlink ref="G1" location="'Orçamento'!A1" display="💳 Orçamento"/>
    <hyperlink ref="I1" location="'Resumo Anual'!A1" display="📅 Resumo Anual"/>
    <hyperlink ref="J1" location="'Metas'!A1" display="🎯 Metas"/>
    <hyperlink ref="L1" location="'Config'!A1" display="⚙ Config"/>
  </hyperlinks>
  <pageMargins left="0.4" right="0.4" top="0.5" bottom="0.5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4A3B8"/>
    <pageSetUpPr fitToPage="1"/>
  </sheetPr>
  <dimension ref="A1:L24"/>
  <sheetViews>
    <sheetView showGridLines="0" workbookViewId="0">
      <pane ySplit="4" topLeftCell="A5" activePane="bottomLeft" state="frozen"/>
      <selection pane="bottomLeft"/>
    </sheetView>
  </sheetViews>
  <sheetFormatPr defaultRowHeight="16.5" customHeight="1"/>
  <cols>
    <col min="1" max="1" width="2.7109375" customWidth="1"/>
    <col min="2" max="2" width="38.7109375" customWidth="1"/>
    <col min="3" max="3" width="18.7109375" customWidth="1"/>
    <col min="4" max="4" width="3.7109375" customWidth="1"/>
    <col min="5" max="5" width="32.7109375" customWidth="1"/>
    <col min="6" max="6" width="3.7109375" customWidth="1"/>
    <col min="7" max="7" width="32.7109375" customWidth="1"/>
    <col min="8" max="8" width="3.7109375" customWidth="1"/>
    <col min="9" max="9" width="22.7109375" customWidth="1"/>
    <col min="10" max="10" width="3.7109375" customWidth="1"/>
    <col min="11" max="11" width="14.7109375" customWidth="1"/>
    <col min="12" max="12" width="10.7109375" customWidth="1"/>
  </cols>
  <sheetData>
    <row r="1" spans="2:12" ht="22" customHeight="1">
      <c r="B1" s="3" t="s">
        <v>0</v>
      </c>
      <c r="C1" s="3" t="s">
        <v>1</v>
      </c>
      <c r="D1" s="3"/>
      <c r="E1" s="3" t="s">
        <v>2</v>
      </c>
      <c r="F1" s="3" t="s">
        <v>3</v>
      </c>
      <c r="G1" s="3"/>
      <c r="H1" s="3" t="s">
        <v>4</v>
      </c>
      <c r="I1" s="3"/>
      <c r="J1" s="3" t="s">
        <v>5</v>
      </c>
      <c r="K1" s="3"/>
      <c r="L1" s="2" t="s">
        <v>6</v>
      </c>
    </row>
    <row r="2" spans="2:12" ht="6" customHeight="1"/>
    <row r="3" spans="2:12" ht="38" customHeight="1">
      <c r="B3" s="4" t="s">
        <v>7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2:12" ht="20" customHeight="1">
      <c r="B4" s="48" t="s">
        <v>8</v>
      </c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2:12" ht="16.5" customHeight="1">
      <c r="B5" s="36" t="s">
        <v>9</v>
      </c>
      <c r="C5" s="36"/>
      <c r="E5" s="36" t="s">
        <v>17</v>
      </c>
      <c r="G5" s="36" t="s">
        <v>26</v>
      </c>
      <c r="I5" s="36" t="s">
        <v>43</v>
      </c>
      <c r="K5" s="36" t="s">
        <v>52</v>
      </c>
      <c r="L5" s="36" t="s">
        <v>53</v>
      </c>
    </row>
    <row r="6" spans="2:12" ht="16.5" customHeight="1">
      <c r="B6" s="78" t="s">
        <v>10</v>
      </c>
      <c r="C6" s="98">
        <v>2026</v>
      </c>
      <c r="E6" s="90" t="s">
        <v>18</v>
      </c>
      <c r="G6" s="90" t="s">
        <v>27</v>
      </c>
      <c r="I6" s="90" t="s">
        <v>44</v>
      </c>
      <c r="K6" s="99" t="s">
        <v>54</v>
      </c>
      <c r="L6" s="99" t="s">
        <v>55</v>
      </c>
    </row>
    <row r="7" spans="2:12" ht="16.5" customHeight="1">
      <c r="B7" s="78" t="s">
        <v>11</v>
      </c>
      <c r="C7" s="100">
        <f>TODAY()</f>
        <v>46299.0</v>
      </c>
      <c r="E7" s="90" t="s">
        <v>19</v>
      </c>
      <c r="G7" s="90" t="s">
        <v>28</v>
      </c>
      <c r="I7" s="90" t="s">
        <v>45</v>
      </c>
      <c r="K7" s="99" t="s">
        <v>56</v>
      </c>
      <c r="L7" s="99" t="s">
        <v>57</v>
      </c>
    </row>
    <row r="8" spans="2:12" ht="16.5" customHeight="1">
      <c r="B8" s="78" t="s">
        <v>12</v>
      </c>
      <c r="C8" s="90" t="s">
        <v>13</v>
      </c>
      <c r="E8" s="90" t="s">
        <v>20</v>
      </c>
      <c r="G8" s="90" t="s">
        <v>29</v>
      </c>
      <c r="I8" s="90" t="s">
        <v>46</v>
      </c>
      <c r="K8" s="99" t="s">
        <v>58</v>
      </c>
      <c r="L8" s="99" t="s">
        <v>59</v>
      </c>
    </row>
    <row r="9" spans="2:12" ht="16.5" customHeight="1">
      <c r="B9" s="78" t="s">
        <v>14</v>
      </c>
      <c r="C9" s="101">
        <v>0.2</v>
      </c>
      <c r="E9" s="90" t="s">
        <v>21</v>
      </c>
      <c r="G9" s="90" t="s">
        <v>30</v>
      </c>
      <c r="I9" s="90" t="s">
        <v>47</v>
      </c>
      <c r="K9" s="99" t="s">
        <v>60</v>
      </c>
      <c r="L9" s="99" t="s">
        <v>61</v>
      </c>
    </row>
    <row r="10" spans="2:12" ht="16.5" customHeight="1">
      <c r="B10" s="78" t="s">
        <v>15</v>
      </c>
      <c r="C10" s="102">
        <v>0</v>
      </c>
      <c r="E10" s="90" t="s">
        <v>22</v>
      </c>
      <c r="G10" s="90" t="s">
        <v>31</v>
      </c>
      <c r="I10" s="90" t="s">
        <v>48</v>
      </c>
      <c r="K10" s="99" t="s">
        <v>62</v>
      </c>
      <c r="L10" s="99" t="s">
        <v>63</v>
      </c>
    </row>
    <row r="11" spans="2:12" ht="16.5" customHeight="1">
      <c r="B11" s="103" t="s">
        <v>16</v>
      </c>
      <c r="C11" s="103"/>
      <c r="E11" s="90" t="s">
        <v>23</v>
      </c>
      <c r="G11" s="90" t="s">
        <v>32</v>
      </c>
      <c r="I11" s="90" t="s">
        <v>49</v>
      </c>
      <c r="K11" s="99" t="s">
        <v>64</v>
      </c>
      <c r="L11" s="99" t="s">
        <v>65</v>
      </c>
    </row>
    <row r="12" spans="2:12" ht="16.5" customHeight="1">
      <c r="B12" s="103"/>
      <c r="C12" s="103"/>
      <c r="E12" s="90" t="s">
        <v>24</v>
      </c>
      <c r="G12" s="90" t="s">
        <v>33</v>
      </c>
      <c r="I12" s="90" t="s">
        <v>50</v>
      </c>
      <c r="K12" s="99" t="s">
        <v>66</v>
      </c>
      <c r="L12" s="99" t="s">
        <v>67</v>
      </c>
    </row>
    <row r="13" spans="2:12" ht="16.5" customHeight="1">
      <c r="B13" s="103"/>
      <c r="C13" s="103"/>
      <c r="E13" s="90" t="s">
        <v>25</v>
      </c>
      <c r="G13" s="90" t="s">
        <v>34</v>
      </c>
      <c r="I13" s="90" t="s">
        <v>51</v>
      </c>
      <c r="K13" s="99" t="s">
        <v>68</v>
      </c>
      <c r="L13" s="99" t="s">
        <v>69</v>
      </c>
    </row>
    <row r="14" spans="2:12" ht="16.5" customHeight="1">
      <c r="B14" s="103"/>
      <c r="C14" s="103"/>
      <c r="G14" s="90" t="s">
        <v>35</v>
      </c>
      <c r="K14" s="99" t="s">
        <v>70</v>
      </c>
      <c r="L14" s="99" t="s">
        <v>71</v>
      </c>
    </row>
    <row r="15" spans="2:12" ht="16.5" customHeight="1">
      <c r="B15" s="103"/>
      <c r="C15" s="103"/>
      <c r="G15" s="90" t="s">
        <v>36</v>
      </c>
      <c r="K15" s="99" t="s">
        <v>72</v>
      </c>
      <c r="L15" s="99" t="s">
        <v>73</v>
      </c>
    </row>
    <row r="16" spans="2:12" ht="16.5" customHeight="1">
      <c r="B16" s="103"/>
      <c r="C16" s="103"/>
      <c r="G16" s="90" t="s">
        <v>37</v>
      </c>
      <c r="K16" s="99" t="s">
        <v>74</v>
      </c>
      <c r="L16" s="99" t="s">
        <v>75</v>
      </c>
    </row>
    <row r="17" spans="2:12" ht="16.5" customHeight="1">
      <c r="B17" s="103"/>
      <c r="C17" s="103"/>
      <c r="G17" s="90" t="s">
        <v>38</v>
      </c>
      <c r="K17" s="99" t="s">
        <v>76</v>
      </c>
      <c r="L17" s="99" t="s">
        <v>77</v>
      </c>
    </row>
    <row r="18" spans="2:12" ht="16.5" customHeight="1">
      <c r="B18" s="103"/>
      <c r="C18" s="103"/>
      <c r="G18" s="90" t="s">
        <v>39</v>
      </c>
    </row>
    <row r="19" spans="2:12" ht="16.5" customHeight="1">
      <c r="B19" s="103"/>
      <c r="C19" s="103"/>
      <c r="G19" s="90" t="s">
        <v>40</v>
      </c>
    </row>
    <row r="20" spans="2:12" ht="16.5" customHeight="1">
      <c r="B20" s="103"/>
      <c r="C20" s="103"/>
      <c r="G20" s="90" t="s">
        <v>41</v>
      </c>
    </row>
    <row r="21" spans="2:12" ht="16.5" customHeight="1">
      <c r="B21" s="103"/>
      <c r="C21" s="103"/>
      <c r="G21" s="90" t="s">
        <v>42</v>
      </c>
    </row>
    <row r="22" spans="2:12" ht="16.5" customHeight="1">
      <c r="B22" s="103"/>
      <c r="C22" s="103"/>
    </row>
    <row r="23" spans="2:12" ht="16.5" customHeight="1">
      <c r="B23" s="103"/>
      <c r="C23" s="103"/>
    </row>
    <row r="24" spans="2:12" ht="16.5" customHeight="1">
      <c r="B24" s="103"/>
      <c r="C24" s="103"/>
    </row>
  </sheetData>
  <mergeCells count="8">
    <mergeCell ref="C1:D1"/>
    <mergeCell ref="F1:G1"/>
    <mergeCell ref="H1:I1"/>
    <mergeCell ref="J1:K1"/>
    <mergeCell ref="B3:L3"/>
    <mergeCell ref="B4:L4"/>
    <mergeCell ref="B5:C5"/>
    <mergeCell ref="B11:C24"/>
  </mergeCells>
  <dataValidations count="2">
    <dataValidation type="whole" allowBlank="1" showInputMessage="1" showErrorMessage="1" error="Digite um ano entre 2000 e 2100." sqref="C6">
      <formula1>2000</formula1>
      <formula2>2100</formula2>
    </dataValidation>
    <dataValidation type="decimal" allowBlank="1" showInputMessage="1" showErrorMessage="1" error="Digite um percentual entre 0% e 100%." sqref="C9">
      <formula1>0</formula1>
      <formula2>1</formula2>
    </dataValidation>
  </dataValidations>
  <hyperlinks>
    <hyperlink ref="B1" location="'Início'!A1" display="🏠 Início"/>
    <hyperlink ref="C1" location="'Painel'!A1" display="📊 Painel"/>
    <hyperlink ref="E1" location="'Lançamentos'!A1" display="📝 Lançamentos"/>
    <hyperlink ref="F1" location="'Orçamento'!A1" display="💳 Orçamento"/>
    <hyperlink ref="H1" location="'Resumo Anual'!A1" display="📅 Resumo Anual"/>
    <hyperlink ref="J1" location="'Metas'!A1" display="🎯 Metas"/>
    <hyperlink ref="L1" location="'Config'!A1" display="⚙ Config"/>
  </hyperlinks>
  <pageMargins left="0.4" right="0.4" top="0.5" bottom="0.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BD5E1"/>
    <pageSetUpPr fitToPage="1"/>
  </sheetPr>
  <dimension ref="A1:S31"/>
  <sheetViews>
    <sheetView showGridLines="0" workbookViewId="0"/>
  </sheetViews>
  <sheetFormatPr defaultRowHeight="16.5" customHeight="1"/>
  <cols>
    <col min="1" max="1" width="2.7109375" customWidth="1"/>
    <col min="2" max="2" width="34.7109375" customWidth="1"/>
    <col min="3" max="6" width="14.7109375" customWidth="1"/>
    <col min="7" max="7" width="4.7109375" customWidth="1"/>
    <col min="8" max="8" width="6.7109375" customWidth="1"/>
    <col min="9" max="9" width="8.7109375" customWidth="1"/>
    <col min="10" max="10" width="28.7109375" customWidth="1"/>
    <col min="11" max="12" width="14.7109375" customWidth="1"/>
    <col min="13" max="13" width="4.7109375" customWidth="1"/>
    <col min="14" max="14" width="26.7109375" customWidth="1"/>
    <col min="15" max="15" width="14.7109375" customWidth="1"/>
    <col min="16" max="16" width="4.7109375" customWidth="1"/>
    <col min="17" max="17" width="30.7109375" customWidth="1"/>
    <col min="18" max="18" width="4.7109375" customWidth="1"/>
    <col min="19" max="19" width="30.7109375" customWidth="1"/>
  </cols>
  <sheetData>
    <row r="1" spans="2:19" ht="22" customHeight="1">
      <c r="B1" s="3" t="s">
        <v>0</v>
      </c>
      <c r="C1" s="3" t="s">
        <v>1</v>
      </c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 t="s">
        <v>4</v>
      </c>
      <c r="M1" s="3"/>
      <c r="N1" s="3"/>
      <c r="O1" s="3" t="s">
        <v>5</v>
      </c>
      <c r="P1" s="3"/>
      <c r="Q1" s="3"/>
      <c r="R1" s="3" t="s">
        <v>6</v>
      </c>
      <c r="S1" s="3"/>
    </row>
    <row r="2" spans="2:19" ht="6" customHeight="1"/>
    <row r="3" spans="2:19" ht="38" customHeight="1">
      <c r="B3" s="104" t="s">
        <v>78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spans="2:19" ht="20" customHeight="1">
      <c r="B4" s="48" t="s">
        <v>79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 spans="2:19" ht="16.5" customHeight="1">
      <c r="B5" s="105" t="s">
        <v>80</v>
      </c>
      <c r="C5" s="105"/>
      <c r="Q5" s="105" t="s">
        <v>86</v>
      </c>
    </row>
    <row r="6" spans="2:19" ht="16.5" customHeight="1">
      <c r="B6" s="78" t="s">
        <v>81</v>
      </c>
      <c r="C6" s="106">
        <f>IFERROR(MATCH('Painel'!$D$5,'Config'!$K$6:$K$17,0),1)</f>
        <v>10</v>
      </c>
      <c r="Q6" s="78" t="str">
        <f>IF('Config'!$E$6="","",'Config'!$E$6)</f>
        <v>Salário</v>
      </c>
    </row>
    <row r="7" spans="2:19" ht="16.5" customHeight="1">
      <c r="B7" s="78" t="s">
        <v>82</v>
      </c>
      <c r="C7" s="106">
        <f>IFERROR(MATCH('Orçamento'!$C$5,'Config'!$K$6:$K$17,0),1)</f>
        <v>10</v>
      </c>
      <c r="Q7" s="78" t="str">
        <f>IF('Config'!$E$7="","",'Config'!$E$7)</f>
        <v>Renda extra</v>
      </c>
    </row>
    <row r="8" spans="2:19" ht="16.5" customHeight="1">
      <c r="B8" s="78" t="s">
        <v>83</v>
      </c>
      <c r="C8" s="106">
        <f>IF(YEAR('Config'!$C$7)&lt;'Config'!$C$6,0,IF(YEAR('Config'!$C$7)&gt;'Config'!$C$6,12,MONTH('Config'!$C$7)))</f>
        <v>10</v>
      </c>
      <c r="Q8" s="78" t="str">
        <f>IF('Config'!$E$8="","",'Config'!$E$8)</f>
        <v>Rendimentos de investimentos</v>
      </c>
    </row>
    <row r="9" spans="2:19" ht="16.5" customHeight="1">
      <c r="B9" s="78" t="s">
        <v>84</v>
      </c>
      <c r="C9" s="106">
        <f>MAX(1,SUMPRODUCT(--(('Resumo Anual'!$C$16:$N$16+'Resumo Anual'!$C$34:$N$34)&gt;0)))</f>
        <v>1</v>
      </c>
      <c r="Q9" s="78" t="str">
        <f>IF('Config'!$E$9="","",'Config'!$E$9)</f>
        <v>13º e bônus</v>
      </c>
    </row>
    <row r="10" spans="2:19" ht="16.5" customHeight="1">
      <c r="B10" s="78" t="s">
        <v>85</v>
      </c>
      <c r="C10" s="61">
        <f>INDEX('Resumo Anual'!$C$34:$N$34,$C$6)</f>
        <v>0</v>
      </c>
      <c r="Q10" s="78" t="str">
        <f>IF('Config'!$E$10="","",'Config'!$E$10)</f>
        <v>Reembolsos</v>
      </c>
    </row>
    <row r="11" spans="2:19" ht="16.5" customHeight="1">
      <c r="B11" s="78" t="s">
        <v>92</v>
      </c>
      <c r="C11" s="106">
        <f>SUM($F$16:$F$31)</f>
        <v>0</v>
      </c>
      <c r="Q11" s="78" t="str">
        <f>IF('Config'!$E$11="","",'Config'!$E$11)</f>
        <v>Aluguéis recebidos</v>
      </c>
    </row>
    <row r="12" spans="2:19" ht="16.5" customHeight="1">
      <c r="B12" s="78" t="s">
        <v>100</v>
      </c>
      <c r="C12" s="78" t="str">
        <f>"Para onde foi o dinheiro — "&amp;INDEX('Config'!$K$6:$K$17,$C$6)</f>
        <v>Para onde foi o dinheiro — Outubro</v>
      </c>
      <c r="Q12" s="78" t="str">
        <f>IF('Config'!$E$12="","",'Config'!$E$12)</f>
        <v>Presentes recebidos</v>
      </c>
    </row>
    <row r="13" spans="2:19" ht="16.5" customHeight="1">
      <c r="Q13" s="78" t="str">
        <f>IF('Config'!$E$13="","",'Config'!$E$13)</f>
        <v>Outras entradas</v>
      </c>
    </row>
    <row r="14" spans="2:19" ht="16.5" customHeight="1">
      <c r="Q14" s="78" t="str">
        <f>IF('Config'!$G$6="","",'Config'!$G$6)</f>
        <v>Moradia</v>
      </c>
    </row>
    <row r="15" spans="2:19" ht="16.5" customHeight="1">
      <c r="B15" s="107" t="s">
        <v>87</v>
      </c>
      <c r="C15" s="107" t="s">
        <v>88</v>
      </c>
      <c r="D15" s="107" t="s">
        <v>89</v>
      </c>
      <c r="E15" s="107" t="s">
        <v>90</v>
      </c>
      <c r="F15" s="107" t="s">
        <v>91</v>
      </c>
      <c r="H15" s="107" t="s">
        <v>93</v>
      </c>
      <c r="I15" s="107" t="s">
        <v>94</v>
      </c>
      <c r="J15" s="107" t="s">
        <v>95</v>
      </c>
      <c r="K15" s="107" t="s">
        <v>96</v>
      </c>
      <c r="L15" s="107" t="s">
        <v>89</v>
      </c>
      <c r="M15" s="107" t="s">
        <v>97</v>
      </c>
      <c r="N15" s="107" t="s">
        <v>98</v>
      </c>
      <c r="Q15" s="78" t="str">
        <f>IF('Config'!$G$7="","",'Config'!$G$7)</f>
        <v>Contas da casa</v>
      </c>
    </row>
    <row r="16" spans="2:19" ht="16.5" customHeight="1">
      <c r="B16" s="78" t="str">
        <f>IF('Config'!$G$6="","",'Config'!$G$6)</f>
        <v>Moradia</v>
      </c>
      <c r="C16" s="61">
        <f>IF(B16="",0,INDEX('Resumo Anual'!$C$18:$N$18,$C$6))</f>
        <v>0</v>
      </c>
      <c r="D16" s="61">
        <f>IF(B16="",0,'Orçamento'!$C$10)</f>
        <v>0</v>
      </c>
      <c r="E16" s="108">
        <f>IF(C16&gt;0,C16+ROW()/1000000,0)</f>
        <v>0</v>
      </c>
      <c r="F16" s="106">
        <f>IF(AND(D16&gt;0,C16&gt;D16),1,0)</f>
        <v>0</v>
      </c>
      <c r="H16" s="94">
        <v>1</v>
      </c>
      <c r="I16" s="106">
        <f>IF(LARGE($E$16:$E$31,1)&gt;0,MATCH(LARGE($E$16:$E$31,1),$E$16:$E$31,0),0)</f>
        <v>0</v>
      </c>
      <c r="J16" s="78" t="str">
        <f>IF(I16&gt;0,INDEX($B$16:$B$31,I16),"—")</f>
        <v>—</v>
      </c>
      <c r="K16" s="61">
        <f>IF(I16&gt;0,INDEX($C$16:$C$31,I16),0)</f>
        <v>0</v>
      </c>
      <c r="L16" s="61">
        <f>IF(I16&gt;0,INDEX($D$16:$D$31,I16),0)</f>
        <v>0</v>
      </c>
      <c r="M16" s="78" t="str">
        <f>J16</f>
        <v>—</v>
      </c>
      <c r="N16" s="61">
        <f>K16</f>
        <v>0</v>
      </c>
      <c r="Q16" s="78" t="str">
        <f>IF('Config'!$G$8="","",'Config'!$G$8)</f>
        <v>Alimentação</v>
      </c>
    </row>
    <row r="17" spans="2:17" ht="16.5" customHeight="1">
      <c r="B17" s="78" t="str">
        <f>IF('Config'!$G$7="","",'Config'!$G$7)</f>
        <v>Contas da casa</v>
      </c>
      <c r="C17" s="61">
        <f>IF(B17="",0,INDEX('Resumo Anual'!$C$19:$N$19,$C$6))</f>
        <v>0</v>
      </c>
      <c r="D17" s="61">
        <f>IF(B17="",0,'Orçamento'!$C$11)</f>
        <v>0</v>
      </c>
      <c r="E17" s="108">
        <f>IF(C17&gt;0,C17+ROW()/1000000,0)</f>
        <v>0</v>
      </c>
      <c r="F17" s="106">
        <f>IF(AND(D17&gt;0,C17&gt;D17),1,0)</f>
        <v>0</v>
      </c>
      <c r="H17" s="94">
        <v>2</v>
      </c>
      <c r="I17" s="106">
        <f>IF(LARGE($E$16:$E$31,2)&gt;0,MATCH(LARGE($E$16:$E$31,2),$E$16:$E$31,0),0)</f>
        <v>0</v>
      </c>
      <c r="J17" s="78" t="str">
        <f>IF(I17&gt;0,INDEX($B$16:$B$31,I17),"—")</f>
        <v>—</v>
      </c>
      <c r="K17" s="61">
        <f>IF(I17&gt;0,INDEX($C$16:$C$31,I17),0)</f>
        <v>0</v>
      </c>
      <c r="L17" s="61">
        <f>IF(I17&gt;0,INDEX($D$16:$D$31,I17),0)</f>
        <v>0</v>
      </c>
      <c r="M17" s="78" t="str">
        <f>J17</f>
        <v>—</v>
      </c>
      <c r="N17" s="61">
        <f>K17</f>
        <v>0</v>
      </c>
      <c r="Q17" s="78" t="str">
        <f>IF('Config'!$G$9="","",'Config'!$G$9)</f>
        <v>Transporte</v>
      </c>
    </row>
    <row r="18" spans="2:17" ht="16.5" customHeight="1">
      <c r="B18" s="78" t="str">
        <f>IF('Config'!$G$8="","",'Config'!$G$8)</f>
        <v>Alimentação</v>
      </c>
      <c r="C18" s="61">
        <f>IF(B18="",0,INDEX('Resumo Anual'!$C$20:$N$20,$C$6))</f>
        <v>0</v>
      </c>
      <c r="D18" s="61">
        <f>IF(B18="",0,'Orçamento'!$C$12)</f>
        <v>0</v>
      </c>
      <c r="E18" s="108">
        <f>IF(C18&gt;0,C18+ROW()/1000000,0)</f>
        <v>0</v>
      </c>
      <c r="F18" s="106">
        <f>IF(AND(D18&gt;0,C18&gt;D18),1,0)</f>
        <v>0</v>
      </c>
      <c r="H18" s="94">
        <v>3</v>
      </c>
      <c r="I18" s="106">
        <f>IF(LARGE($E$16:$E$31,3)&gt;0,MATCH(LARGE($E$16:$E$31,3),$E$16:$E$31,0),0)</f>
        <v>0</v>
      </c>
      <c r="J18" s="78" t="str">
        <f>IF(I18&gt;0,INDEX($B$16:$B$31,I18),"—")</f>
        <v>—</v>
      </c>
      <c r="K18" s="61">
        <f>IF(I18&gt;0,INDEX($C$16:$C$31,I18),0)</f>
        <v>0</v>
      </c>
      <c r="L18" s="61">
        <f>IF(I18&gt;0,INDEX($D$16:$D$31,I18),0)</f>
        <v>0</v>
      </c>
      <c r="M18" s="78" t="str">
        <f>J18</f>
        <v>—</v>
      </c>
      <c r="N18" s="61">
        <f>K18</f>
        <v>0</v>
      </c>
      <c r="Q18" s="78" t="str">
        <f>IF('Config'!$G$10="","",'Config'!$G$10)</f>
        <v>Saúde</v>
      </c>
    </row>
    <row r="19" spans="2:17" ht="16.5" customHeight="1">
      <c r="B19" s="78" t="str">
        <f>IF('Config'!$G$9="","",'Config'!$G$9)</f>
        <v>Transporte</v>
      </c>
      <c r="C19" s="61">
        <f>IF(B19="",0,INDEX('Resumo Anual'!$C$21:$N$21,$C$6))</f>
        <v>0</v>
      </c>
      <c r="D19" s="61">
        <f>IF(B19="",0,'Orçamento'!$C$13)</f>
        <v>0</v>
      </c>
      <c r="E19" s="108">
        <f>IF(C19&gt;0,C19+ROW()/1000000,0)</f>
        <v>0</v>
      </c>
      <c r="F19" s="106">
        <f>IF(AND(D19&gt;0,C19&gt;D19),1,0)</f>
        <v>0</v>
      </c>
      <c r="H19" s="94">
        <v>4</v>
      </c>
      <c r="I19" s="106">
        <f>IF(LARGE($E$16:$E$31,4)&gt;0,MATCH(LARGE($E$16:$E$31,4),$E$16:$E$31,0),0)</f>
        <v>0</v>
      </c>
      <c r="J19" s="78" t="str">
        <f>IF(I19&gt;0,INDEX($B$16:$B$31,I19),"—")</f>
        <v>—</v>
      </c>
      <c r="K19" s="61">
        <f>IF(I19&gt;0,INDEX($C$16:$C$31,I19),0)</f>
        <v>0</v>
      </c>
      <c r="L19" s="61">
        <f>IF(I19&gt;0,INDEX($D$16:$D$31,I19),0)</f>
        <v>0</v>
      </c>
      <c r="M19" s="78" t="str">
        <f>J19</f>
        <v>—</v>
      </c>
      <c r="N19" s="61">
        <f>K19</f>
        <v>0</v>
      </c>
      <c r="Q19" s="78" t="str">
        <f>IF('Config'!$G$11="","",'Config'!$G$11)</f>
        <v>Educação</v>
      </c>
    </row>
    <row r="20" spans="2:17" ht="16.5" customHeight="1">
      <c r="B20" s="78" t="str">
        <f>IF('Config'!$G$10="","",'Config'!$G$10)</f>
        <v>Saúde</v>
      </c>
      <c r="C20" s="61">
        <f>IF(B20="",0,INDEX('Resumo Anual'!$C$22:$N$22,$C$6))</f>
        <v>0</v>
      </c>
      <c r="D20" s="61">
        <f>IF(B20="",0,'Orçamento'!$C$14)</f>
        <v>0</v>
      </c>
      <c r="E20" s="108">
        <f>IF(C20&gt;0,C20+ROW()/1000000,0)</f>
        <v>0</v>
      </c>
      <c r="F20" s="106">
        <f>IF(AND(D20&gt;0,C20&gt;D20),1,0)</f>
        <v>0</v>
      </c>
      <c r="H20" s="94">
        <v>5</v>
      </c>
      <c r="I20" s="106">
        <f>IF(LARGE($E$16:$E$31,5)&gt;0,MATCH(LARGE($E$16:$E$31,5),$E$16:$E$31,0),0)</f>
        <v>0</v>
      </c>
      <c r="J20" s="78" t="str">
        <f>IF(I20&gt;0,INDEX($B$16:$B$31,I20),"—")</f>
        <v>—</v>
      </c>
      <c r="K20" s="61">
        <f>IF(I20&gt;0,INDEX($C$16:$C$31,I20),0)</f>
        <v>0</v>
      </c>
      <c r="L20" s="61">
        <f>IF(I20&gt;0,INDEX($D$16:$D$31,I20),0)</f>
        <v>0</v>
      </c>
      <c r="M20" s="78" t="str">
        <f>J20</f>
        <v>—</v>
      </c>
      <c r="N20" s="61">
        <f>K20</f>
        <v>0</v>
      </c>
      <c r="Q20" s="78" t="str">
        <f>IF('Config'!$G$12="","",'Config'!$G$12)</f>
        <v>Lazer</v>
      </c>
    </row>
    <row r="21" spans="2:17" ht="16.5" customHeight="1">
      <c r="B21" s="78" t="str">
        <f>IF('Config'!$G$11="","",'Config'!$G$11)</f>
        <v>Educação</v>
      </c>
      <c r="C21" s="61">
        <f>IF(B21="",0,INDEX('Resumo Anual'!$C$23:$N$23,$C$6))</f>
        <v>0</v>
      </c>
      <c r="D21" s="61">
        <f>IF(B21="",0,'Orçamento'!$C$15)</f>
        <v>0</v>
      </c>
      <c r="E21" s="108">
        <f>IF(C21&gt;0,C21+ROW()/1000000,0)</f>
        <v>0</v>
      </c>
      <c r="F21" s="106">
        <f>IF(AND(D21&gt;0,C21&gt;D21),1,0)</f>
        <v>0</v>
      </c>
      <c r="H21" s="94">
        <v>6</v>
      </c>
      <c r="I21" s="106">
        <f>IF(LARGE($E$16:$E$31,6)&gt;0,MATCH(LARGE($E$16:$E$31,6),$E$16:$E$31,0),0)</f>
        <v>0</v>
      </c>
      <c r="J21" s="78" t="str">
        <f>IF(I21&gt;0,INDEX($B$16:$B$31,I21),"—")</f>
        <v>—</v>
      </c>
      <c r="K21" s="61">
        <f>IF(I21&gt;0,INDEX($C$16:$C$31,I21),0)</f>
        <v>0</v>
      </c>
      <c r="L21" s="61">
        <f>IF(I21&gt;0,INDEX($D$16:$D$31,I21),0)</f>
        <v>0</v>
      </c>
      <c r="M21" s="78" t="str">
        <f>J21</f>
        <v>—</v>
      </c>
      <c r="N21" s="61">
        <f>K21</f>
        <v>0</v>
      </c>
      <c r="Q21" s="78" t="str">
        <f>IF('Config'!$G$13="","",'Config'!$G$13)</f>
        <v>Vestuário</v>
      </c>
    </row>
    <row r="22" spans="2:17" ht="16.5" customHeight="1">
      <c r="B22" s="78" t="str">
        <f>IF('Config'!$G$12="","",'Config'!$G$12)</f>
        <v>Lazer</v>
      </c>
      <c r="C22" s="61">
        <f>IF(B22="",0,INDEX('Resumo Anual'!$C$24:$N$24,$C$6))</f>
        <v>0</v>
      </c>
      <c r="D22" s="61">
        <f>IF(B22="",0,'Orçamento'!$C$16)</f>
        <v>0</v>
      </c>
      <c r="E22" s="108">
        <f>IF(C22&gt;0,C22+ROW()/1000000,0)</f>
        <v>0</v>
      </c>
      <c r="F22" s="106">
        <f>IF(AND(D22&gt;0,C22&gt;D22),1,0)</f>
        <v>0</v>
      </c>
      <c r="H22" s="94">
        <v>7</v>
      </c>
      <c r="I22" s="106">
        <f>IF(LARGE($E$16:$E$31,7)&gt;0,MATCH(LARGE($E$16:$E$31,7),$E$16:$E$31,0),0)</f>
        <v>0</v>
      </c>
      <c r="J22" s="78" t="str">
        <f>IF(I22&gt;0,INDEX($B$16:$B$31,I22),"—")</f>
        <v>—</v>
      </c>
      <c r="K22" s="61">
        <f>IF(I22&gt;0,INDEX($C$16:$C$31,I22),0)</f>
        <v>0</v>
      </c>
      <c r="L22" s="61">
        <f>IF(I22&gt;0,INDEX($D$16:$D$31,I22),0)</f>
        <v>0</v>
      </c>
      <c r="M22" s="78" t="str">
        <f>J22</f>
        <v>—</v>
      </c>
      <c r="N22" s="61">
        <f>K22</f>
        <v>0</v>
      </c>
      <c r="Q22" s="78" t="str">
        <f>IF('Config'!$G$14="","",'Config'!$G$14)</f>
        <v>Assinaturas</v>
      </c>
    </row>
    <row r="23" spans="2:17" ht="16.5" customHeight="1">
      <c r="B23" s="78" t="str">
        <f>IF('Config'!$G$13="","",'Config'!$G$13)</f>
        <v>Vestuário</v>
      </c>
      <c r="C23" s="61">
        <f>IF(B23="",0,INDEX('Resumo Anual'!$C$25:$N$25,$C$6))</f>
        <v>0</v>
      </c>
      <c r="D23" s="61">
        <f>IF(B23="",0,'Orçamento'!$C$17)</f>
        <v>0</v>
      </c>
      <c r="E23" s="108">
        <f>IF(C23&gt;0,C23+ROW()/1000000,0)</f>
        <v>0</v>
      </c>
      <c r="F23" s="106">
        <f>IF(AND(D23&gt;0,C23&gt;D23),1,0)</f>
        <v>0</v>
      </c>
      <c r="H23" s="94">
        <v>8</v>
      </c>
      <c r="I23" s="106">
        <f>IF(LARGE($E$16:$E$31,8)&gt;0,MATCH(LARGE($E$16:$E$31,8),$E$16:$E$31,0),0)</f>
        <v>0</v>
      </c>
      <c r="J23" s="78" t="str">
        <f>IF(I23&gt;0,INDEX($B$16:$B$31,I23),"—")</f>
        <v>—</v>
      </c>
      <c r="K23" s="61">
        <f>IF(I23&gt;0,INDEX($C$16:$C$31,I23),0)</f>
        <v>0</v>
      </c>
      <c r="L23" s="61">
        <f>IF(I23&gt;0,INDEX($D$16:$D$31,I23),0)</f>
        <v>0</v>
      </c>
      <c r="M23" s="78" t="s">
        <v>99</v>
      </c>
      <c r="N23" s="61">
        <f>MAX(0,$C$10-SUM(N16:N22))</f>
        <v>0</v>
      </c>
      <c r="Q23" s="78" t="str">
        <f>IF('Config'!$G$15="","",'Config'!$G$15)</f>
        <v>Cuidados pessoais</v>
      </c>
    </row>
    <row r="24" spans="2:17" ht="16.5" customHeight="1">
      <c r="B24" s="78" t="str">
        <f>IF('Config'!$G$14="","",'Config'!$G$14)</f>
        <v>Assinaturas</v>
      </c>
      <c r="C24" s="61">
        <f>IF(B24="",0,INDEX('Resumo Anual'!$C$26:$N$26,$C$6))</f>
        <v>0</v>
      </c>
      <c r="D24" s="61">
        <f>IF(B24="",0,'Orçamento'!$C$18)</f>
        <v>0</v>
      </c>
      <c r="E24" s="108">
        <f>IF(C24&gt;0,C24+ROW()/1000000,0)</f>
        <v>0</v>
      </c>
      <c r="F24" s="106">
        <f>IF(AND(D24&gt;0,C24&gt;D24),1,0)</f>
        <v>0</v>
      </c>
      <c r="Q24" s="78" t="str">
        <f>IF('Config'!$G$16="","",'Config'!$G$16)</f>
        <v>Pets</v>
      </c>
    </row>
    <row r="25" spans="2:17" ht="16.5" customHeight="1">
      <c r="B25" s="78" t="str">
        <f>IF('Config'!$G$15="","",'Config'!$G$15)</f>
        <v>Cuidados pessoais</v>
      </c>
      <c r="C25" s="61">
        <f>IF(B25="",0,INDEX('Resumo Anual'!$C$27:$N$27,$C$6))</f>
        <v>0</v>
      </c>
      <c r="D25" s="61">
        <f>IF(B25="",0,'Orçamento'!$C$19)</f>
        <v>0</v>
      </c>
      <c r="E25" s="108">
        <f>IF(C25&gt;0,C25+ROW()/1000000,0)</f>
        <v>0</v>
      </c>
      <c r="F25" s="106">
        <f>IF(AND(D25&gt;0,C25&gt;D25),1,0)</f>
        <v>0</v>
      </c>
      <c r="Q25" s="78" t="str">
        <f>IF('Config'!$G$17="","",'Config'!$G$17)</f>
        <v>Presentes e doações</v>
      </c>
    </row>
    <row r="26" spans="2:17" ht="16.5" customHeight="1">
      <c r="B26" s="78" t="str">
        <f>IF('Config'!$G$16="","",'Config'!$G$16)</f>
        <v>Pets</v>
      </c>
      <c r="C26" s="61">
        <f>IF(B26="",0,INDEX('Resumo Anual'!$C$28:$N$28,$C$6))</f>
        <v>0</v>
      </c>
      <c r="D26" s="61">
        <f>IF(B26="",0,'Orçamento'!$C$20)</f>
        <v>0</v>
      </c>
      <c r="E26" s="108">
        <f>IF(C26&gt;0,C26+ROW()/1000000,0)</f>
        <v>0</v>
      </c>
      <c r="F26" s="106">
        <f>IF(AND(D26&gt;0,C26&gt;D26),1,0)</f>
        <v>0</v>
      </c>
      <c r="Q26" s="78" t="str">
        <f>IF('Config'!$G$18="","",'Config'!$G$18)</f>
        <v>Dívidas e financiamentos</v>
      </c>
    </row>
    <row r="27" spans="2:17" ht="16.5" customHeight="1">
      <c r="B27" s="78" t="str">
        <f>IF('Config'!$G$17="","",'Config'!$G$17)</f>
        <v>Presentes e doações</v>
      </c>
      <c r="C27" s="61">
        <f>IF(B27="",0,INDEX('Resumo Anual'!$C$29:$N$29,$C$6))</f>
        <v>0</v>
      </c>
      <c r="D27" s="61">
        <f>IF(B27="",0,'Orçamento'!$C$21)</f>
        <v>0</v>
      </c>
      <c r="E27" s="108">
        <f>IF(C27&gt;0,C27+ROW()/1000000,0)</f>
        <v>0</v>
      </c>
      <c r="F27" s="106">
        <f>IF(AND(D27&gt;0,C27&gt;D27),1,0)</f>
        <v>0</v>
      </c>
      <c r="Q27" s="78" t="str">
        <f>IF('Config'!$G$19="","",'Config'!$G$19)</f>
        <v>Reserva e Metas</v>
      </c>
    </row>
    <row r="28" spans="2:17" ht="16.5" customHeight="1">
      <c r="B28" s="78" t="str">
        <f>IF('Config'!$G$18="","",'Config'!$G$18)</f>
        <v>Dívidas e financiamentos</v>
      </c>
      <c r="C28" s="61">
        <f>IF(B28="",0,INDEX('Resumo Anual'!$C$30:$N$30,$C$6))</f>
        <v>0</v>
      </c>
      <c r="D28" s="61">
        <f>IF(B28="",0,'Orçamento'!$C$22)</f>
        <v>0</v>
      </c>
      <c r="E28" s="108">
        <f>IF(C28&gt;0,C28+ROW()/1000000,0)</f>
        <v>0</v>
      </c>
      <c r="F28" s="106">
        <f>IF(AND(D28&gt;0,C28&gt;D28),1,0)</f>
        <v>0</v>
      </c>
      <c r="Q28" s="78" t="str">
        <f>IF('Config'!$G$20="","",'Config'!$G$20)</f>
        <v>Impostos pessoais</v>
      </c>
    </row>
    <row r="29" spans="2:17" ht="16.5" customHeight="1">
      <c r="B29" s="78" t="str">
        <f>IF('Config'!$G$19="","",'Config'!$G$19)</f>
        <v>Reserva e Metas</v>
      </c>
      <c r="C29" s="61">
        <f>IF(B29="",0,INDEX('Resumo Anual'!$C$31:$N$31,$C$6))</f>
        <v>0</v>
      </c>
      <c r="D29" s="61">
        <f>IF(B29="",0,'Orçamento'!$C$23)</f>
        <v>0</v>
      </c>
      <c r="E29" s="108">
        <f>IF(C29&gt;0,C29+ROW()/1000000,0)</f>
        <v>0</v>
      </c>
      <c r="F29" s="106">
        <f>0</f>
        <v>0</v>
      </c>
      <c r="Q29" s="78" t="str">
        <f>IF('Config'!$G$21="","",'Config'!$G$21)</f>
        <v>Outros</v>
      </c>
    </row>
    <row r="30" spans="2:17" ht="16.5" customHeight="1">
      <c r="B30" s="78" t="str">
        <f>IF('Config'!$G$20="","",'Config'!$G$20)</f>
        <v>Impostos pessoais</v>
      </c>
      <c r="C30" s="61">
        <f>IF(B30="",0,INDEX('Resumo Anual'!$C$32:$N$32,$C$6))</f>
        <v>0</v>
      </c>
      <c r="D30" s="61">
        <f>IF(B30="",0,'Orçamento'!$C$24)</f>
        <v>0</v>
      </c>
      <c r="E30" s="108">
        <f>IF(C30&gt;0,C30+ROW()/1000000,0)</f>
        <v>0</v>
      </c>
      <c r="F30" s="106">
        <f>IF(AND(D30&gt;0,C30&gt;D30),1,0)</f>
        <v>0</v>
      </c>
    </row>
    <row r="31" spans="2:17" ht="16.5" customHeight="1">
      <c r="B31" s="78" t="str">
        <f>IF('Config'!$G$21="","",'Config'!$G$21)</f>
        <v>Outros</v>
      </c>
      <c r="C31" s="61">
        <f>IF(B31="",0,INDEX('Resumo Anual'!$C$33:$N$33,$C$6))</f>
        <v>0</v>
      </c>
      <c r="D31" s="61">
        <f>IF(B31="",0,'Orçamento'!$C$25)</f>
        <v>0</v>
      </c>
      <c r="E31" s="108">
        <f>IF(C31&gt;0,C31+ROW()/1000000,0)</f>
        <v>0</v>
      </c>
      <c r="F31" s="106">
        <f>IF(AND(D31&gt;0,C31&gt;D31),1,0)</f>
        <v>0</v>
      </c>
    </row>
  </sheetData>
  <mergeCells count="9">
    <mergeCell ref="C1:E1"/>
    <mergeCell ref="F1:I1"/>
    <mergeCell ref="J1:K1"/>
    <mergeCell ref="L1:N1"/>
    <mergeCell ref="O1:Q1"/>
    <mergeCell ref="R1:S1"/>
    <mergeCell ref="B3:S3"/>
    <mergeCell ref="B4:S4"/>
    <mergeCell ref="B5:C5"/>
  </mergeCells>
  <hyperlinks>
    <hyperlink ref="B1" location="'Início'!A1" display="🏠 Início"/>
    <hyperlink ref="C1" location="'Painel'!A1" display="📊 Painel"/>
    <hyperlink ref="F1" location="'Lançamentos'!A1" display="📝 Lançamentos"/>
    <hyperlink ref="J1" location="'Orçamento'!A1" display="💳 Orçamento"/>
    <hyperlink ref="L1" location="'Resumo Anual'!A1" display="📅 Resumo Anual"/>
    <hyperlink ref="O1" location="'Metas'!A1" display="🎯 Metas"/>
    <hyperlink ref="R1" location="'Config'!A1" display="⚙ Config"/>
  </hyperlinks>
  <pageMargins left="0.4" right="0.4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Início</vt:lpstr>
      <vt:lpstr>Painel</vt:lpstr>
      <vt:lpstr>Lançamentos</vt:lpstr>
      <vt:lpstr>Orçamento</vt:lpstr>
      <vt:lpstr>Resumo Anual</vt:lpstr>
      <vt:lpstr>Metas</vt:lpstr>
      <vt:lpstr>Config</vt:lpstr>
      <vt:lpstr>Dados</vt:lpstr>
      <vt:lpstr>Lançamentos!Print_Titles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Finanças em Dia — Pessoal</dc:title>
  <dc:subject>Planilha de controle financeiro</dc:subject>
  <dc:creator>Finanças em Dia</dc:creator>
  <dc:description>Compatível com Excel e Google Sheets</dc:description>
  <cp:lastModifiedBy>Finanças em Dia</cp:lastModifiedBy>
  <dcterms:created xsi:type="dcterms:W3CDTF">2026-10-04T10:22:54Z</dcterms:created>
  <dcterms:modified xsi:type="dcterms:W3CDTF">2026-10-04T10:22:54Z</dcterms:modified>
</cp:coreProperties>
</file>