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Painel Geral" sheetId="2" r:id="rId2"/>
    <sheet name="Painel Pessoal" sheetId="3" r:id="rId3"/>
    <sheet name="Painel Negócio" sheetId="4" r:id="rId4"/>
    <sheet name="Lanç. Pessoal" sheetId="5" r:id="rId5"/>
    <sheet name="Orçamento Pessoal" sheetId="6" r:id="rId6"/>
    <sheet name="Resumo Pessoal" sheetId="7" r:id="rId7"/>
    <sheet name="Metas" sheetId="8" r:id="rId8"/>
    <sheet name="Lanç. Negócio" sheetId="9" r:id="rId9"/>
    <sheet name="Clientes" sheetId="10" r:id="rId10"/>
    <sheet name="Recebimentos" sheetId="11" r:id="rId11"/>
    <sheet name="Impostos" sheetId="12" r:id="rId12"/>
    <sheet name="Fluxo de Caixa" sheetId="13" r:id="rId13"/>
    <sheet name="Config" sheetId="14" r:id="rId14"/>
    <sheet name="Dados" sheetId="15" r:id="rId15"/>
  </sheets>
  <definedNames>
    <definedName name="_xlnm._FilterDatabase" localSheetId="8" hidden="1">'Lanç. Negócio'!$B$10:$I$1510</definedName>
    <definedName name="_xlnm._FilterDatabase" localSheetId="4" hidden="1">'Lanç. Pessoal'!$B$10:$I$1510</definedName>
    <definedName name="_xlnm._FilterDatabase" localSheetId="10" hidden="1">Recebimentos!$B$10:$M$1010</definedName>
    <definedName name="_xlnm.Print_Titles" localSheetId="8">'Lanç. Negócio'!$10:$10</definedName>
    <definedName name="_xlnm.Print_Titles" localSheetId="4">'Lanç. Pessoal'!$10:$10</definedName>
    <definedName name="_xlnm.Print_Titles" localSheetId="10">Recebimentos!$10:$10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Escolha no menu suspenso. A lista vem da aba Config.</t>
        </r>
      </text>
    </comment>
    <comment ref="F10" authorId="0">
      <text>
        <r>
          <rPr>
            <sz val="8"/>
            <color indexed="81"/>
            <rFont val="Tahoma"/>
            <family val="2"/>
          </rPr>
          <t>Digite SEMPRE valores positivos. O Tipo (Entrada/Saída) é automático e vem da categoria.</t>
        </r>
      </text>
    </comment>
    <comment ref="G10" authorId="0">
      <text>
        <r>
          <rPr>
            <sz val="8"/>
            <color indexed="81"/>
            <rFont val="Tahoma"/>
            <family val="2"/>
          </rPr>
          <t>Automático: Entrada ou Saída conforme a categoria. 'Verificar' = categoria que não existe mais na aba Config.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Escolha no menu suspenso. A lista vem da aba Config.</t>
        </r>
      </text>
    </comment>
    <comment ref="F10" authorId="0">
      <text>
        <r>
          <rPr>
            <sz val="8"/>
            <color indexed="81"/>
            <rFont val="Tahoma"/>
            <family val="2"/>
          </rPr>
          <t>Digite SEMPRE valores positivos. O Tipo (Entrada/Saída) é automático e vem da categoria.</t>
        </r>
      </text>
    </comment>
    <comment ref="G10" authorId="0">
      <text>
        <r>
          <rPr>
            <sz val="8"/>
            <color indexed="81"/>
            <rFont val="Tahoma"/>
            <family val="2"/>
          </rPr>
          <t>Automático: Entrada ou Saída conforme a categoria. 'Verificar' = categoria que não existe mais na aba Config.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G10" authorId="0">
      <text>
        <r>
          <rPr>
            <sz val="8"/>
            <color indexed="81"/>
            <rFont val="Tahoma"/>
            <family val="2"/>
          </rPr>
          <t>Preencha SÓ quando o cliente pagar. Vazio = ainda em aberto.</t>
        </r>
      </text>
    </comment>
  </commentList>
</comments>
</file>

<file path=xl/sharedStrings.xml><?xml version="1.0" encoding="utf-8"?>
<sst xmlns="http://schemas.openxmlformats.org/spreadsheetml/2006/main" count="2143" uniqueCount="531">
  <si>
    <t>🏠 Início</t>
  </si>
  <si>
    <t>📊 Painel Geral</t>
  </si>
  <si>
    <t>👤 Painel Pessoal</t>
  </si>
  <si>
    <t>💼 Painel Negócio</t>
  </si>
  <si>
    <t>⚙ Config</t>
  </si>
  <si>
    <t>PESSOAL</t>
  </si>
  <si>
    <t>📝 Lançamentos</t>
  </si>
  <si>
    <t>💳 Orçamento</t>
  </si>
  <si>
    <t>📅 Resumo anual</t>
  </si>
  <si>
    <t>🎯 Metas</t>
  </si>
  <si>
    <t>NEGÓCIO</t>
  </si>
  <si>
    <t>🤝 Clientes</t>
  </si>
  <si>
    <t>💰 Recebimentos</t>
  </si>
  <si>
    <t>🧾 Impostos</t>
  </si>
  <si>
    <t>📈 Fluxo de Caixa</t>
  </si>
  <si>
    <t>⚙ Configurações</t>
  </si>
  <si>
    <t>Personalize categorias, ano e parâmetros — tudo nas células amarelas. As mudanças se refletem em todas as abas.</t>
  </si>
  <si>
    <t>PARÂMETROS GERAIS</t>
  </si>
  <si>
    <t>Ano de referência</t>
  </si>
  <si>
    <t>Data de hoje (referência)</t>
  </si>
  <si>
    <t>Seu nome / título nos painéis</t>
  </si>
  <si>
    <t>Meu Controle Financeiro</t>
  </si>
  <si>
    <t>Meta de taxa de poupança</t>
  </si>
  <si>
    <t>Saldo pessoal em 1º de janeiro</t>
  </si>
  <si>
    <t>Nome do negócio</t>
  </si>
  <si>
    <t>Estúdio Exemplo</t>
  </si>
  <si>
    <t>💡 Células AMARELAS são suas: edite à vontade. A data de hoje usa =HOJE(); se quiser congelar uma data (por exemplo para estudar um mês passado), digite-a.
💡 Renomeie as categorias ao lado como preferir — os painéis acompanham. Evite deixar vazio e evite nomes repetidos.
💡 A 14ª categoria de SAÍDA ('Reserva e Metas') é tratada como poupança, não como gasto, no cálculo da taxa de poupança.
⚠ Renomeie as categorias ANTES de começar a lançar. Se renomear depois, use Localizar e Substituir na coluna Categoria dos lançamentos (senão eles ficam como 'Verificar').</t>
  </si>
  <si>
    <t>ENTRADAS PESSOAIS</t>
  </si>
  <si>
    <t>Pró-labore / Retirada do negócio</t>
  </si>
  <si>
    <t>Salário / Renda fixa</t>
  </si>
  <si>
    <t>Renda extra</t>
  </si>
  <si>
    <t>Rendimentos de investimentos</t>
  </si>
  <si>
    <t>Reembolsos</t>
  </si>
  <si>
    <t>Aluguéis recebidos</t>
  </si>
  <si>
    <t>Presentes recebidos</t>
  </si>
  <si>
    <t>Outras entradas</t>
  </si>
  <si>
    <t>SAÍDAS PESSOAIS</t>
  </si>
  <si>
    <t>Moradia</t>
  </si>
  <si>
    <t>Contas da casa</t>
  </si>
  <si>
    <t>Alimentação</t>
  </si>
  <si>
    <t>Transporte</t>
  </si>
  <si>
    <t>Saúde</t>
  </si>
  <si>
    <t>Educação</t>
  </si>
  <si>
    <t>Lazer</t>
  </si>
  <si>
    <t>Vestuário</t>
  </si>
  <si>
    <t>Assinaturas</t>
  </si>
  <si>
    <t>Cuidados pessoais</t>
  </si>
  <si>
    <t>Pets</t>
  </si>
  <si>
    <t>Presentes e doações</t>
  </si>
  <si>
    <t>Dívidas e financiamentos</t>
  </si>
  <si>
    <t>Reserva e Metas</t>
  </si>
  <si>
    <t>Impostos pessoais</t>
  </si>
  <si>
    <t>Outros</t>
  </si>
  <si>
    <t>FORMAS DE PAGAMENTO</t>
  </si>
  <si>
    <t>Pix</t>
  </si>
  <si>
    <t>Cartão de débito</t>
  </si>
  <si>
    <t>Cartão de crédito</t>
  </si>
  <si>
    <t>Dinheiro</t>
  </si>
  <si>
    <t>Boleto</t>
  </si>
  <si>
    <t>Transferência</t>
  </si>
  <si>
    <t>Débito automático</t>
  </si>
  <si>
    <t>Outro</t>
  </si>
  <si>
    <t>NEGÓCIO — ENTRADAS</t>
  </si>
  <si>
    <t>Receita avulsa (vendas/serviços)</t>
  </si>
  <si>
    <t>Aporte do sócio</t>
  </si>
  <si>
    <t>Rendimentos do caixa</t>
  </si>
  <si>
    <t>Reembolsos recebidos</t>
  </si>
  <si>
    <t>Venda de equipamentos</t>
  </si>
  <si>
    <t>Estornos e devoluções</t>
  </si>
  <si>
    <t>Subsídios e prêmios</t>
  </si>
  <si>
    <t>NEGÓCIO — SAÍDAS</t>
  </si>
  <si>
    <t>Pró-labore / Retirada</t>
  </si>
  <si>
    <t>Materiais e insumos</t>
  </si>
  <si>
    <t>Software e assinaturas</t>
  </si>
  <si>
    <t>Marketing e anúncios</t>
  </si>
  <si>
    <t>Equipamentos</t>
  </si>
  <si>
    <t>Transporte e viagens</t>
  </si>
  <si>
    <t>Alimentação a trabalho</t>
  </si>
  <si>
    <t>Aluguel / coworking</t>
  </si>
  <si>
    <t>Internet e telefone</t>
  </si>
  <si>
    <t>Contabilidade</t>
  </si>
  <si>
    <t>Taxas e tarifas</t>
  </si>
  <si>
    <t>Capacitação e cursos</t>
  </si>
  <si>
    <t>Outros impostos e taxas</t>
  </si>
  <si>
    <t>Terceiros / freelancers</t>
  </si>
  <si>
    <t>Seguros</t>
  </si>
  <si>
    <t>Outras despesas</t>
  </si>
  <si>
    <t>MÊS</t>
  </si>
  <si>
    <t>ABREV.</t>
  </si>
  <si>
    <t>Janeiro</t>
  </si>
  <si>
    <t>Jan</t>
  </si>
  <si>
    <t>Fevereiro</t>
  </si>
  <si>
    <t>Fev</t>
  </si>
  <si>
    <t>Março</t>
  </si>
  <si>
    <t>Mar</t>
  </si>
  <si>
    <t>Abril</t>
  </si>
  <si>
    <t>Abr</t>
  </si>
  <si>
    <t>Maio</t>
  </si>
  <si>
    <t>Mai</t>
  </si>
  <si>
    <t>Junho</t>
  </si>
  <si>
    <t>Jun</t>
  </si>
  <si>
    <t>Julho</t>
  </si>
  <si>
    <t>Jul</t>
  </si>
  <si>
    <t>Agosto</t>
  </si>
  <si>
    <t>Ago</t>
  </si>
  <si>
    <t>Setembro</t>
  </si>
  <si>
    <t>Set</t>
  </si>
  <si>
    <t>Outubro</t>
  </si>
  <si>
    <t>Out</t>
  </si>
  <si>
    <t>Novembro</t>
  </si>
  <si>
    <t>Nov</t>
  </si>
  <si>
    <t>Dezembro</t>
  </si>
  <si>
    <t>Dez</t>
  </si>
  <si>
    <t>⚠ A 1ª categoria de saída do negócio (Pró-labore / Retirada) e a 1ª de entrada pessoal (Pró-labore / Retirada do negócio) têm tratamento especial: lance a MESMA retirada nas duas pontas. A 1ª entrada do negócio (Receita avulsa) conta como faturamento.</t>
  </si>
  <si>
    <t>🧮 Dados auxiliares</t>
  </si>
  <si>
    <t>Cálculos que alimentam os gráficos e painéis. Não edite esta aba.</t>
  </si>
  <si>
    <t>PARÂMETROS CALCULADOS</t>
  </si>
  <si>
    <t>Mês selecionado – Painel (1-12)</t>
  </si>
  <si>
    <t>Mês selecionado – Orçamento (1-12)</t>
  </si>
  <si>
    <t>Meses decorridos no ano (pela data de hoje)</t>
  </si>
  <si>
    <t>Meses com movimento (pessoal)</t>
  </si>
  <si>
    <t>Total de saídas no mês do Painel</t>
  </si>
  <si>
    <t>LISTA COMBINADA (pessoal)</t>
  </si>
  <si>
    <t>Categoria de saída</t>
  </si>
  <si>
    <t>Valor no mês</t>
  </si>
  <si>
    <t>Planejado</t>
  </si>
  <si>
    <t>Chave (aux)</t>
  </si>
  <si>
    <t>Acima?</t>
  </si>
  <si>
    <t>Categorias acima do orçamento (mês do Painel)</t>
  </si>
  <si>
    <t>#</t>
  </si>
  <si>
    <t>Posição na lista</t>
  </si>
  <si>
    <t>Categoria</t>
  </si>
  <si>
    <t>Realizado</t>
  </si>
  <si>
    <t>Rosca – categoria</t>
  </si>
  <si>
    <t>Valor</t>
  </si>
  <si>
    <t>Outras categorias</t>
  </si>
  <si>
    <t>Título do gráfico de rosca</t>
  </si>
  <si>
    <t>📝 Lançamentos pessoais</t>
  </si>
  <si>
    <t>Preencha as colunas amarelas. Valor sempre positivo; o Tipo (Entrada/Saída) é automático pela categoria.</t>
  </si>
  <si>
    <t>ENTRADAS NO ANO</t>
  </si>
  <si>
    <t>SAÍDAS NO ANO</t>
  </si>
  <si>
    <t>SALDO DO ANO</t>
  </si>
  <si>
    <t>VERIFICAÇÃO AUTOMÁTICA</t>
  </si>
  <si>
    <t>Data</t>
  </si>
  <si>
    <t>Descrição</t>
  </si>
  <si>
    <t>Forma de pagamento</t>
  </si>
  <si>
    <t>Valor (R$)</t>
  </si>
  <si>
    <t>Tipo</t>
  </si>
  <si>
    <t>Meta (opcional)</t>
  </si>
  <si>
    <t>Observação</t>
  </si>
  <si>
    <t>Academia</t>
  </si>
  <si>
    <t>Supermercado</t>
  </si>
  <si>
    <t>Combustível</t>
  </si>
  <si>
    <t>Pró-labore do mês</t>
  </si>
  <si>
    <t>Aporte reserva de emergência</t>
  </si>
  <si>
    <t>Reserva de emergência</t>
  </si>
  <si>
    <t>Aporte reserva para impostos</t>
  </si>
  <si>
    <t>Reserva para impostos</t>
  </si>
  <si>
    <t>Armazenamento na nuvem</t>
  </si>
  <si>
    <t>Netflix</t>
  </si>
  <si>
    <t>Padaria / hortifruti</t>
  </si>
  <si>
    <t>Spotify</t>
  </si>
  <si>
    <t>App de transporte</t>
  </si>
  <si>
    <t>Internet fibra</t>
  </si>
  <si>
    <t>Restaurante / bar</t>
  </si>
  <si>
    <t>Delivery</t>
  </si>
  <si>
    <t>Aluguel</t>
  </si>
  <si>
    <t>Condomínio</t>
  </si>
  <si>
    <t>Plano de saúde</t>
  </si>
  <si>
    <t>Conta de água</t>
  </si>
  <si>
    <t>Cinema / show</t>
  </si>
  <si>
    <t>Conta de luz</t>
  </si>
  <si>
    <t>Curso online</t>
  </si>
  <si>
    <t>Salão / barbearia</t>
  </si>
  <si>
    <t>Despesas diversas</t>
  </si>
  <si>
    <t>Farmácia</t>
  </si>
  <si>
    <t>Doação mensal</t>
  </si>
  <si>
    <t>Rendimento da poupança</t>
  </si>
  <si>
    <t>IPVA</t>
  </si>
  <si>
    <t>Botijão de gás</t>
  </si>
  <si>
    <t>Roupas</t>
  </si>
  <si>
    <t>Consulta médica</t>
  </si>
  <si>
    <t>Restituição / reembolso</t>
  </si>
  <si>
    <t>Aporte viagem</t>
  </si>
  <si>
    <t>Viagem de férias</t>
  </si>
  <si>
    <t>Revisão do carro</t>
  </si>
  <si>
    <t>Presente Dia das Mães</t>
  </si>
  <si>
    <t>Aniversário</t>
  </si>
  <si>
    <t>Viagem de férias (hotel e passagens)</t>
  </si>
  <si>
    <t>Presente Dia dos Pais</t>
  </si>
  <si>
    <t>Pneus</t>
  </si>
  <si>
    <t>📅 Resumo anual — entradas e saídas por mês</t>
  </si>
  <si>
    <t>Totalizado automaticamente a partir da aba de lançamentos. Cores destacam saldos positivos e negativos.</t>
  </si>
  <si>
    <t>Total</t>
  </si>
  <si>
    <t>Média/mês</t>
  </si>
  <si>
    <t>% das saídas</t>
  </si>
  <si>
    <t>▲  ENTRADAS</t>
  </si>
  <si>
    <t>Total de entradas</t>
  </si>
  <si>
    <t>▼  SAÍDAS</t>
  </si>
  <si>
    <t>Total de saídas</t>
  </si>
  <si>
    <t>💰 Saldo do mês (entradas − saídas)</t>
  </si>
  <si>
    <t>📈 Saldo acumulado (inclui saldo inicial)</t>
  </si>
  <si>
    <t>🏦 Taxa de poupança</t>
  </si>
  <si>
    <t>Taxa de poupança: o que sobrou + o que foi para 'Reserva e Metas' (14ª categoria de saída, tratada como poupança, não como gasto). Verde = meta atingida (Config); amarelo = abaixo da meta; vermelho = negativa.</t>
  </si>
  <si>
    <t>💳 Orçamento mensal — planejado × realizado</t>
  </si>
  <si>
    <t>Defina quanto pretende gastar em cada categoria. O 'realizado' vem dos lançamentos do mês escolhido.</t>
  </si>
  <si>
    <t>📅 Mês de análise:</t>
  </si>
  <si>
    <t>← escolha o mês no menu suspenso. Os valores planejados (amarelo) valem para todos os meses.</t>
  </si>
  <si>
    <t>Planejado (mês)</t>
  </si>
  <si>
    <t>Diferença</t>
  </si>
  <si>
    <t>% usado</t>
  </si>
  <si>
    <t>Progresso</t>
  </si>
  <si>
    <t>Situação</t>
  </si>
  <si>
    <t>Renda do mês (entradas)</t>
  </si>
  <si>
    <t>DESPESAS POR CATEGORIA</t>
  </si>
  <si>
    <t>TOTAL DAS DESPESAS</t>
  </si>
  <si>
    <t>SALDO (renda − despesas)</t>
  </si>
  <si>
    <t>🎯 Metas de economia</t>
  </si>
  <si>
    <t>Cadastre seus objetivos. Para registrar um aporte, lance uma SAÍDA na aba de lançamentos e escolha a meta na última coluna (um resgate é uma ENTRADA com a meta escolhida).</t>
  </si>
  <si>
    <t>Meta</t>
  </si>
  <si>
    <t>Valor alvo</t>
  </si>
  <si>
    <t>Já guardado (antes)</t>
  </si>
  <si>
    <t>Prazo</t>
  </si>
  <si>
    <t>Aportes lançados</t>
  </si>
  <si>
    <t>Total guardado</t>
  </si>
  <si>
    <t>% concl.</t>
  </si>
  <si>
    <t>Falta</t>
  </si>
  <si>
    <t>Meses restantes</t>
  </si>
  <si>
    <t>Aporte mensal necessário</t>
  </si>
  <si>
    <t>🛟 RESERVA DE EMERGÊNCIA IDEAL</t>
  </si>
  <si>
    <t>Meses de cobertura desejados</t>
  </si>
  <si>
    <t>Média mensal de saídas</t>
  </si>
  <si>
    <t>Reserva ideal (meses × média)</t>
  </si>
  <si>
    <t>Total guardado nas suas metas</t>
  </si>
  <si>
    <t>A regra de bolso: entre 3 e 6 meses do seu custo de vida (6 a 12 para autônomos e renda variável).</t>
  </si>
  <si>
    <t>Escolha o mês no menu suspenso: cartões, gráficos e alertas se atualizam sozinhos.</t>
  </si>
  <si>
    <t>📅 Mês de análise</t>
  </si>
  <si>
    <t>← o ano e a meta de poupança ficam na aba Config</t>
  </si>
  <si>
    <t>ENTRADAS DO MÊS</t>
  </si>
  <si>
    <t>SAÍDAS DO MÊS</t>
  </si>
  <si>
    <t>SALDO DO MÊS</t>
  </si>
  <si>
    <t>TAXA DE POUPANÇA</t>
  </si>
  <si>
    <t>SALDO ACUMULADO</t>
  </si>
  <si>
    <t>no ano, até o mês escolhido</t>
  </si>
  <si>
    <t>MAIOR GASTO DO MÊS</t>
  </si>
  <si>
    <t>🎯  METAS DE ECONOMIA</t>
  </si>
  <si>
    <t>Guardado</t>
  </si>
  <si>
    <t>%</t>
  </si>
  <si>
    <t>Veja todas as metas e o simulador de aportes na aba Metas.</t>
  </si>
  <si>
    <t>🔔  ALERTAS E INSIGHTS DO MÊS</t>
  </si>
  <si>
    <t>📝 Lançamentos do negócio — despesas e receitas avulsas</t>
  </si>
  <si>
    <t>Receitas de CLIENTES vão em Recebimentos (não duplique aqui). Aqui: despesas, retirada de pró-labore e receitas avulsas.</t>
  </si>
  <si>
    <t>ENTRADAS AVULSAS NO ANO</t>
  </si>
  <si>
    <t>DESPESAS NO ANO (SEM PRÓ-LABORE)</t>
  </si>
  <si>
    <t>PRÓ-LABORE RETIRADO</t>
  </si>
  <si>
    <t>Cliente (opcional)</t>
  </si>
  <si>
    <t>Adobe Creative Cloud</t>
  </si>
  <si>
    <t>Canva Pro</t>
  </si>
  <si>
    <t>Retirada de pró-labore</t>
  </si>
  <si>
    <t>Vai para Pessoal</t>
  </si>
  <si>
    <t>Coworking</t>
  </si>
  <si>
    <t>Hospedagem e domínio</t>
  </si>
  <si>
    <t>Internet e celular (parte profissional)</t>
  </si>
  <si>
    <t>Anúncios (Meta Ads)</t>
  </si>
  <si>
    <t>Seguro de equipamentos</t>
  </si>
  <si>
    <t>Transporte a clientes</t>
  </si>
  <si>
    <t>Tarifas bancárias e maquininha</t>
  </si>
  <si>
    <t>Almoço com cliente</t>
  </si>
  <si>
    <t>Receita avulsa – venda de templates</t>
  </si>
  <si>
    <t>Freelancer de motion design</t>
  </si>
  <si>
    <t>Curso de especialização</t>
  </si>
  <si>
    <t>Monitor 27" 4K</t>
  </si>
  <si>
    <t>Equipamento</t>
  </si>
  <si>
    <t>🤝 Clientes — quem paga, quanto e quando</t>
  </si>
  <si>
    <t>Cadastre o cliente (colunas amarelas). Os totais vêm da aba Recebimentos e se atualizam sozinhos.</t>
  </si>
  <si>
    <t>Cliente</t>
  </si>
  <si>
    <t>Contato</t>
  </si>
  <si>
    <t>E-mail / Telefone</t>
  </si>
  <si>
    <t>Origem</t>
  </si>
  <si>
    <t>Nº cobranças</t>
  </si>
  <si>
    <t>Faturado no ano</t>
  </si>
  <si>
    <t>Recebido no ano</t>
  </si>
  <si>
    <t>A receber</t>
  </si>
  <si>
    <t>Em atraso</t>
  </si>
  <si>
    <t>% da receita</t>
  </si>
  <si>
    <t>Ticket médio</t>
  </si>
  <si>
    <t>Studio Aurora</t>
  </si>
  <si>
    <t>Camila Prado</t>
  </si>
  <si>
    <t>camila@studioaurora.com.br</t>
  </si>
  <si>
    <t>Indicação</t>
  </si>
  <si>
    <t>Clínica Vida Plena</t>
  </si>
  <si>
    <t>Dr. Rafael Nunes</t>
  </si>
  <si>
    <t>(11) 98877-1020</t>
  </si>
  <si>
    <t>Instagram</t>
  </si>
  <si>
    <t>Padaria Dois Irmãos</t>
  </si>
  <si>
    <t>Seu Antônio</t>
  </si>
  <si>
    <t>(11) 3344-2211</t>
  </si>
  <si>
    <t>Tech Nova Ltda</t>
  </si>
  <si>
    <t>Bianca Torres</t>
  </si>
  <si>
    <t>bianca@technova.com</t>
  </si>
  <si>
    <t>LinkedIn</t>
  </si>
  <si>
    <t>Escola Horizonte</t>
  </si>
  <si>
    <t>Coord. Marta</t>
  </si>
  <si>
    <t>marta@escolahorizonte.edu.br</t>
  </si>
  <si>
    <t>Site</t>
  </si>
  <si>
    <t>Loja Bella Moda</t>
  </si>
  <si>
    <t>Juliana Reis</t>
  </si>
  <si>
    <t>(21) 99120-4455</t>
  </si>
  <si>
    <t>Café do Centro</t>
  </si>
  <si>
    <t>Paulo Menezes</t>
  </si>
  <si>
    <t>(11) 97766-3300</t>
  </si>
  <si>
    <t>Maria Oliveira (PF)</t>
  </si>
  <si>
    <t>Maria Oliveira</t>
  </si>
  <si>
    <t>maria.oliveira@email.com</t>
  </si>
  <si>
    <t>TOTAL</t>
  </si>
  <si>
    <t>💰 Recebimentos — cobranças e pagamentos de clientes</t>
  </si>
  <si>
    <t>Registre cada cobrança com vencimento. Quando o cliente pagar, preencha a data do pagamento: o status é automático.</t>
  </si>
  <si>
    <t>EM ABERTO (A RECEBER)</t>
  </si>
  <si>
    <t>EM ATRASO</t>
  </si>
  <si>
    <t>RECEBIDO NO ANO</t>
  </si>
  <si>
    <t>Data do serviço</t>
  </si>
  <si>
    <t>Vencimento</t>
  </si>
  <si>
    <t>Data do pagamento</t>
  </si>
  <si>
    <t>Forma</t>
  </si>
  <si>
    <t>Status</t>
  </si>
  <si>
    <t>Dias de atraso</t>
  </si>
  <si>
    <t>Em aberto</t>
  </si>
  <si>
    <t>aux.</t>
  </si>
  <si>
    <t>Gestão de redes sociais – 01/2026</t>
  </si>
  <si>
    <t>Pacote de conteúdo mensal – 01/2026</t>
  </si>
  <si>
    <t>Identidade visual completa</t>
  </si>
  <si>
    <t>Gestão de redes sociais – 02/2026</t>
  </si>
  <si>
    <t>Pacote de conteúdo mensal – 02/2026</t>
  </si>
  <si>
    <t>Catálogo digital</t>
  </si>
  <si>
    <t>Gestão de redes sociais – 03/2026</t>
  </si>
  <si>
    <t>Pacote de conteúdo mensal – 03/2026</t>
  </si>
  <si>
    <t>Materiais e cardápio – 03/2026</t>
  </si>
  <si>
    <t>Logotipo e cartão de visita</t>
  </si>
  <si>
    <t>Gestão de redes sociais – 04/2026</t>
  </si>
  <si>
    <t>Pacote de conteúdo mensal – 04/2026</t>
  </si>
  <si>
    <t>Materiais e cardápio – 04/2026</t>
  </si>
  <si>
    <t>Redesenho do material de matrícula</t>
  </si>
  <si>
    <t>Cardápio e placas</t>
  </si>
  <si>
    <t>Gestão de redes sociais – 05/2026</t>
  </si>
  <si>
    <t>Pacote de conteúdo mensal – 05/2026</t>
  </si>
  <si>
    <t>Materiais e cardápio – 05/2026</t>
  </si>
  <si>
    <t>Landing page</t>
  </si>
  <si>
    <t>Gestão de redes sociais – 06/2026</t>
  </si>
  <si>
    <t>Pacote de conteúdo mensal – 06/2026</t>
  </si>
  <si>
    <t>Campanha Dia dos Namorados</t>
  </si>
  <si>
    <t>Materiais e cardápio – 06/2026</t>
  </si>
  <si>
    <t>Posts de volta às aulas</t>
  </si>
  <si>
    <t>Gestão de redes sociais – 07/2026</t>
  </si>
  <si>
    <t>Pacote de conteúdo mensal – 07/2026</t>
  </si>
  <si>
    <t>Materiais e cardápio – 07/2026</t>
  </si>
  <si>
    <t>Fotos e arte para delivery</t>
  </si>
  <si>
    <t>Apresentação institucional</t>
  </si>
  <si>
    <t>Gestão de redes sociais – 08/2026</t>
  </si>
  <si>
    <t>Campanha Dia dos Pais</t>
  </si>
  <si>
    <t>Pacote de conteúdo mensal – 08/2026</t>
  </si>
  <si>
    <t>Materiais e cardápio – 08/2026</t>
  </si>
  <si>
    <t>Reimpressão de materiais</t>
  </si>
  <si>
    <t>Site institucional – 1ª parcela</t>
  </si>
  <si>
    <t>Site institucional – 2ª parcela</t>
  </si>
  <si>
    <t>Gestão de redes sociais – 09/2026</t>
  </si>
  <si>
    <t>Pacote de conteúdo mensal – 09/2026</t>
  </si>
  <si>
    <t>Materiais e cardápio – 09/2026</t>
  </si>
  <si>
    <t>Identidade para consultório</t>
  </si>
  <si>
    <t>Manutenção da landing page</t>
  </si>
  <si>
    <t>Campanha Black Friday (sinal)</t>
  </si>
  <si>
    <t>🧾 Impostos — DAS do MEI, vencimentos e limite anual</t>
  </si>
  <si>
    <t>Escolha seu regime e confira os parâmetros (amarelo). A tabela mostra o imposto de cada mês, vencimento e status.</t>
  </si>
  <si>
    <t>PARÂMETROS</t>
  </si>
  <si>
    <t>Regime tributário</t>
  </si>
  <si>
    <t>MEI</t>
  </si>
  <si>
    <t>Atividade do MEI</t>
  </si>
  <si>
    <t>Serviços</t>
  </si>
  <si>
    <t>Salário mínimo vigente (R$)</t>
  </si>
  <si>
    <t>% de INSS do MEI (sobre o salário mínimo)</t>
  </si>
  <si>
    <t>ICMS fixo — comércio/indústria (R$)</t>
  </si>
  <si>
    <t>ISS fixo — serviços (R$)</t>
  </si>
  <si>
    <t>Alíquota sobre a receita (Simples/outro)</t>
  </si>
  <si>
    <t>Limite anual de faturamento do MEI (R$)</t>
  </si>
  <si>
    <t>Início da atividade neste ano (mês 1-12)</t>
  </si>
  <si>
    <t>Valor do DAS mensal (calculado)</t>
  </si>
  <si>
    <t>Valores de referência para 2026 (salário mínimo R$ 1.621; DAS-MEI = 5% do salário mínimo + ICMS/ISS fixos). Confirme sempre no Portal do Simples Nacional/Receita Federal, pois podem mudar. Para Simples Nacional ou outro regime, o imposto é estimado como % da receita recebida. Esta aba organiza — não substitui seu contador.</t>
  </si>
  <si>
    <t>Competência</t>
  </si>
  <si>
    <t>Receita recebida</t>
  </si>
  <si>
    <t>Imposto devido</t>
  </si>
  <si>
    <t>Valor pago (se diferente)</t>
  </si>
  <si>
    <t>Pago (R$)</t>
  </si>
  <si>
    <t>Receita acumulada</t>
  </si>
  <si>
    <t>Limite do período</t>
  </si>
  <si>
    <t>LIMITE ANUAL DO MEI</t>
  </si>
  <si>
    <t>Receita bruta acumulada (até o mês de referência)</t>
  </si>
  <si>
    <t>Limite proporcional ao período de atividade</t>
  </si>
  <si>
    <t>% do limite utilizado</t>
  </si>
  <si>
    <t>Projeção de faturamento no ano (ritmo atual)</t>
  </si>
  <si>
    <t>Projeção ÷ limite</t>
  </si>
  <si>
    <t>Até 20% acima do limite: DAS complementar. Acima de 20%: desenquadramento retroativo (consulte seu contador).</t>
  </si>
  <si>
    <t>Entrega da DASN-SIMEI (declaração anual): até 31 de maio do ano seguinte.</t>
  </si>
  <si>
    <t>📈 Fluxo de caixa do negócio — realizado e projetado</t>
  </si>
  <si>
    <t>Até o mês de referência os números são REALIZADOS; depois, PROJETADOS (a receber em aberto, DAS em aberto, média de despesas e pró-labore previsto).</t>
  </si>
  <si>
    <t>PREMISSAS</t>
  </si>
  <si>
    <t>Saldo do caixa em 1º de janeiro (R$)</t>
  </si>
  <si>
    <t>Pró-labore mensal previsto (R$)</t>
  </si>
  <si>
    <t>Despesa operacional média (R$)</t>
  </si>
  <si>
    <t>Mês de referência (último realizado)</t>
  </si>
  <si>
    <t>Receita média mensal realizada (R$)</t>
  </si>
  <si>
    <t>% da receita média esperada nos meses futuros</t>
  </si>
  <si>
    <t>Em R$</t>
  </si>
  <si>
    <t>Ano</t>
  </si>
  <si>
    <t>Saldo inicial do mês</t>
  </si>
  <si>
    <t>(+) Recebimentos de clientes</t>
  </si>
  <si>
    <t>(+) Receitas avulsas</t>
  </si>
  <si>
    <t>(+) Outras entradas</t>
  </si>
  <si>
    <t>(+) Receita nova prevista (média × %)</t>
  </si>
  <si>
    <t>TOTAL DE ENTRADAS</t>
  </si>
  <si>
    <t>(−) Despesas operacionais</t>
  </si>
  <si>
    <t>(−) Impostos (DAS / %)</t>
  </si>
  <si>
    <t>(−) Pró-labore / retiradas</t>
  </si>
  <si>
    <t>TOTAL DE SAÍDAS</t>
  </si>
  <si>
    <t>Variação do caixa no mês</t>
  </si>
  <si>
    <t>💰 SALDO FINAL DO MÊS</t>
  </si>
  <si>
    <t>Resultado operacional (lucro de caixa)</t>
  </si>
  <si>
    <t>Margem de lucro</t>
  </si>
  <si>
    <t>DETALHE REALIZADO POR CATEGORIA (lançamentos da aba Lanç. Negócio)</t>
  </si>
  <si>
    <t>▲ Entradas (receitas de clientes ficam em Recebimentos)</t>
  </si>
  <si>
    <t>▼ Saídas (a 1ª categoria é o pró-labore)</t>
  </si>
  <si>
    <t>Total de entradas avulsas</t>
  </si>
  <si>
    <t>Total de saídas (inclui pró-labore)</t>
  </si>
  <si>
    <t>Despesas operacionais (sem pró-labore)</t>
  </si>
  <si>
    <t>NEGÓCIO — PARÂMETROS</t>
  </si>
  <si>
    <t>Mês selecionado – Painel Negócio</t>
  </si>
  <si>
    <t>Mês selecionado – Painel Geral</t>
  </si>
  <si>
    <t>1º mês com caixa negativo (99 = nenhum)</t>
  </si>
  <si>
    <t>LISTA COMBINADA (negócio)</t>
  </si>
  <si>
    <t>Despesa do negócio</t>
  </si>
  <si>
    <t>Impostos (DAS)</t>
  </si>
  <si>
    <t>Posição</t>
  </si>
  <si>
    <t>Despesa</t>
  </si>
  <si>
    <t>Rosca – despesa</t>
  </si>
  <si>
    <t>Total de despesas (mês do Painel Negócio)</t>
  </si>
  <si>
    <t>Título da rosca (negócio)</t>
  </si>
  <si>
    <t>Recebido</t>
  </si>
  <si>
    <t>Dias</t>
  </si>
  <si>
    <t>SÉRIES MENSAIS (realizado = 0 após o mês de referência)</t>
  </si>
  <si>
    <t>Receita bruta (clientes + avulsas)</t>
  </si>
  <si>
    <t>Despesas + impostos</t>
  </si>
  <si>
    <t>Lucro de caixa</t>
  </si>
  <si>
    <t>Saldo realizado</t>
  </si>
  <si>
    <t>Saldo projetado</t>
  </si>
  <si>
    <t>Caixa pessoal (acumulado)</t>
  </si>
  <si>
    <t>Caixa do negócio</t>
  </si>
  <si>
    <t>Resultado pessoal do mês</t>
  </si>
  <si>
    <t>Pró-labore recebido (pessoal)</t>
  </si>
  <si>
    <t>Gastos pessoais</t>
  </si>
  <si>
    <t>Flag: saldo de caixa negativo</t>
  </si>
  <si>
    <t>Despesas operacionais</t>
  </si>
  <si>
    <t>Impostos pagos</t>
  </si>
  <si>
    <t>Pró-labore pago</t>
  </si>
  <si>
    <t>Para onde vai a receita (ano, até o mês de referência)</t>
  </si>
  <si>
    <t>Impostos</t>
  </si>
  <si>
    <t>Pró-labore (suas retiradas)</t>
  </si>
  <si>
    <t>Lucro retido no caixa</t>
  </si>
  <si>
    <t>Receita, despesas, lucro, clientes, cobranças em atraso e limite do MEI — tudo do mês escolhido.</t>
  </si>
  <si>
    <t>← escolha o mês; os valores só aparecem até o mês de referência (hoje)</t>
  </si>
  <si>
    <t>RECEITA DO MÊS</t>
  </si>
  <si>
    <t>DESPESAS + IMPOSTOS</t>
  </si>
  <si>
    <t>LUCRO DE CAIXA</t>
  </si>
  <si>
    <t>A RECEBER (EM ABERTO)</t>
  </si>
  <si>
    <t>LIMITE DO MEI USADO</t>
  </si>
  <si>
    <t>IMPOSTO DO MÊS (DAS)</t>
  </si>
  <si>
    <t>⏰  COBRANÇAS EM ATRASO (as 5 mais antigas)</t>
  </si>
  <si>
    <t>🔔  ALERTAS E INSIGHTS</t>
  </si>
  <si>
    <t>Visão consolidada: vida pessoal + negócio. O negócio sustenta o seu custo de vida?</t>
  </si>
  <si>
    <t>← escolha o mês; a aba Config guarda ano e metas</t>
  </si>
  <si>
    <t>SALDO PESSOAL ACUMULADO</t>
  </si>
  <si>
    <t>pessoal, no fim do mês</t>
  </si>
  <si>
    <t>CAIXA DO NEGÓCIO</t>
  </si>
  <si>
    <t>CAIXA TOTAL</t>
  </si>
  <si>
    <t>pessoal + negócio</t>
  </si>
  <si>
    <t>RESULTADO PESSOAL (MÊS)</t>
  </si>
  <si>
    <t>entradas − saídas pessoais</t>
  </si>
  <si>
    <t>LUCRO DO NEGÓCIO (MÊS)</t>
  </si>
  <si>
    <t>receita − despesas − impostos</t>
  </si>
  <si>
    <t>PRÓ-LABORE ÷ GASTOS PESSOAIS</t>
  </si>
  <si>
    <t>cobertura do custo de vida</t>
  </si>
  <si>
    <t>Finanças em Dia — Autônomo &amp; MEI</t>
  </si>
  <si>
    <t>Controle financeiro pessoal + negócio • Excel e Google Sheets</t>
  </si>
  <si>
    <t>Bem-vindo(a)! Esta planilha organiza suas finanças do jeito mais simples: você só LANÇA os valores e todo o resto — resumos, gráficos, alertas e metas — é calculado automaticamente. Aqui, vida pessoal e negócio ficam separados, com controle de clientes, recebimentos, impostos (DAS do MEI) e fluxo de caixa.</t>
  </si>
  <si>
    <t>🚀  COMECE EM 5 MINUTOS</t>
  </si>
  <si>
    <t>Em ⚙ Config: confira o ANO, escreva seu nome/negócio e renomeie as categorias, se quiser.</t>
  </si>
  <si>
    <t>Em 💳 Orçamento Pessoal e 🎯 Metas: informe quanto pretende gastar e quais objetivos quer alcançar.</t>
  </si>
  <si>
    <t>Em 🧾 Impostos: escolha seu regime (MEI, Simples ou outro) e confira o valor do DAS.</t>
  </si>
  <si>
    <t>Cadastre seus 🤝 Clientes e registre cada cobrança em 💰 Recebimentos (com vencimento e data de pagamento).</t>
  </si>
  <si>
    <t>No dia a dia: lance gastos em 📝 Lançamentos (pessoal e negócio). Depois é só abrir os 📊 Painéis!</t>
  </si>
  <si>
    <t>🗺  MAPA DA PLANILHA — clique no botão para navegar</t>
  </si>
  <si>
    <t>Visão consolidada: caixa pessoal + negócio, resultado mensal e cobertura do custo de vida.</t>
  </si>
  <si>
    <t>Entradas, saídas, saldo, taxa de poupança, categorias, metas e alertas da vida pessoal.</t>
  </si>
  <si>
    <t>Receita, despesas, lucro, top clientes, cobranças em atraso e limite do MEI.</t>
  </si>
  <si>
    <t>📝 Lanç. Pessoal</t>
  </si>
  <si>
    <t>Registro de entradas e saídas pessoais (tipo automático pela categoria).</t>
  </si>
  <si>
    <t>💳 Orçamento Pessoal</t>
  </si>
  <si>
    <t>Planejado × realizado por categoria, com barras de progresso e alertas.</t>
  </si>
  <si>
    <t>📅 Resumo Pessoal</t>
  </si>
  <si>
    <t>Quadro anual mês a mês por categoria, com mapa de calor.</t>
  </si>
  <si>
    <t>Objetivos de economia, aporte mensal necessário e reserva de emergência.</t>
  </si>
  <si>
    <t>📝 Lanç. Negócio</t>
  </si>
  <si>
    <t>Despesas e receitas avulsas do negócio (separadas das pessoais).</t>
  </si>
  <si>
    <t>Cadastro de clientes com faturamento, recebido, a receber e inadimplência.</t>
  </si>
  <si>
    <t>Cobranças emitidas: vencimento, data de pagamento e status automático.</t>
  </si>
  <si>
    <t>DAS do MEI (ou % do Simples), vencimentos, pagamentos e limite anual.</t>
  </si>
  <si>
    <t>Caixa do negócio mês a mês: realizado e projetado, com saldo acumulado.</t>
  </si>
  <si>
    <t>Ano, nome, categorias, formas de pagamento e metas gerais.</t>
  </si>
  <si>
    <t>🎨  LEGENDA DE CORES</t>
  </si>
  <si>
    <t>Você preenche</t>
  </si>
  <si>
    <t>Fórmula (automático)</t>
  </si>
  <si>
    <t>Positivo / bom</t>
  </si>
  <si>
    <t>Atenção</t>
  </si>
  <si>
    <t>Negativo / alerta</t>
  </si>
  <si>
    <t>Informação</t>
  </si>
  <si>
    <t>💡  DICAS IMPORTANTES</t>
  </si>
  <si>
    <t>•  Google Sheets: envie o arquivo .xlsx para o Google Drive e abra com o Google Planilhas (ou Arquivo ▸ Importar). Os menus, gráficos, listas suspensas e cores funcionam igualmente.</t>
  </si>
  <si>
    <t>•  Digite sempre valores POSITIVOS. Se a categoria for de entrada, o valor soma; se for de saída, subtrai — o tipo é automático.</t>
  </si>
  <si>
    <t>•  Retirada do negócio: lance a saída 'Pró-labore / Retirada' em Lanç. Negócio e a entrada 'Pró-labore' em Lanç. Pessoal. Receitas de clientes: lance só em Recebimentos (não duplique).</t>
  </si>
  <si>
    <t>•  Para começar um novo ano: salve uma cópia do arquivo, apague os lançamentos (colunas amarelas) e mude o ano em Config.</t>
  </si>
  <si>
    <t>•  Não insira/apague linhas dentro das tabelas de fórmulas. Para ver mais lançamentos, use os filtros do cabeçalho; há espaço para 1500 linhas.</t>
  </si>
  <si>
    <t>•  Cada aba tem botões de navegação no topo. Se algo parecer estranho, confira a faixa de VERIFICAÇÃO no topo de Lançamentos.</t>
  </si>
  <si>
    <t>•  Os valores do DAS/MEI e o limite anual são parâmetros editáveis na aba Impostos — confira sempre a legislação vigente no Portal do Simples Nacional. Esta planilha organiza, mas não substitui um contador.</t>
  </si>
  <si>
    <t>Planilha educativa de organização financeira. Valores e exemplos são fictícios.</t>
  </si>
</sst>
</file>

<file path=xl/styles.xml><?xml version="1.0" encoding="utf-8"?>
<styleSheet xmlns="http://schemas.openxmlformats.org/spreadsheetml/2006/main">
  <numFmts count="11">
    <numFmt numFmtId="164" formatCode="&quot;R$&quot; #,##0;-&quot;R$&quot; #,##0"/>
    <numFmt numFmtId="165" formatCode="0%"/>
    <numFmt numFmtId="166" formatCode="&quot;R$&quot; #,##0.00"/>
    <numFmt numFmtId="167" formatCode="&quot;R$&quot; #,##0.00;-&quot;R$&quot; #,##0.00"/>
    <numFmt numFmtId="168" formatCode="&quot;Em atraso: R$&quot; #,##0"/>
    <numFmt numFmtId="169" formatCode="dd/mm/yyyy"/>
    <numFmt numFmtId="170" formatCode="&quot;R$&quot; #,##0.00;-&quot;R$&quot; #,##0.00;&quot;–&quot;"/>
    <numFmt numFmtId="171" formatCode="0.0"/>
    <numFmt numFmtId="172" formatCode="0.0%"/>
    <numFmt numFmtId="173" formatCode="mmm/yyyy"/>
    <numFmt numFmtId="174" formatCode="0.000000"/>
  </numFmts>
  <fonts count="47">
    <font>
      <sz val="11"/>
      <color theme="1"/>
      <name val="Calibri"/>
      <family val="2"/>
      <scheme val="minor"/>
    </font>
    <font>
      <sz val="10"/>
      <color rgb="FF334155"/>
      <name val="Arial"/>
      <family val="2"/>
    </font>
    <font>
      <b/>
      <sz val="9"/>
      <color rgb="FF1E3A8A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7"/>
      <color rgb="FFFFFFFF"/>
      <name val="Arial"/>
      <family val="2"/>
    </font>
    <font>
      <i/>
      <sz val="9"/>
      <color rgb="FF64748B"/>
      <name val="Arial"/>
      <family val="2"/>
    </font>
    <font>
      <sz val="11"/>
      <color rgb="FF0F172A"/>
      <name val="Arial"/>
      <family val="2"/>
    </font>
    <font>
      <b/>
      <sz val="11"/>
      <color rgb="FFFFFFFF"/>
      <name val="Arial"/>
      <family val="2"/>
    </font>
    <font>
      <b/>
      <sz val="14"/>
      <color rgb="FF1E3A8A"/>
      <name val="Arial"/>
      <family val="2"/>
    </font>
    <font>
      <b/>
      <sz val="10"/>
      <color rgb="FFFFFFFF"/>
      <name val="Arial"/>
      <family val="2"/>
    </font>
    <font>
      <sz val="9"/>
      <color rgb="FF334155"/>
      <name val="Arial"/>
      <family val="2"/>
    </font>
    <font>
      <b/>
      <sz val="10"/>
      <color rgb="FF1D4ED8"/>
      <name val="Arial"/>
      <family val="2"/>
    </font>
    <font>
      <b/>
      <sz val="10"/>
      <color rgb="FF15803D"/>
      <name val="Arial"/>
      <family val="2"/>
    </font>
    <font>
      <b/>
      <sz val="10"/>
      <color rgb="FFB45309"/>
      <name val="Arial"/>
      <family val="2"/>
    </font>
    <font>
      <b/>
      <sz val="10"/>
      <color rgb="FFB91C1C"/>
      <name val="Arial"/>
      <family val="2"/>
    </font>
    <font>
      <b/>
      <sz val="10"/>
      <color rgb="FF2563EB"/>
      <name val="Arial"/>
      <family val="2"/>
    </font>
    <font>
      <i/>
      <sz val="8"/>
      <color rgb="FF64748B"/>
      <name val="Arial"/>
      <family val="2"/>
    </font>
    <font>
      <b/>
      <sz val="11"/>
      <color rgb="FF334155"/>
      <name val="Arial"/>
      <family val="2"/>
    </font>
    <font>
      <b/>
      <sz val="12"/>
      <color rgb="FF1D4ED8"/>
      <name val="Arial"/>
      <family val="2"/>
    </font>
    <font>
      <b/>
      <sz val="10"/>
      <color rgb="FF64748B"/>
      <name val="Arial"/>
      <family val="2"/>
    </font>
    <font>
      <b/>
      <sz val="10"/>
      <color rgb="FF334155"/>
      <name val="Arial"/>
      <family val="2"/>
    </font>
    <font>
      <b/>
      <sz val="8"/>
      <color rgb="FF64748B"/>
      <name val="Arial"/>
      <family val="2"/>
    </font>
    <font>
      <b/>
      <sz val="20"/>
      <color rgb="FF0F172A"/>
      <name val="Arial"/>
      <family val="2"/>
    </font>
    <font>
      <sz val="9"/>
      <color rgb="FF64748B"/>
      <name val="Arial"/>
      <family val="2"/>
    </font>
    <font>
      <b/>
      <sz val="12"/>
      <color rgb="FF0F172A"/>
      <name val="Arial"/>
      <family val="2"/>
    </font>
    <font>
      <b/>
      <sz val="9"/>
      <color rgb="FF0F766E"/>
      <name val="Arial"/>
      <family val="2"/>
    </font>
    <font>
      <sz val="9"/>
      <color rgb="FF14B8A6"/>
      <name val="Arial"/>
      <family val="2"/>
    </font>
    <font>
      <b/>
      <sz val="8"/>
      <color rgb="FF334155"/>
      <name val="Arial"/>
      <family val="2"/>
    </font>
    <font>
      <b/>
      <sz val="9"/>
      <color rgb="FFC2410C"/>
      <name val="Arial"/>
      <family val="2"/>
    </font>
    <font>
      <sz val="10"/>
      <color rgb="FF1D4ED8"/>
      <name val="Arial"/>
      <family val="2"/>
    </font>
    <font>
      <b/>
      <sz val="9"/>
      <color rgb="FF334155"/>
      <name val="Arial"/>
      <family val="2"/>
    </font>
    <font>
      <b/>
      <sz val="14"/>
      <color rgb="FF15803D"/>
      <name val="Arial"/>
      <family val="2"/>
    </font>
    <font>
      <b/>
      <sz val="14"/>
      <color rgb="FFB91C1C"/>
      <name val="Arial"/>
      <family val="2"/>
    </font>
    <font>
      <b/>
      <sz val="14"/>
      <color rgb="FF0F172A"/>
      <name val="Arial"/>
      <family val="2"/>
    </font>
    <font>
      <b/>
      <sz val="9"/>
      <color rgb="FF15803D"/>
      <name val="Arial"/>
      <family val="2"/>
    </font>
    <font>
      <b/>
      <sz val="10"/>
      <color rgb="FF0F766E"/>
      <name val="Arial"/>
      <family val="2"/>
    </font>
    <font>
      <b/>
      <sz val="11"/>
      <color rgb="FF1D4ED8"/>
      <name val="Arial"/>
      <family val="2"/>
    </font>
    <font>
      <sz val="9"/>
      <color rgb="FF15803D"/>
      <name val="Arial"/>
      <family val="2"/>
    </font>
    <font>
      <sz val="10"/>
      <color rgb="FF64748B"/>
      <name val="Arial"/>
      <family val="2"/>
    </font>
    <font>
      <b/>
      <sz val="9"/>
      <color rgb="FFEA580C"/>
      <name val="Arial"/>
      <family val="2"/>
    </font>
    <font>
      <b/>
      <sz val="10"/>
      <color rgb="FFC2410C"/>
      <name val="Arial"/>
      <family val="2"/>
    </font>
    <font>
      <sz val="7"/>
      <color rgb="FFCBD5E1"/>
      <name val="Arial"/>
      <family val="2"/>
    </font>
    <font>
      <b/>
      <sz val="14"/>
      <color rgb="FF2563EB"/>
      <name val="Arial"/>
      <family val="2"/>
    </font>
    <font>
      <b/>
      <sz val="8"/>
      <color rgb="FF2563EB"/>
      <name val="Arial"/>
      <family val="2"/>
    </font>
    <font>
      <b/>
      <sz val="10"/>
      <color rgb="FF1E3A8A"/>
      <name val="Arial"/>
      <family val="2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172554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B91C1C"/>
        <bgColor indexed="64"/>
      </patternFill>
    </fill>
  </fills>
  <borders count="34">
    <border>
      <left/>
      <right/>
      <top/>
      <bottom/>
      <diagonal/>
    </border>
    <border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2E8F0"/>
      </bottom>
      <diagonal/>
    </border>
    <border>
      <left style="thin">
        <color rgb="FFE7D98B"/>
      </left>
      <right style="thin">
        <color rgb="FFE7D98B"/>
      </right>
      <top style="thin">
        <color rgb="FFE7D98B"/>
      </top>
      <bottom style="thin">
        <color rgb="FFE7D9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F1F5F9"/>
      </left>
      <right style="thick">
        <color rgb="FFF1F5F9"/>
      </right>
      <top style="medium">
        <color rgb="FF0F766E"/>
      </top>
      <bottom/>
      <diagonal/>
    </border>
    <border>
      <left style="thick">
        <color rgb="FFF1F5F9"/>
      </left>
      <right style="thick">
        <color rgb="FFF1F5F9"/>
      </right>
      <top style="medium">
        <color rgb="FFEA580C"/>
      </top>
      <bottom/>
      <diagonal/>
    </border>
    <border>
      <left style="thick">
        <color rgb="FFF1F5F9"/>
      </left>
      <right style="thick">
        <color rgb="FFF1F5F9"/>
      </right>
      <top style="medium">
        <color rgb="FF1E3A8A"/>
      </top>
      <bottom/>
      <diagonal/>
    </border>
    <border>
      <left style="thick">
        <color rgb="FFF1F5F9"/>
      </left>
      <right style="thick">
        <color rgb="FFF1F5F9"/>
      </right>
      <top style="medium">
        <color rgb="FF7C3AED"/>
      </top>
      <bottom/>
      <diagonal/>
    </border>
    <border>
      <left style="thick">
        <color rgb="FFF1F5F9"/>
      </left>
      <right style="thick">
        <color rgb="FFF1F5F9"/>
      </right>
      <top style="medium">
        <color rgb="FF0891B2"/>
      </top>
      <bottom/>
      <diagonal/>
    </border>
    <border>
      <left style="thick">
        <color rgb="FFF1F5F9"/>
      </left>
      <right style="thick">
        <color rgb="FFF1F5F9"/>
      </right>
      <top style="medium">
        <color rgb="FFF59E0B"/>
      </top>
      <bottom/>
      <diagonal/>
    </border>
    <border>
      <left style="thick">
        <color rgb="FFF1F5F9"/>
      </left>
      <right style="thick">
        <color rgb="FFF1F5F9"/>
      </right>
      <top/>
      <bottom/>
      <diagonal/>
    </border>
    <border>
      <left style="thick">
        <color rgb="FFF1F5F9"/>
      </left>
      <right style="thick">
        <color rgb="FFF1F5F9"/>
      </right>
      <top/>
      <bottom style="thick">
        <color rgb="FFF1F5F9"/>
      </bottom>
      <diagonal/>
    </border>
    <border>
      <left style="thick">
        <color rgb="FFF1F5F9"/>
      </left>
      <right style="thick">
        <color rgb="FFF1F5F9"/>
      </right>
      <top style="medium">
        <color rgb="FF10B981"/>
      </top>
      <bottom/>
      <diagonal/>
    </border>
    <border>
      <left style="thick">
        <color rgb="FFF1F5F9"/>
      </left>
      <right style="thick">
        <color rgb="FFF1F5F9"/>
      </right>
      <top style="medium">
        <color rgb="FFF43F5E"/>
      </top>
      <bottom/>
      <diagonal/>
    </border>
    <border>
      <left style="thick">
        <color rgb="FFF1F5F9"/>
      </left>
      <right style="thick">
        <color rgb="FFF1F5F9"/>
      </right>
      <top style="medium">
        <color rgb="FF2563EB"/>
      </top>
      <bottom/>
      <diagonal/>
    </border>
    <border>
      <left/>
      <right/>
      <top/>
      <bottom style="medium">
        <color rgb="FF0F766E"/>
      </bottom>
      <diagonal/>
    </border>
    <border>
      <left/>
      <right/>
      <top/>
      <bottom style="medium">
        <color rgb="FFEA580C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 style="medium">
        <color rgb="FF0F766E"/>
      </top>
      <bottom/>
      <diagonal/>
    </border>
    <border>
      <left/>
      <right/>
      <top style="thin">
        <color rgb="FF0F766E"/>
      </top>
      <bottom/>
      <diagonal/>
    </border>
    <border>
      <left/>
      <right/>
      <top style="thin">
        <color rgb="FF15803D"/>
      </top>
      <bottom style="thin">
        <color rgb="FF15803D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/>
      <right/>
      <top style="medium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/>
      <top style="thin">
        <color rgb="FF15803D"/>
      </top>
      <bottom/>
      <diagonal/>
    </border>
    <border>
      <left/>
      <right/>
      <top style="thin">
        <color rgb="FFB91C1C"/>
      </top>
      <bottom/>
      <diagonal/>
    </border>
    <border>
      <left/>
      <right/>
      <top style="medium">
        <color rgb="FFEA580C"/>
      </top>
      <bottom style="medium">
        <color rgb="FFEA580C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 style="medium">
        <color rgb="FF2563EB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7" fillId="3" borderId="0" xfId="0" applyFont="1" applyFill="1" applyAlignment="1">
      <alignment vertical="top" indent="1" wrapText="1"/>
    </xf>
    <xf numFmtId="0" fontId="8" fillId="8" borderId="0" xfId="0" applyFont="1" applyFill="1" applyAlignment="1">
      <alignment horizontal="left" vertical="center" indent="1"/>
    </xf>
    <xf numFmtId="0" fontId="9" fillId="9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 wrapText="1"/>
    </xf>
    <xf numFmtId="0" fontId="10" fillId="4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 indent="1" wrapText="1"/>
    </xf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right" vertical="center"/>
    </xf>
    <xf numFmtId="0" fontId="19" fillId="10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right" vertical="center"/>
    </xf>
    <xf numFmtId="1" fontId="21" fillId="3" borderId="5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 indent="1"/>
    </xf>
    <xf numFmtId="0" fontId="22" fillId="3" borderId="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164" fontId="23" fillId="3" borderId="12" xfId="0" applyNumberFormat="1" applyFont="1" applyFill="1" applyBorder="1" applyAlignment="1">
      <alignment horizontal="center" vertical="center" shrinkToFit="1"/>
    </xf>
    <xf numFmtId="165" fontId="23" fillId="3" borderId="12" xfId="0" applyNumberFormat="1" applyFont="1" applyFill="1" applyBorder="1" applyAlignment="1">
      <alignment horizontal="center" vertical="center" shrinkToFit="1"/>
    </xf>
    <xf numFmtId="0" fontId="24" fillId="3" borderId="13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5" fillId="14" borderId="0" xfId="0" applyFont="1" applyFill="1" applyAlignment="1">
      <alignment horizontal="left" vertical="center" indent="1"/>
    </xf>
    <xf numFmtId="0" fontId="22" fillId="3" borderId="14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 shrinkToFit="1"/>
    </xf>
    <xf numFmtId="166" fontId="24" fillId="3" borderId="13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vertical="center" indent="1"/>
    </xf>
    <xf numFmtId="0" fontId="26" fillId="15" borderId="17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left" vertical="center" indent="1"/>
    </xf>
    <xf numFmtId="164" fontId="1" fillId="3" borderId="3" xfId="0" applyNumberFormat="1" applyFont="1" applyFill="1" applyBorder="1" applyAlignment="1">
      <alignment horizontal="center" vertical="center"/>
    </xf>
    <xf numFmtId="165" fontId="21" fillId="3" borderId="3" xfId="0" applyNumberFormat="1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vertical="center"/>
    </xf>
    <xf numFmtId="0" fontId="28" fillId="3" borderId="3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left" vertical="center" indent="1"/>
    </xf>
    <xf numFmtId="167" fontId="23" fillId="3" borderId="12" xfId="0" applyNumberFormat="1" applyFont="1" applyFill="1" applyBorder="1" applyAlignment="1">
      <alignment horizontal="center" vertical="center" shrinkToFit="1"/>
    </xf>
    <xf numFmtId="168" fontId="24" fillId="3" borderId="13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  <xf numFmtId="0" fontId="29" fillId="17" borderId="18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indent="1"/>
    </xf>
    <xf numFmtId="169" fontId="1" fillId="3" borderId="3" xfId="0" applyNumberFormat="1" applyFont="1" applyFill="1" applyBorder="1" applyAlignment="1">
      <alignment horizontal="center" vertical="center"/>
    </xf>
    <xf numFmtId="1" fontId="15" fillId="3" borderId="3" xfId="0" applyNumberFormat="1" applyFont="1" applyFill="1" applyBorder="1" applyAlignment="1">
      <alignment horizontal="center" vertical="center"/>
    </xf>
    <xf numFmtId="167" fontId="21" fillId="3" borderId="3" xfId="0" applyNumberFormat="1" applyFont="1" applyFill="1" applyBorder="1" applyAlignment="1">
      <alignment horizontal="center" vertical="center"/>
    </xf>
    <xf numFmtId="169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0" fontId="26" fillId="3" borderId="19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 indent="1"/>
    </xf>
    <xf numFmtId="0" fontId="22" fillId="2" borderId="20" xfId="0" applyFont="1" applyFill="1" applyBorder="1" applyAlignment="1">
      <alignment horizontal="left" vertical="center" indent="1"/>
    </xf>
    <xf numFmtId="167" fontId="32" fillId="2" borderId="0" xfId="0" applyNumberFormat="1" applyFont="1" applyFill="1" applyAlignment="1">
      <alignment horizontal="left" vertical="center" indent="1"/>
    </xf>
    <xf numFmtId="167" fontId="33" fillId="2" borderId="0" xfId="0" applyNumberFormat="1" applyFont="1" applyFill="1" applyAlignment="1">
      <alignment horizontal="left" vertical="center" indent="1"/>
    </xf>
    <xf numFmtId="167" fontId="34" fillId="2" borderId="0" xfId="0" applyNumberFormat="1" applyFont="1" applyFill="1" applyAlignment="1">
      <alignment horizontal="left" vertical="center" indent="1"/>
    </xf>
    <xf numFmtId="0" fontId="35" fillId="2" borderId="0" xfId="0" applyFont="1" applyFill="1" applyAlignment="1">
      <alignment horizontal="left" vertical="center" indent="1" wrapText="1"/>
    </xf>
    <xf numFmtId="0" fontId="36" fillId="15" borderId="1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0" fontId="37" fillId="10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36" fillId="15" borderId="17" xfId="0" applyFont="1" applyFill="1" applyBorder="1" applyAlignment="1">
      <alignment horizontal="left" vertical="center" indent="1" wrapText="1"/>
    </xf>
    <xf numFmtId="0" fontId="21" fillId="11" borderId="3" xfId="0" applyFont="1" applyFill="1" applyBorder="1" applyAlignment="1">
      <alignment horizontal="left" vertical="center" indent="1"/>
    </xf>
    <xf numFmtId="167" fontId="30" fillId="10" borderId="4" xfId="0" applyNumberFormat="1" applyFont="1" applyFill="1" applyBorder="1" applyAlignment="1">
      <alignment vertical="center"/>
    </xf>
    <xf numFmtId="167" fontId="1" fillId="0" borderId="3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vertical="center"/>
    </xf>
    <xf numFmtId="0" fontId="3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indent="1"/>
    </xf>
    <xf numFmtId="0" fontId="21" fillId="15" borderId="21" xfId="0" applyFont="1" applyFill="1" applyBorder="1" applyAlignment="1">
      <alignment horizontal="left" vertical="center" indent="1"/>
    </xf>
    <xf numFmtId="167" fontId="21" fillId="15" borderId="21" xfId="0" applyNumberFormat="1" applyFont="1" applyFill="1" applyBorder="1" applyAlignment="1">
      <alignment vertical="center"/>
    </xf>
    <xf numFmtId="165" fontId="21" fillId="15" borderId="21" xfId="0" applyNumberFormat="1" applyFont="1" applyFill="1" applyBorder="1" applyAlignment="1">
      <alignment vertical="center"/>
    </xf>
    <xf numFmtId="170" fontId="21" fillId="15" borderId="21" xfId="0" applyNumberFormat="1" applyFont="1" applyFill="1" applyBorder="1" applyAlignment="1">
      <alignment vertical="center"/>
    </xf>
    <xf numFmtId="0" fontId="31" fillId="15" borderId="21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left" vertical="center" indent="1"/>
    </xf>
    <xf numFmtId="167" fontId="18" fillId="0" borderId="17" xfId="0" applyNumberFormat="1" applyFont="1" applyBorder="1" applyAlignment="1">
      <alignment vertical="center"/>
    </xf>
    <xf numFmtId="169" fontId="1" fillId="0" borderId="0" xfId="0" applyNumberFormat="1" applyFont="1" applyAlignment="1">
      <alignment vertical="center"/>
    </xf>
    <xf numFmtId="0" fontId="10" fillId="18" borderId="0" xfId="0" applyFont="1" applyFill="1" applyAlignment="1">
      <alignment horizontal="left" vertical="center" indent="1"/>
    </xf>
    <xf numFmtId="170" fontId="1" fillId="0" borderId="3" xfId="0" applyNumberFormat="1" applyFont="1" applyBorder="1" applyAlignment="1">
      <alignment vertical="center"/>
    </xf>
    <xf numFmtId="170" fontId="21" fillId="0" borderId="3" xfId="0" applyNumberFormat="1" applyFont="1" applyBorder="1" applyAlignment="1">
      <alignment vertical="center"/>
    </xf>
    <xf numFmtId="170" fontId="39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1" fillId="11" borderId="22" xfId="0" applyFont="1" applyFill="1" applyBorder="1" applyAlignment="1">
      <alignment horizontal="left" vertical="center" indent="1"/>
    </xf>
    <xf numFmtId="170" fontId="21" fillId="11" borderId="22" xfId="0" applyNumberFormat="1" applyFont="1" applyFill="1" applyBorder="1" applyAlignment="1">
      <alignment vertical="center"/>
    </xf>
    <xf numFmtId="0" fontId="10" fillId="19" borderId="0" xfId="0" applyFont="1" applyFill="1" applyAlignment="1">
      <alignment horizontal="left" vertical="center" indent="1"/>
    </xf>
    <xf numFmtId="165" fontId="39" fillId="0" borderId="3" xfId="0" applyNumberFormat="1" applyFont="1" applyBorder="1" applyAlignment="1">
      <alignment horizontal="center" vertical="center"/>
    </xf>
    <xf numFmtId="0" fontId="21" fillId="13" borderId="23" xfId="0" applyFont="1" applyFill="1" applyBorder="1" applyAlignment="1">
      <alignment horizontal="left" vertical="center" indent="1"/>
    </xf>
    <xf numFmtId="170" fontId="21" fillId="13" borderId="23" xfId="0" applyNumberFormat="1" applyFont="1" applyFill="1" applyBorder="1" applyAlignment="1">
      <alignment vertical="center"/>
    </xf>
    <xf numFmtId="0" fontId="21" fillId="0" borderId="24" xfId="0" applyFont="1" applyBorder="1" applyAlignment="1">
      <alignment horizontal="left" vertical="center" indent="1"/>
    </xf>
    <xf numFmtId="167" fontId="21" fillId="0" borderId="24" xfId="0" applyNumberFormat="1" applyFont="1" applyBorder="1" applyAlignment="1">
      <alignment horizontal="right" vertical="center"/>
    </xf>
    <xf numFmtId="0" fontId="21" fillId="0" borderId="25" xfId="0" applyFont="1" applyBorder="1" applyAlignment="1">
      <alignment horizontal="left" vertical="center" indent="1"/>
    </xf>
    <xf numFmtId="165" fontId="21" fillId="0" borderId="24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30" fillId="10" borderId="4" xfId="0" applyFont="1" applyFill="1" applyBorder="1" applyAlignment="1">
      <alignment horizontal="left" vertical="center"/>
    </xf>
    <xf numFmtId="169" fontId="30" fillId="10" borderId="4" xfId="0" applyNumberFormat="1" applyFont="1" applyFill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1" fontId="1" fillId="0" borderId="3" xfId="0" applyNumberFormat="1" applyFont="1" applyBorder="1" applyAlignment="1">
      <alignment horizontal="center" vertical="center"/>
    </xf>
    <xf numFmtId="1" fontId="30" fillId="10" borderId="4" xfId="0" applyNumberFormat="1" applyFont="1" applyFill="1" applyBorder="1" applyAlignment="1">
      <alignment vertical="center"/>
    </xf>
    <xf numFmtId="167" fontId="21" fillId="0" borderId="3" xfId="0" applyNumberFormat="1" applyFont="1" applyBorder="1" applyAlignment="1">
      <alignment vertical="center"/>
    </xf>
    <xf numFmtId="0" fontId="17" fillId="0" borderId="0" xfId="0" applyFont="1" applyAlignment="1">
      <alignment horizontal="left" vertical="center" indent="1"/>
    </xf>
    <xf numFmtId="0" fontId="40" fillId="3" borderId="26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left" vertical="center" indent="1"/>
    </xf>
    <xf numFmtId="0" fontId="41" fillId="17" borderId="18" xfId="0" applyFont="1" applyFill="1" applyBorder="1" applyAlignment="1">
      <alignment horizontal="center" vertical="center" wrapText="1"/>
    </xf>
    <xf numFmtId="0" fontId="41" fillId="17" borderId="18" xfId="0" applyFont="1" applyFill="1" applyBorder="1" applyAlignment="1">
      <alignment horizontal="left" vertical="center" indent="1" wrapText="1"/>
    </xf>
    <xf numFmtId="170" fontId="21" fillId="17" borderId="28" xfId="0" applyNumberFormat="1" applyFont="1" applyFill="1" applyBorder="1" applyAlignment="1">
      <alignment vertical="center"/>
    </xf>
    <xf numFmtId="1" fontId="21" fillId="17" borderId="28" xfId="0" applyNumberFormat="1" applyFont="1" applyFill="1" applyBorder="1" applyAlignment="1">
      <alignment vertical="center"/>
    </xf>
    <xf numFmtId="165" fontId="21" fillId="17" borderId="28" xfId="0" applyNumberFormat="1" applyFont="1" applyFill="1" applyBorder="1" applyAlignment="1">
      <alignment vertical="center"/>
    </xf>
    <xf numFmtId="0" fontId="21" fillId="2" borderId="0" xfId="0" applyFont="1" applyFill="1" applyAlignment="1">
      <alignment horizontal="left" vertical="center" indent="1"/>
    </xf>
    <xf numFmtId="1" fontId="1" fillId="0" borderId="0" xfId="0" applyNumberFormat="1" applyFont="1" applyAlignment="1">
      <alignment horizontal="center" vertical="center"/>
    </xf>
    <xf numFmtId="170" fontId="39" fillId="0" borderId="0" xfId="0" applyNumberFormat="1" applyFont="1" applyAlignment="1">
      <alignment vertical="center"/>
    </xf>
    <xf numFmtId="171" fontId="42" fillId="0" borderId="0" xfId="0" applyNumberFormat="1" applyFont="1" applyAlignment="1">
      <alignment vertical="center"/>
    </xf>
    <xf numFmtId="167" fontId="43" fillId="2" borderId="0" xfId="0" applyNumberFormat="1" applyFont="1" applyFill="1" applyAlignment="1">
      <alignment horizontal="left" vertical="center" indent="1"/>
    </xf>
    <xf numFmtId="0" fontId="35" fillId="2" borderId="0" xfId="0" applyFont="1" applyFill="1" applyAlignment="1">
      <alignment horizontal="left" vertical="center" indent="1"/>
    </xf>
    <xf numFmtId="0" fontId="30" fillId="10" borderId="4" xfId="0" applyFont="1" applyFill="1" applyBorder="1" applyAlignment="1">
      <alignment horizontal="center" vertical="center"/>
    </xf>
    <xf numFmtId="167" fontId="21" fillId="0" borderId="3" xfId="0" applyNumberFormat="1" applyFont="1" applyBorder="1" applyAlignment="1">
      <alignment horizontal="right" vertical="center"/>
    </xf>
    <xf numFmtId="167" fontId="30" fillId="10" borderId="4" xfId="0" applyNumberFormat="1" applyFont="1" applyFill="1" applyBorder="1" applyAlignment="1">
      <alignment horizontal="center" vertical="center"/>
    </xf>
    <xf numFmtId="165" fontId="21" fillId="0" borderId="3" xfId="0" applyNumberFormat="1" applyFont="1" applyBorder="1" applyAlignment="1">
      <alignment horizontal="right" vertical="center"/>
    </xf>
    <xf numFmtId="165" fontId="30" fillId="10" borderId="4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indent="1" wrapText="1"/>
    </xf>
    <xf numFmtId="172" fontId="30" fillId="10" borderId="4" xfId="0" applyNumberFormat="1" applyFont="1" applyFill="1" applyBorder="1" applyAlignment="1">
      <alignment horizontal="center" vertical="center"/>
    </xf>
    <xf numFmtId="1" fontId="30" fillId="10" borderId="4" xfId="0" applyNumberFormat="1" applyFont="1" applyFill="1" applyBorder="1" applyAlignment="1">
      <alignment horizontal="center" vertical="center"/>
    </xf>
    <xf numFmtId="0" fontId="21" fillId="17" borderId="0" xfId="0" applyFont="1" applyFill="1" applyAlignment="1">
      <alignment horizontal="left" vertical="center" indent="1"/>
    </xf>
    <xf numFmtId="167" fontId="18" fillId="1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top" wrapText="1"/>
    </xf>
    <xf numFmtId="173" fontId="21" fillId="0" borderId="3" xfId="0" applyNumberFormat="1" applyFont="1" applyBorder="1" applyAlignment="1">
      <alignment horizontal="center" vertical="center"/>
    </xf>
    <xf numFmtId="169" fontId="1" fillId="0" borderId="3" xfId="0" applyNumberFormat="1" applyFont="1" applyBorder="1" applyAlignment="1">
      <alignment horizontal="center" vertical="center"/>
    </xf>
    <xf numFmtId="0" fontId="21" fillId="17" borderId="28" xfId="0" applyFont="1" applyFill="1" applyBorder="1" applyAlignment="1">
      <alignment horizontal="left" vertical="center" indent="1"/>
    </xf>
    <xf numFmtId="167" fontId="21" fillId="0" borderId="3" xfId="0" applyNumberFormat="1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4" fillId="9" borderId="0" xfId="0" applyFont="1" applyFill="1" applyAlignment="1">
      <alignment horizontal="center" vertical="center"/>
    </xf>
    <xf numFmtId="0" fontId="21" fillId="11" borderId="29" xfId="0" applyFont="1" applyFill="1" applyBorder="1" applyAlignment="1">
      <alignment horizontal="left" vertical="center" indent="1"/>
    </xf>
    <xf numFmtId="170" fontId="21" fillId="11" borderId="29" xfId="0" applyNumberFormat="1" applyFont="1" applyFill="1" applyBorder="1" applyAlignment="1">
      <alignment vertical="center"/>
    </xf>
    <xf numFmtId="0" fontId="21" fillId="13" borderId="30" xfId="0" applyFont="1" applyFill="1" applyBorder="1" applyAlignment="1">
      <alignment horizontal="left" vertical="center" indent="1"/>
    </xf>
    <xf numFmtId="170" fontId="21" fillId="13" borderId="30" xfId="0" applyNumberFormat="1" applyFont="1" applyFill="1" applyBorder="1" applyAlignment="1">
      <alignment vertical="center"/>
    </xf>
    <xf numFmtId="0" fontId="21" fillId="0" borderId="3" xfId="0" applyFont="1" applyBorder="1" applyAlignment="1">
      <alignment horizontal="left" vertical="center" indent="1"/>
    </xf>
    <xf numFmtId="0" fontId="18" fillId="17" borderId="31" xfId="0" applyFont="1" applyFill="1" applyBorder="1" applyAlignment="1">
      <alignment horizontal="left" vertical="center" indent="1"/>
    </xf>
    <xf numFmtId="170" fontId="18" fillId="17" borderId="31" xfId="0" applyNumberFormat="1" applyFont="1" applyFill="1" applyBorder="1" applyAlignment="1">
      <alignment vertical="center"/>
    </xf>
    <xf numFmtId="0" fontId="13" fillId="11" borderId="0" xfId="0" applyFont="1" applyFill="1" applyAlignment="1">
      <alignment horizontal="left" vertical="center" indent="1"/>
    </xf>
    <xf numFmtId="0" fontId="21" fillId="2" borderId="32" xfId="0" applyFont="1" applyFill="1" applyBorder="1" applyAlignment="1">
      <alignment horizontal="left" vertical="center" indent="1"/>
    </xf>
    <xf numFmtId="170" fontId="21" fillId="2" borderId="32" xfId="0" applyNumberFormat="1" applyFont="1" applyFill="1" applyBorder="1" applyAlignment="1">
      <alignment vertical="center"/>
    </xf>
    <xf numFmtId="0" fontId="15" fillId="13" borderId="0" xfId="0" applyFont="1" applyFill="1" applyAlignment="1">
      <alignment horizontal="left" vertical="center" indent="1"/>
    </xf>
    <xf numFmtId="1" fontId="30" fillId="10" borderId="4" xfId="0" applyNumberFormat="1" applyFont="1" applyFill="1" applyBorder="1" applyAlignment="1">
      <alignment horizontal="right" vertical="center"/>
    </xf>
    <xf numFmtId="0" fontId="39" fillId="0" borderId="3" xfId="0" applyFont="1" applyBorder="1" applyAlignment="1">
      <alignment vertical="center"/>
    </xf>
    <xf numFmtId="169" fontId="30" fillId="10" borderId="4" xfId="0" applyNumberFormat="1" applyFont="1" applyFill="1" applyBorder="1" applyAlignment="1">
      <alignment horizontal="right" vertical="center"/>
    </xf>
    <xf numFmtId="165" fontId="30" fillId="10" borderId="4" xfId="0" applyNumberFormat="1" applyFont="1" applyFill="1" applyBorder="1" applyAlignment="1">
      <alignment horizontal="right" vertical="center"/>
    </xf>
    <xf numFmtId="167" fontId="30" fillId="10" borderId="4" xfId="0" applyNumberFormat="1" applyFont="1" applyFill="1" applyBorder="1" applyAlignment="1">
      <alignment horizontal="right" vertical="center"/>
    </xf>
    <xf numFmtId="1" fontId="1" fillId="0" borderId="3" xfId="0" applyNumberFormat="1" applyFont="1" applyBorder="1" applyAlignment="1">
      <alignment vertical="center"/>
    </xf>
    <xf numFmtId="0" fontId="45" fillId="9" borderId="33" xfId="0" applyFont="1" applyFill="1" applyBorder="1" applyAlignment="1">
      <alignment horizontal="center" vertical="center" wrapText="1"/>
    </xf>
    <xf numFmtId="174" fontId="1" fillId="0" borderId="3" xfId="0" applyNumberFormat="1" applyFont="1" applyBorder="1" applyAlignment="1">
      <alignment vertical="center"/>
    </xf>
    <xf numFmtId="169" fontId="1" fillId="0" borderId="3" xfId="0" applyNumberFormat="1" applyFont="1" applyBorder="1" applyAlignment="1">
      <alignment vertical="center"/>
    </xf>
  </cellXfs>
  <cellStyles count="1">
    <cellStyle name="Normal" xfId="0" builtinId="0"/>
  </cellStyles>
  <dxfs count="20">
    <dxf>
      <font>
        <color rgb="FFB91C1C"/>
      </font>
    </dxf>
    <dxf>
      <font>
        <color rgb="FFB45309"/>
      </font>
    </dxf>
    <dxf>
      <font>
        <b/>
        <color rgb="FF15803D"/>
      </font>
    </dxf>
    <dxf>
      <font>
        <b/>
        <color rgb="FFB91C1C"/>
      </font>
    </dxf>
    <dxf>
      <font>
        <color rgb="FF15803D"/>
      </font>
      <fill>
        <patternFill>
          <bgColor rgb="FFDCFCE7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B45309"/>
      </font>
      <fill>
        <patternFill>
          <bgColor rgb="FFFEF3C7"/>
        </patternFill>
      </fill>
    </dxf>
    <dxf>
      <font>
        <color rgb="FF334155"/>
      </font>
      <fill>
        <patternFill>
          <bgColor rgb="FFF8FAFC"/>
        </patternFill>
      </fill>
      <border>
        <left/>
        <right/>
        <top/>
        <bottom style="thin">
          <color rgb="FFE2E8F0"/>
        </bottom>
        <vertical/>
        <horizontal/>
      </border>
    </dxf>
    <dxf>
      <font>
        <color rgb="FF334155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B91C1C"/>
      </font>
      <fill>
        <patternFill>
          <bgColor rgb="FFFEE2E2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color rgb="FF15803D"/>
      </font>
    </dxf>
    <dxf>
      <font>
        <color rgb="FFF59E0B"/>
      </font>
    </dxf>
    <dxf>
      <font>
        <color rgb="FF2563EB"/>
      </font>
      <fill>
        <patternFill>
          <bgColor rgb="FFDBEAFE"/>
        </patternFill>
      </fill>
    </dxf>
    <dxf>
      <font>
        <b/>
        <color rgb="FFB45309"/>
      </font>
      <fill>
        <patternFill>
          <bgColor rgb="FFFEF3C7"/>
        </patternFill>
      </fill>
    </dxf>
    <dxf>
      <font>
        <b/>
        <color rgb="FF2563EB"/>
      </font>
      <fill>
        <patternFill>
          <bgColor rgb="FFDBEAFE"/>
        </patternFill>
      </fill>
    </dxf>
    <dxf>
      <font>
        <b/>
        <color rgb="FFB45309"/>
      </font>
    </dxf>
    <dxf>
      <font>
        <color rgb="FF64748B"/>
      </font>
      <fill>
        <patternFill>
          <bgColor rgb="FFF1F5F9"/>
        </patternFill>
      </fill>
    </dxf>
    <dxf>
      <font>
        <i/>
        <color rgb="FFB45309"/>
      </font>
      <fill>
        <patternFill>
          <bgColor rgb="FFFEF3C7"/>
        </patternFill>
      </fill>
    </dxf>
    <dxf>
      <font>
        <color rgb="FF0F172A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Caixa no fim de cada mês — pessoal + negócio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Caixa pessoal</c:v>
          </c:tx>
          <c:spPr>
            <a:solidFill>
              <a:srgbClr val="0F766E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'Dados'!$C$113:$N$113</c:f>
              <c:numCache>
                <c:formatCode>General</c:formatCode>
                <c:ptCount val="12"/>
                <c:pt idx="0">
                  <c:v>3225.8</c:v>
                </c:pt>
                <c:pt idx="1">
                  <c:v>3023.45</c:v>
                </c:pt>
                <c:pt idx="2">
                  <c:v>3729.75</c:v>
                </c:pt>
                <c:pt idx="3">
                  <c:v>3512.21</c:v>
                </c:pt>
                <c:pt idx="4">
                  <c:v>3406.84</c:v>
                </c:pt>
                <c:pt idx="5">
                  <c:v>4276.38</c:v>
                </c:pt>
                <c:pt idx="6">
                  <c:v>3143.72</c:v>
                </c:pt>
                <c:pt idx="7">
                  <c:v>3032.54</c:v>
                </c:pt>
                <c:pt idx="8">
                  <c:v>3592.59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Caixa do negócio</c:v>
          </c:tx>
          <c:spPr>
            <a:solidFill>
              <a:srgbClr val="EA580C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'Dados'!$C$114:$N$114</c:f>
              <c:numCache>
                <c:formatCode>General</c:formatCode>
                <c:ptCount val="12"/>
                <c:pt idx="0">
                  <c:v>1220.81</c:v>
                </c:pt>
                <c:pt idx="1">
                  <c:v>2113.33</c:v>
                </c:pt>
                <c:pt idx="2">
                  <c:v>2264.85</c:v>
                </c:pt>
                <c:pt idx="3">
                  <c:v>2373.63</c:v>
                </c:pt>
                <c:pt idx="4">
                  <c:v>1475.8</c:v>
                </c:pt>
                <c:pt idx="5">
                  <c:v>2876.95</c:v>
                </c:pt>
                <c:pt idx="6">
                  <c:v>2697.06</c:v>
                </c:pt>
                <c:pt idx="7">
                  <c:v>3971.5</c:v>
                </c:pt>
                <c:pt idx="8">
                  <c:v>4182.18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Resultado do mês: pessoal × negócio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Pessoal (saldo)</c:v>
          </c:tx>
          <c:spPr>
            <a:solidFill>
              <a:srgbClr val="0F766E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'Dados'!$C$115:$N$115</c:f>
              <c:numCache>
                <c:formatCode>General</c:formatCode>
                <c:ptCount val="12"/>
                <c:pt idx="0">
                  <c:v>725.8</c:v>
                </c:pt>
                <c:pt idx="1">
                  <c:v>-202.35</c:v>
                </c:pt>
                <c:pt idx="2">
                  <c:v>706.3</c:v>
                </c:pt>
                <c:pt idx="3">
                  <c:v>-217.54</c:v>
                </c:pt>
                <c:pt idx="4">
                  <c:v>-105.37</c:v>
                </c:pt>
                <c:pt idx="5">
                  <c:v>869.54</c:v>
                </c:pt>
                <c:pt idx="6">
                  <c:v>-1132.66</c:v>
                </c:pt>
                <c:pt idx="7">
                  <c:v>-111.18</c:v>
                </c:pt>
                <c:pt idx="8">
                  <c:v>560.05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Negócio (lucro)</c:v>
          </c:tx>
          <c:spPr>
            <a:solidFill>
              <a:srgbClr val="EA580C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'Dados'!$C$110:$N$110</c:f>
              <c:numCache>
                <c:formatCode>General</c:formatCode>
                <c:ptCount val="12"/>
                <c:pt idx="0">
                  <c:v>1720.81</c:v>
                </c:pt>
                <c:pt idx="1">
                  <c:v>5392.52</c:v>
                </c:pt>
                <c:pt idx="2">
                  <c:v>4651.52</c:v>
                </c:pt>
                <c:pt idx="3">
                  <c:v>4608.78</c:v>
                </c:pt>
                <c:pt idx="4">
                  <c:v>3602.17</c:v>
                </c:pt>
                <c:pt idx="5">
                  <c:v>5901.15</c:v>
                </c:pt>
                <c:pt idx="6">
                  <c:v>4320.11</c:v>
                </c:pt>
                <c:pt idx="7">
                  <c:v>5774.44</c:v>
                </c:pt>
                <c:pt idx="8">
                  <c:v>4710.68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overlap val="-5"/>
        <c:axId val="50020001"/>
        <c:axId val="50020002"/>
      </c:barChart>
      <c:catAx>
        <c:axId val="5002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O pró-labore cobre o seu custo de vida?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Pró-labore recebido</c:v>
          </c:tx>
          <c:spPr>
            <a:solidFill>
              <a:srgbClr val="10B981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'Dados'!$C$116:$N$116</c:f>
              <c:numCache>
                <c:formatCode>General</c:formatCode>
                <c:ptCount val="12"/>
                <c:pt idx="0">
                  <c:v>4500</c:v>
                </c:pt>
                <c:pt idx="1">
                  <c:v>4500</c:v>
                </c:pt>
                <c:pt idx="2">
                  <c:v>4500</c:v>
                </c:pt>
                <c:pt idx="3">
                  <c:v>4500</c:v>
                </c:pt>
                <c:pt idx="4">
                  <c:v>4500</c:v>
                </c:pt>
                <c:pt idx="5">
                  <c:v>4500</c:v>
                </c:pt>
                <c:pt idx="6">
                  <c:v>4500</c:v>
                </c:pt>
                <c:pt idx="7">
                  <c:v>4500</c:v>
                </c:pt>
                <c:pt idx="8">
                  <c:v>4500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Gastos pessoais</c:v>
          </c:tx>
          <c:spPr>
            <a:solidFill>
              <a:srgbClr val="F43F5E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'Dados'!$C$117:$N$117</c:f>
              <c:numCache>
                <c:formatCode>General</c:formatCode>
                <c:ptCount val="12"/>
                <c:pt idx="0">
                  <c:v>3820.83</c:v>
                </c:pt>
                <c:pt idx="1">
                  <c:v>4753.13</c:v>
                </c:pt>
                <c:pt idx="2">
                  <c:v>4238.38</c:v>
                </c:pt>
                <c:pt idx="3">
                  <c:v>4786.95</c:v>
                </c:pt>
                <c:pt idx="4">
                  <c:v>4658.59</c:v>
                </c:pt>
                <c:pt idx="5">
                  <c:v>4032.46</c:v>
                </c:pt>
                <c:pt idx="6">
                  <c:v>5693.25</c:v>
                </c:pt>
                <c:pt idx="7">
                  <c:v>4656.1</c:v>
                </c:pt>
                <c:pt idx="8">
                  <c:v>3992.84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overlap val="-5"/>
        <c:axId val="50030001"/>
        <c:axId val="50030002"/>
      </c:barChart>
      <c:catAx>
        <c:axId val="500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Para onde vai a receita do negócio (ano)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Receita do ano</c:v>
          </c:tx>
          <c:dPt>
            <c:idx val="0"/>
            <c:spPr>
              <a:solidFill>
                <a:srgbClr val="F43F5E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0F766E"/>
              </a:solidFill>
            </c:spPr>
          </c:dPt>
          <c:dPt>
            <c:idx val="3"/>
            <c:spPr>
              <a:solidFill>
                <a:srgbClr val="10B981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'Dados'!$B$125:$B$128</c:f>
              <c:strCache>
                <c:ptCount val="4"/>
                <c:pt idx="0">
                  <c:v>Despesas operacionais</c:v>
                </c:pt>
                <c:pt idx="1">
                  <c:v>Impostos</c:v>
                </c:pt>
                <c:pt idx="2">
                  <c:v>Pró-labore (suas retiradas)</c:v>
                </c:pt>
                <c:pt idx="3">
                  <c:v>Lucro retido no caixa</c:v>
                </c:pt>
              </c:strCache>
            </c:strRef>
          </c:cat>
          <c:val>
            <c:numRef>
              <c:f>'Dados'!$C$125:$C$128</c:f>
              <c:numCache>
                <c:formatCode>General</c:formatCode>
                <c:ptCount val="4"/>
                <c:pt idx="0">
                  <c:v>15138.01</c:v>
                </c:pt>
                <c:pt idx="1">
                  <c:v>688.4</c:v>
                </c:pt>
                <c:pt idx="2">
                  <c:v>40500</c:v>
                </c:pt>
                <c:pt idx="3">
                  <c:v>182.179999999993</c:v>
                </c:pt>
              </c:numCache>
            </c:numRef>
          </c:val>
        </c:ser>
        <c:firstSliceAng val="0"/>
        <c:holeSize val="52"/>
      </c:doughnut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Entradas × Saídas × Saldo — mês a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Entradas</c:v>
          </c:tx>
          <c:spPr>
            <a:solidFill>
              <a:srgbClr val="10B981"/>
            </a:solidFill>
          </c:spPr>
          <c:cat>
            <c:strRef>
              <c:f>'Resumo Pessoal'!$C$8:$N$8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Pessoal'!$C$18:$N$18</c:f>
              <c:numCache>
                <c:formatCode>General</c:formatCode>
                <c:ptCount val="12"/>
                <c:pt idx="0">
                  <c:v>4546.63</c:v>
                </c:pt>
                <c:pt idx="1">
                  <c:v>4550.78</c:v>
                </c:pt>
                <c:pt idx="2">
                  <c:v>4944.68</c:v>
                </c:pt>
                <c:pt idx="3">
                  <c:v>4569.41</c:v>
                </c:pt>
                <c:pt idx="4">
                  <c:v>4553.22</c:v>
                </c:pt>
                <c:pt idx="5">
                  <c:v>4902</c:v>
                </c:pt>
                <c:pt idx="6">
                  <c:v>4560.59</c:v>
                </c:pt>
                <c:pt idx="7">
                  <c:v>4544.92</c:v>
                </c:pt>
                <c:pt idx="8">
                  <c:v>4552.89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Saídas</c:v>
          </c:tx>
          <c:spPr>
            <a:solidFill>
              <a:srgbClr val="F43F5E"/>
            </a:solidFill>
          </c:spPr>
          <c:cat>
            <c:strRef>
              <c:f>'Resumo Pessoal'!$C$8:$N$8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Pessoal'!$C$36:$N$36</c:f>
              <c:numCache>
                <c:formatCode>General</c:formatCode>
                <c:ptCount val="12"/>
                <c:pt idx="0">
                  <c:v>3820.83</c:v>
                </c:pt>
                <c:pt idx="1">
                  <c:v>4753.13</c:v>
                </c:pt>
                <c:pt idx="2">
                  <c:v>4238.38</c:v>
                </c:pt>
                <c:pt idx="3">
                  <c:v>4786.95</c:v>
                </c:pt>
                <c:pt idx="4">
                  <c:v>4658.59</c:v>
                </c:pt>
                <c:pt idx="5">
                  <c:v>4032.46</c:v>
                </c:pt>
                <c:pt idx="6">
                  <c:v>5693.25</c:v>
                </c:pt>
                <c:pt idx="7">
                  <c:v>4656.1</c:v>
                </c:pt>
                <c:pt idx="8">
                  <c:v>3992.84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overlap val="-5"/>
        <c:axId val="50050001"/>
        <c:axId val="50050002"/>
      </c:barChart>
      <c:lineChart>
        <c:grouping val="standard"/>
        <c:ser>
          <c:idx val="2"/>
          <c:order val="2"/>
          <c:tx>
            <c:v>Saldo do mês</c:v>
          </c:tx>
          <c:spPr>
            <a:ln w="28575">
              <a:solidFill>
                <a:srgbClr val="2563EB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2563EB"/>
                </a:solidFill>
              </a:ln>
            </c:spPr>
          </c:marker>
          <c:cat>
            <c:strRef>
              <c:f>'Resumo Pessoal'!$C$8:$N$8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Pessoal'!$C$37:$N$37</c:f>
              <c:numCache>
                <c:formatCode>General</c:formatCode>
                <c:ptCount val="12"/>
                <c:pt idx="0">
                  <c:v>725.8</c:v>
                </c:pt>
                <c:pt idx="1">
                  <c:v>-202.35</c:v>
                </c:pt>
                <c:pt idx="2">
                  <c:v>706.3</c:v>
                </c:pt>
                <c:pt idx="3">
                  <c:v>-217.54</c:v>
                </c:pt>
                <c:pt idx="4">
                  <c:v>-105.37</c:v>
                </c:pt>
                <c:pt idx="5">
                  <c:v>869.54</c:v>
                </c:pt>
                <c:pt idx="6">
                  <c:v>-1132.66</c:v>
                </c:pt>
                <c:pt idx="7">
                  <c:v>-111.18</c:v>
                </c:pt>
                <c:pt idx="8">
                  <c:v>560.05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'Dados'!$C$14</c:f>
          <c:strCache>
            <c:ptCount val="1"/>
            <c:pt idx="0">
              <c:v>Para onde foi o dinheiro — Setembro</c:v>
            </c:pt>
          </c:strCache>
        </c:strRef>
      </c:tx>
      <c:layout/>
      <c:txPr>
        <a:bodyPr/>
        <a:lstStyle/>
        <a:p>
          <a:pPr>
            <a:defRPr sz="1100" b="1" baseline="0">
              <a:solidFill>
                <a:srgbClr val="0F172A"/>
              </a:solidFill>
              <a:latin typeface="Arial"/>
            </a:defRPr>
          </a:pPr>
          <a:endParaRPr lang="en-US"/>
        </a:p>
      </c:txPr>
    </c:title>
    <c:plotArea>
      <c:layout/>
      <c:doughnutChart>
        <c:varyColors val="1"/>
        <c:ser>
          <c:idx val="0"/>
          <c:order val="0"/>
          <c:tx>
            <c:v>Saídas do mês</c:v>
          </c:tx>
          <c:dPt>
            <c:idx val="0"/>
            <c:spPr>
              <a:solidFill>
                <a:srgbClr val="0F766E"/>
              </a:solidFill>
            </c:spPr>
          </c:dPt>
          <c:dPt>
            <c:idx val="1"/>
            <c:spPr>
              <a:solidFill>
                <a:srgbClr val="2563EB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11D48"/>
              </a:solidFill>
            </c:spPr>
          </c:dPt>
          <c:dPt>
            <c:idx val="4"/>
            <c:spPr>
              <a:solidFill>
                <a:srgbClr val="7C3AED"/>
              </a:solidFill>
            </c:spPr>
          </c:dPt>
          <c:dPt>
            <c:idx val="5"/>
            <c:spPr>
              <a:solidFill>
                <a:srgbClr val="0891B2"/>
              </a:solidFill>
            </c:spPr>
          </c:dPt>
          <c:dPt>
            <c:idx val="6"/>
            <c:spPr>
              <a:solidFill>
                <a:srgbClr val="65A30D"/>
              </a:solidFill>
            </c:spPr>
          </c:dPt>
          <c:dPt>
            <c:idx val="7"/>
            <c:spPr>
              <a:solidFill>
                <a:srgbClr val="94A3B8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'Dados'!$M$18:$M$25</c:f>
              <c:strCache>
                <c:ptCount val="8"/>
                <c:pt idx="0">
                  <c:v>Moradia</c:v>
                </c:pt>
                <c:pt idx="1">
                  <c:v>Alimentação</c:v>
                </c:pt>
                <c:pt idx="2">
                  <c:v>Reserva e Metas</c:v>
                </c:pt>
                <c:pt idx="3">
                  <c:v>Contas da casa</c:v>
                </c:pt>
                <c:pt idx="4">
                  <c:v>Transporte</c:v>
                </c:pt>
                <c:pt idx="5">
                  <c:v>Saúde</c:v>
                </c:pt>
                <c:pt idx="6">
                  <c:v>Lazer</c:v>
                </c:pt>
                <c:pt idx="7">
                  <c:v>Outras categorias</c:v>
                </c:pt>
              </c:strCache>
            </c:strRef>
          </c:cat>
          <c:val>
            <c:numRef>
              <c:f>'Dados'!$N$18:$N$25</c:f>
              <c:numCache>
                <c:formatCode>General</c:formatCode>
                <c:ptCount val="8"/>
                <c:pt idx="0">
                  <c:v>1100</c:v>
                </c:pt>
                <c:pt idx="1">
                  <c:v>627.27</c:v>
                </c:pt>
                <c:pt idx="2">
                  <c:v>600</c:v>
                </c:pt>
                <c:pt idx="3">
                  <c:v>289.91</c:v>
                </c:pt>
                <c:pt idx="4">
                  <c:v>264.51</c:v>
                </c:pt>
                <c:pt idx="5">
                  <c:v>255.85</c:v>
                </c:pt>
                <c:pt idx="6">
                  <c:v>201.67</c:v>
                </c:pt>
                <c:pt idx="7">
                  <c:v>653.63</c:v>
                </c:pt>
              </c:numCache>
            </c:numRef>
          </c:val>
        </c:ser>
        <c:firstSliceAng val="0"/>
        <c:holeSize val="52"/>
      </c:doughnut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Saldo acumulado ao longo do ano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Saldo acumulado</c:v>
          </c:tx>
          <c:spPr>
            <a:solidFill>
              <a:srgbClr val="BFDBFE">
                <a:alpha val="75000"/>
              </a:srgbClr>
            </a:solidFill>
            <a:ln w="28575">
              <a:solidFill>
                <a:srgbClr val="2563EB"/>
              </a:solidFill>
            </a:ln>
          </c:spPr>
          <c:cat>
            <c:strRef>
              <c:f>'Resumo Pessoal'!$C$8:$N$8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Pessoal'!$C$38:$N$38</c:f>
              <c:numCache>
                <c:formatCode>General</c:formatCode>
                <c:ptCount val="12"/>
                <c:pt idx="0">
                  <c:v>3225.8</c:v>
                </c:pt>
                <c:pt idx="1">
                  <c:v>3023.45</c:v>
                </c:pt>
                <c:pt idx="2">
                  <c:v>3729.75</c:v>
                </c:pt>
                <c:pt idx="3">
                  <c:v>3512.21</c:v>
                </c:pt>
                <c:pt idx="4">
                  <c:v>3406.84</c:v>
                </c:pt>
                <c:pt idx="5">
                  <c:v>4276.38</c:v>
                </c:pt>
                <c:pt idx="6">
                  <c:v>3143.72</c:v>
                </c:pt>
                <c:pt idx="7">
                  <c:v>3032.54</c:v>
                </c:pt>
                <c:pt idx="8">
                  <c:v>3592.59</c:v>
                </c:pt>
                <c:pt idx="9">
                  <c:v>3592.59</c:v>
                </c:pt>
                <c:pt idx="10">
                  <c:v>3592.59</c:v>
                </c:pt>
                <c:pt idx="11">
                  <c:v>3592.59</c:v>
                </c:pt>
              </c:numCache>
            </c:numRef>
          </c:val>
        </c:ser>
        <c:axId val="50070001"/>
        <c:axId val="50070002"/>
      </c:areaChart>
      <c:catAx>
        <c:axId val="5007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70001"/>
        <c:crosses val="autoZero"/>
        <c:crossBetween val="midCat"/>
      </c:valAx>
      <c:spPr>
        <a:noFill/>
        <a:ln>
          <a:noFill/>
        </a:ln>
      </c:spPr>
    </c:plotArea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Top 8 categorias: realizado × planejado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Realizado</c:v>
          </c:tx>
          <c:spPr>
            <a:solidFill>
              <a:srgbClr val="0F766E"/>
            </a:solidFill>
          </c:spPr>
          <c:cat>
            <c:strRef>
              <c:f>'Dados'!$J$18:$J$25</c:f>
              <c:strCache>
                <c:ptCount val="8"/>
                <c:pt idx="0">
                  <c:v>Moradia</c:v>
                </c:pt>
                <c:pt idx="1">
                  <c:v>Alimentação</c:v>
                </c:pt>
                <c:pt idx="2">
                  <c:v>Reserva e Metas</c:v>
                </c:pt>
                <c:pt idx="3">
                  <c:v>Contas da casa</c:v>
                </c:pt>
                <c:pt idx="4">
                  <c:v>Transporte</c:v>
                </c:pt>
                <c:pt idx="5">
                  <c:v>Saúde</c:v>
                </c:pt>
                <c:pt idx="6">
                  <c:v>Lazer</c:v>
                </c:pt>
                <c:pt idx="7">
                  <c:v>Cuidados pessoais</c:v>
                </c:pt>
              </c:strCache>
            </c:strRef>
          </c:cat>
          <c:val>
            <c:numRef>
              <c:f>'Dados'!$K$18:$K$25</c:f>
              <c:numCache>
                <c:formatCode>General</c:formatCode>
                <c:ptCount val="8"/>
                <c:pt idx="0">
                  <c:v>1100</c:v>
                </c:pt>
                <c:pt idx="1">
                  <c:v>627.27</c:v>
                </c:pt>
                <c:pt idx="2">
                  <c:v>600</c:v>
                </c:pt>
                <c:pt idx="3">
                  <c:v>289.91</c:v>
                </c:pt>
                <c:pt idx="4">
                  <c:v>264.51</c:v>
                </c:pt>
                <c:pt idx="5">
                  <c:v>255.85</c:v>
                </c:pt>
                <c:pt idx="6">
                  <c:v>201.67</c:v>
                </c:pt>
                <c:pt idx="7">
                  <c:v>175.11</c:v>
                </c:pt>
              </c:numCache>
            </c:numRef>
          </c:val>
        </c:ser>
        <c:ser>
          <c:idx val="1"/>
          <c:order val="1"/>
          <c:tx>
            <c:v>Planejado</c:v>
          </c:tx>
          <c:spPr>
            <a:solidFill>
              <a:srgbClr val="CBD5E1"/>
            </a:solidFill>
          </c:spPr>
          <c:cat>
            <c:strRef>
              <c:f>'Dados'!$J$18:$J$25</c:f>
              <c:strCache>
                <c:ptCount val="8"/>
                <c:pt idx="0">
                  <c:v>Moradia</c:v>
                </c:pt>
                <c:pt idx="1">
                  <c:v>Alimentação</c:v>
                </c:pt>
                <c:pt idx="2">
                  <c:v>Reserva e Metas</c:v>
                </c:pt>
                <c:pt idx="3">
                  <c:v>Contas da casa</c:v>
                </c:pt>
                <c:pt idx="4">
                  <c:v>Transporte</c:v>
                </c:pt>
                <c:pt idx="5">
                  <c:v>Saúde</c:v>
                </c:pt>
                <c:pt idx="6">
                  <c:v>Lazer</c:v>
                </c:pt>
                <c:pt idx="7">
                  <c:v>Cuidados pessoais</c:v>
                </c:pt>
              </c:strCache>
            </c:strRef>
          </c:cat>
          <c:val>
            <c:numRef>
              <c:f>'Dados'!$L$18:$L$25</c:f>
              <c:numCache>
                <c:formatCode>General</c:formatCode>
                <c:ptCount val="8"/>
                <c:pt idx="0">
                  <c:v>1100</c:v>
                </c:pt>
                <c:pt idx="1">
                  <c:v>650</c:v>
                </c:pt>
                <c:pt idx="2">
                  <c:v>600</c:v>
                </c:pt>
                <c:pt idx="3">
                  <c:v>360</c:v>
                </c:pt>
                <c:pt idx="4">
                  <c:v>420</c:v>
                </c:pt>
                <c:pt idx="5">
                  <c:v>250</c:v>
                </c:pt>
                <c:pt idx="6">
                  <c:v>250</c:v>
                </c:pt>
                <c:pt idx="7">
                  <c:v>200</c:v>
                </c:pt>
              </c:numCache>
            </c:numRef>
          </c:val>
        </c:ser>
        <c:gapWidth val="45"/>
        <c:overlap val="-5"/>
        <c:axId val="50080001"/>
        <c:axId val="50080002"/>
      </c:barChart>
      <c:catAx>
        <c:axId val="5008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t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80001"/>
        <c:crosses val="max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Receita × Despesas × Lucro — mês a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Receita</c:v>
          </c:tx>
          <c:spPr>
            <a:solidFill>
              <a:srgbClr val="10B981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'Dados'!$C$108:$N$108</c:f>
              <c:numCache>
                <c:formatCode>General</c:formatCode>
                <c:ptCount val="12"/>
                <c:pt idx="0">
                  <c:v>3300</c:v>
                </c:pt>
                <c:pt idx="1">
                  <c:v>6838.99</c:v>
                </c:pt>
                <c:pt idx="2">
                  <c:v>6580</c:v>
                </c:pt>
                <c:pt idx="3">
                  <c:v>6350</c:v>
                </c:pt>
                <c:pt idx="4">
                  <c:v>4900</c:v>
                </c:pt>
                <c:pt idx="5">
                  <c:v>8722.76</c:v>
                </c:pt>
                <c:pt idx="6">
                  <c:v>6250</c:v>
                </c:pt>
                <c:pt idx="7">
                  <c:v>7300</c:v>
                </c:pt>
                <c:pt idx="8">
                  <c:v>6266.84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Despesas + impostos</c:v>
          </c:tx>
          <c:spPr>
            <a:solidFill>
              <a:srgbClr val="F43F5E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'Dados'!$C$109:$N$109</c:f>
              <c:numCache>
                <c:formatCode>General</c:formatCode>
                <c:ptCount val="12"/>
                <c:pt idx="0">
                  <c:v>1579.19</c:v>
                </c:pt>
                <c:pt idx="1">
                  <c:v>1446.47</c:v>
                </c:pt>
                <c:pt idx="2">
                  <c:v>1928.48</c:v>
                </c:pt>
                <c:pt idx="3">
                  <c:v>1741.22</c:v>
                </c:pt>
                <c:pt idx="4">
                  <c:v>1297.83</c:v>
                </c:pt>
                <c:pt idx="5">
                  <c:v>2821.61</c:v>
                </c:pt>
                <c:pt idx="6">
                  <c:v>1929.89</c:v>
                </c:pt>
                <c:pt idx="7">
                  <c:v>1525.56</c:v>
                </c:pt>
                <c:pt idx="8">
                  <c:v>1556.16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Lucro de caixa</c:v>
          </c:tx>
          <c:spPr>
            <a:solidFill>
              <a:srgbClr val="2563EB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'Dados'!$C$110:$N$110</c:f>
              <c:numCache>
                <c:formatCode>General</c:formatCode>
                <c:ptCount val="12"/>
                <c:pt idx="0">
                  <c:v>1720.81</c:v>
                </c:pt>
                <c:pt idx="1">
                  <c:v>5392.52</c:v>
                </c:pt>
                <c:pt idx="2">
                  <c:v>4651.52</c:v>
                </c:pt>
                <c:pt idx="3">
                  <c:v>4608.78</c:v>
                </c:pt>
                <c:pt idx="4">
                  <c:v>3602.17</c:v>
                </c:pt>
                <c:pt idx="5">
                  <c:v>5901.15</c:v>
                </c:pt>
                <c:pt idx="6">
                  <c:v>4320.11</c:v>
                </c:pt>
                <c:pt idx="7">
                  <c:v>5774.44</c:v>
                </c:pt>
                <c:pt idx="8">
                  <c:v>4710.68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overlap val="-5"/>
        <c:axId val="50090001"/>
        <c:axId val="50090002"/>
      </c:barChart>
      <c:catAx>
        <c:axId val="500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'Dados'!$C$44</c:f>
          <c:strCache>
            <c:ptCount val="1"/>
            <c:pt idx="0">
              <c:v>Onde o negócio gastou — Setembro</c:v>
            </c:pt>
          </c:strCache>
        </c:strRef>
      </c:tx>
      <c:layout/>
      <c:txPr>
        <a:bodyPr/>
        <a:lstStyle/>
        <a:p>
          <a:pPr>
            <a:defRPr sz="1100" b="1" baseline="0">
              <a:solidFill>
                <a:srgbClr val="0F172A"/>
              </a:solidFill>
              <a:latin typeface="Arial"/>
            </a:defRPr>
          </a:pPr>
          <a:endParaRPr lang="en-US"/>
        </a:p>
      </c:txPr>
    </c:title>
    <c:plotArea>
      <c:layout/>
      <c:doughnutChart>
        <c:varyColors val="1"/>
        <c:ser>
          <c:idx val="0"/>
          <c:order val="0"/>
          <c:tx>
            <c:v>Despesas do mês</c:v>
          </c:tx>
          <c:dPt>
            <c:idx val="0"/>
            <c:spPr>
              <a:solidFill>
                <a:srgbClr val="0F766E"/>
              </a:solidFill>
            </c:spPr>
          </c:dPt>
          <c:dPt>
            <c:idx val="1"/>
            <c:spPr>
              <a:solidFill>
                <a:srgbClr val="2563EB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11D48"/>
              </a:solidFill>
            </c:spPr>
          </c:dPt>
          <c:dPt>
            <c:idx val="4"/>
            <c:spPr>
              <a:solidFill>
                <a:srgbClr val="7C3AED"/>
              </a:solidFill>
            </c:spPr>
          </c:dPt>
          <c:dPt>
            <c:idx val="5"/>
            <c:spPr>
              <a:solidFill>
                <a:srgbClr val="0891B2"/>
              </a:solidFill>
            </c:spPr>
          </c:dPt>
          <c:dPt>
            <c:idx val="6"/>
            <c:spPr>
              <a:solidFill>
                <a:srgbClr val="65A30D"/>
              </a:solidFill>
            </c:spPr>
          </c:dPt>
          <c:dPt>
            <c:idx val="7"/>
            <c:spPr>
              <a:solidFill>
                <a:srgbClr val="94A3B8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'Dados'!$M$48:$M$55</c:f>
              <c:strCache>
                <c:ptCount val="8"/>
                <c:pt idx="0">
                  <c:v>Aluguel / coworking</c:v>
                </c:pt>
                <c:pt idx="1">
                  <c:v>Capacitação e cursos</c:v>
                </c:pt>
                <c:pt idx="2">
                  <c:v>Software e assinaturas</c:v>
                </c:pt>
                <c:pt idx="3">
                  <c:v>Marketing e anúncios</c:v>
                </c:pt>
                <c:pt idx="4">
                  <c:v>Transporte e viagens</c:v>
                </c:pt>
                <c:pt idx="5">
                  <c:v>Internet e telefone</c:v>
                </c:pt>
                <c:pt idx="6">
                  <c:v>Impostos (DAS)</c:v>
                </c:pt>
                <c:pt idx="7">
                  <c:v>Outras despesas</c:v>
                </c:pt>
              </c:strCache>
            </c:strRef>
          </c:cat>
          <c:val>
            <c:numRef>
              <c:f>'Dados'!$N$48:$N$55</c:f>
              <c:numCache>
                <c:formatCode>General</c:formatCode>
                <c:ptCount val="8"/>
                <c:pt idx="0">
                  <c:v>450</c:v>
                </c:pt>
                <c:pt idx="1">
                  <c:v>320</c:v>
                </c:pt>
                <c:pt idx="2">
                  <c:v>218.8</c:v>
                </c:pt>
                <c:pt idx="3">
                  <c:v>165.34</c:v>
                </c:pt>
                <c:pt idx="4">
                  <c:v>141.83</c:v>
                </c:pt>
                <c:pt idx="5">
                  <c:v>140</c:v>
                </c:pt>
                <c:pt idx="6">
                  <c:v>86.05</c:v>
                </c:pt>
                <c:pt idx="7">
                  <c:v>34.1400000000001</c:v>
                </c:pt>
              </c:numCache>
            </c:numRef>
          </c:val>
        </c:ser>
        <c:firstSliceAng val="0"/>
        <c:holeSize val="52"/>
      </c:doughnut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Top clientes — recebido no ano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Recebido no ano</c:v>
          </c:tx>
          <c:spPr>
            <a:solidFill>
              <a:srgbClr val="EA580C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'Dados'!$J$67:$J$74</c:f>
              <c:strCache>
                <c:ptCount val="8"/>
                <c:pt idx="0">
                  <c:v>Studio Aurora</c:v>
                </c:pt>
                <c:pt idx="1">
                  <c:v>Clínica Vida Plena</c:v>
                </c:pt>
                <c:pt idx="2">
                  <c:v>Escola Horizonte</c:v>
                </c:pt>
                <c:pt idx="3">
                  <c:v>Tech Nova Ltda</c:v>
                </c:pt>
                <c:pt idx="4">
                  <c:v>Loja Bella Moda</c:v>
                </c:pt>
                <c:pt idx="5">
                  <c:v>Padaria Dois Irmãos</c:v>
                </c:pt>
                <c:pt idx="6">
                  <c:v>Maria Oliveira (PF)</c:v>
                </c:pt>
                <c:pt idx="7">
                  <c:v>Café do Centro</c:v>
                </c:pt>
              </c:strCache>
            </c:strRef>
          </c:cat>
          <c:val>
            <c:numRef>
              <c:f>'Dados'!$K$67:$K$74</c:f>
              <c:numCache>
                <c:formatCode>General</c:formatCode>
                <c:ptCount val="8"/>
                <c:pt idx="0">
                  <c:v>14400</c:v>
                </c:pt>
                <c:pt idx="1">
                  <c:v>12000</c:v>
                </c:pt>
                <c:pt idx="2">
                  <c:v>8000</c:v>
                </c:pt>
                <c:pt idx="3">
                  <c:v>7500</c:v>
                </c:pt>
                <c:pt idx="4">
                  <c:v>5400</c:v>
                </c:pt>
                <c:pt idx="5">
                  <c:v>3900</c:v>
                </c:pt>
                <c:pt idx="6">
                  <c:v>2280</c:v>
                </c:pt>
                <c:pt idx="7">
                  <c:v>2050</c:v>
                </c:pt>
              </c:numCache>
            </c:numRef>
          </c:val>
        </c:ser>
        <c:gapWidth val="45"/>
        <c:axId val="50110001"/>
        <c:axId val="50110002"/>
      </c:barChart>
      <c:catAx>
        <c:axId val="5011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t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10001"/>
        <c:crosses val="max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Faturamento acumulado × limite MEI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Receita acumulada</c:v>
          </c:tx>
          <c:spPr>
            <a:ln w="34925">
              <a:solidFill>
                <a:srgbClr val="EA580C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EA580C"/>
                </a:solidFill>
              </a:ln>
            </c:spPr>
          </c:marke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'Impostos'!$L$23:$L$34</c:f>
              <c:numCache>
                <c:formatCode>General</c:formatCode>
                <c:ptCount val="12"/>
                <c:pt idx="0">
                  <c:v>3300</c:v>
                </c:pt>
                <c:pt idx="1">
                  <c:v>10138.99</c:v>
                </c:pt>
                <c:pt idx="2">
                  <c:v>16718.99</c:v>
                </c:pt>
                <c:pt idx="3">
                  <c:v>23068.99</c:v>
                </c:pt>
                <c:pt idx="4">
                  <c:v>27968.99</c:v>
                </c:pt>
                <c:pt idx="5">
                  <c:v>36691.75</c:v>
                </c:pt>
                <c:pt idx="6">
                  <c:v>42941.75</c:v>
                </c:pt>
                <c:pt idx="7">
                  <c:v>50241.75</c:v>
                </c:pt>
                <c:pt idx="8">
                  <c:v>56508.59</c:v>
                </c:pt>
                <c:pt idx="9">
                  <c:v>56508.59</c:v>
                </c:pt>
                <c:pt idx="10">
                  <c:v>56508.59</c:v>
                </c:pt>
                <c:pt idx="11">
                  <c:v>56508.59</c:v>
                </c:pt>
              </c:numCache>
            </c:numRef>
          </c:val>
        </c:ser>
        <c:ser>
          <c:idx val="1"/>
          <c:order val="1"/>
          <c:tx>
            <c:v>Limite do período</c:v>
          </c:tx>
          <c:spPr>
            <a:ln w="25400">
              <a:solidFill>
                <a:srgbClr val="F43F5E"/>
              </a:solidFill>
              <a:prstDash val="dash"/>
            </a:ln>
          </c:spPr>
          <c:marker>
            <c:symbol val="none"/>
          </c:marke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'Impostos'!$M$23:$M$34</c:f>
              <c:numCache>
                <c:formatCode>General</c:formatCode>
                <c:ptCount val="12"/>
                <c:pt idx="0">
                  <c:v>81000</c:v>
                </c:pt>
                <c:pt idx="1">
                  <c:v>81000</c:v>
                </c:pt>
                <c:pt idx="2">
                  <c:v>81000</c:v>
                </c:pt>
                <c:pt idx="3">
                  <c:v>81000</c:v>
                </c:pt>
                <c:pt idx="4">
                  <c:v>81000</c:v>
                </c:pt>
                <c:pt idx="5">
                  <c:v>81000</c:v>
                </c:pt>
                <c:pt idx="6">
                  <c:v>81000</c:v>
                </c:pt>
                <c:pt idx="7">
                  <c:v>81000</c:v>
                </c:pt>
                <c:pt idx="8">
                  <c:v>81000</c:v>
                </c:pt>
                <c:pt idx="9">
                  <c:v>81000</c:v>
                </c:pt>
                <c:pt idx="10">
                  <c:v>81000</c:v>
                </c:pt>
                <c:pt idx="11">
                  <c:v>81000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2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Quanto já guardei × valor alvo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 alvo</c:v>
          </c:tx>
          <c:spPr>
            <a:solidFill>
              <a:srgbClr val="CBD5E1"/>
            </a:solidFill>
          </c:spPr>
          <c:cat>
            <c:strRef>
              <c:f>'Metas'!$B$8:$B$15</c:f>
              <c:strCache>
                <c:ptCount val="8"/>
                <c:pt idx="0">
                  <c:v>Reserva de emergência</c:v>
                </c:pt>
                <c:pt idx="1">
                  <c:v>Reserva para impostos</c:v>
                </c:pt>
                <c:pt idx="2">
                  <c:v>Viagem de férias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'Metas'!$C$8:$C$15</c:f>
              <c:numCache>
                <c:formatCode>General</c:formatCode>
                <c:ptCount val="8"/>
                <c:pt idx="0">
                  <c:v>24000</c:v>
                </c:pt>
                <c:pt idx="1">
                  <c:v>4000</c:v>
                </c:pt>
                <c:pt idx="2">
                  <c:v>6000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Total guardado</c:v>
          </c:tx>
          <c:spPr>
            <a:solidFill>
              <a:srgbClr val="14B8A6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'Metas'!$B$8:$B$15</c:f>
              <c:strCache>
                <c:ptCount val="8"/>
                <c:pt idx="0">
                  <c:v>Reserva de emergência</c:v>
                </c:pt>
                <c:pt idx="1">
                  <c:v>Reserva para impostos</c:v>
                </c:pt>
                <c:pt idx="2">
                  <c:v>Viagem de férias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'Metas'!$G$8:$G$15</c:f>
              <c:numCache>
                <c:formatCode>General</c:formatCode>
                <c:ptCount val="8"/>
                <c:pt idx="0">
                  <c:v>8700</c:v>
                </c:pt>
                <c:pt idx="1">
                  <c:v>1350</c:v>
                </c:pt>
                <c:pt idx="2">
                  <c:v>1400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-10"/>
        <c:axId val="50130001"/>
        <c:axId val="50130002"/>
      </c:barChart>
      <c:catAx>
        <c:axId val="5013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t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30001"/>
        <c:crosses val="max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Faturamento acumulado × limite anual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Receita acumulada</c:v>
          </c:tx>
          <c:spPr>
            <a:ln w="34925">
              <a:solidFill>
                <a:srgbClr val="EA580C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EA580C"/>
                </a:solidFill>
              </a:ln>
            </c:spPr>
          </c:marker>
          <c:cat>
            <c:numRef>
              <c:f>'Impostos'!$B$23:$B$34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'Impostos'!$L$23:$L$34</c:f>
              <c:numCache>
                <c:formatCode>General</c:formatCode>
                <c:ptCount val="12"/>
                <c:pt idx="0">
                  <c:v>3300</c:v>
                </c:pt>
                <c:pt idx="1">
                  <c:v>10138.99</c:v>
                </c:pt>
                <c:pt idx="2">
                  <c:v>16718.99</c:v>
                </c:pt>
                <c:pt idx="3">
                  <c:v>23068.99</c:v>
                </c:pt>
                <c:pt idx="4">
                  <c:v>27968.99</c:v>
                </c:pt>
                <c:pt idx="5">
                  <c:v>36691.75</c:v>
                </c:pt>
                <c:pt idx="6">
                  <c:v>42941.75</c:v>
                </c:pt>
                <c:pt idx="7">
                  <c:v>50241.75</c:v>
                </c:pt>
                <c:pt idx="8">
                  <c:v>56508.59</c:v>
                </c:pt>
                <c:pt idx="9">
                  <c:v>56508.59</c:v>
                </c:pt>
                <c:pt idx="10">
                  <c:v>56508.59</c:v>
                </c:pt>
                <c:pt idx="11">
                  <c:v>56508.59</c:v>
                </c:pt>
              </c:numCache>
            </c:numRef>
          </c:val>
        </c:ser>
        <c:ser>
          <c:idx val="1"/>
          <c:order val="1"/>
          <c:tx>
            <c:v>Limite do período</c:v>
          </c:tx>
          <c:spPr>
            <a:ln w="25400">
              <a:solidFill>
                <a:srgbClr val="F43F5E"/>
              </a:solidFill>
              <a:prstDash val="dash"/>
            </a:ln>
          </c:spPr>
          <c:marker>
            <c:symbol val="none"/>
          </c:marker>
          <c:cat>
            <c:numRef>
              <c:f>'Impostos'!$B$23:$B$34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'Impostos'!$M$23:$M$34</c:f>
              <c:numCache>
                <c:formatCode>General</c:formatCode>
                <c:ptCount val="12"/>
                <c:pt idx="0">
                  <c:v>81000</c:v>
                </c:pt>
                <c:pt idx="1">
                  <c:v>81000</c:v>
                </c:pt>
                <c:pt idx="2">
                  <c:v>81000</c:v>
                </c:pt>
                <c:pt idx="3">
                  <c:v>81000</c:v>
                </c:pt>
                <c:pt idx="4">
                  <c:v>81000</c:v>
                </c:pt>
                <c:pt idx="5">
                  <c:v>81000</c:v>
                </c:pt>
                <c:pt idx="6">
                  <c:v>81000</c:v>
                </c:pt>
                <c:pt idx="7">
                  <c:v>81000</c:v>
                </c:pt>
                <c:pt idx="8">
                  <c:v>81000</c:v>
                </c:pt>
                <c:pt idx="9">
                  <c:v>81000</c:v>
                </c:pt>
                <c:pt idx="10">
                  <c:v>81000</c:v>
                </c:pt>
                <c:pt idx="11">
                  <c:v>81000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numFmt formatCode="mmm" sourceLinked="0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40002"/>
        <c:crosses val="autoZero"/>
        <c:lblAlgn val="ctr"/>
        <c:lblOffset val="100"/>
      </c:catAx>
      <c:valAx>
        <c:axId val="5014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4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Entradas × Saídas × Saldo (meses futuros = projeção)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Entradas</c:v>
          </c:tx>
          <c:spPr>
            <a:solidFill>
              <a:srgbClr val="10B981"/>
            </a:solidFill>
          </c:spPr>
          <c:cat>
            <c:strRef>
              <c:f>'Fluxo de Caixa'!$C$16:$N$16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'Fluxo de Caixa'!$C$23:$N$23</c:f>
              <c:numCache>
                <c:formatCode>General</c:formatCode>
                <c:ptCount val="12"/>
                <c:pt idx="0">
                  <c:v>3300</c:v>
                </c:pt>
                <c:pt idx="1">
                  <c:v>6838.99</c:v>
                </c:pt>
                <c:pt idx="2">
                  <c:v>6580</c:v>
                </c:pt>
                <c:pt idx="3">
                  <c:v>6350</c:v>
                </c:pt>
                <c:pt idx="4">
                  <c:v>4900</c:v>
                </c:pt>
                <c:pt idx="5">
                  <c:v>8722.76</c:v>
                </c:pt>
                <c:pt idx="6">
                  <c:v>6250</c:v>
                </c:pt>
                <c:pt idx="7">
                  <c:v>7300</c:v>
                </c:pt>
                <c:pt idx="8">
                  <c:v>6266.84</c:v>
                </c:pt>
                <c:pt idx="9">
                  <c:v>11752.9857777778</c:v>
                </c:pt>
                <c:pt idx="10">
                  <c:v>5022.98577777778</c:v>
                </c:pt>
                <c:pt idx="11">
                  <c:v>5022.98577777778</c:v>
                </c:pt>
              </c:numCache>
            </c:numRef>
          </c:val>
        </c:ser>
        <c:ser>
          <c:idx val="1"/>
          <c:order val="1"/>
          <c:tx>
            <c:v>Saídas</c:v>
          </c:tx>
          <c:spPr>
            <a:solidFill>
              <a:srgbClr val="F43F5E"/>
            </a:solidFill>
          </c:spPr>
          <c:cat>
            <c:strRef>
              <c:f>'Fluxo de Caixa'!$C$16:$N$16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'Fluxo de Caixa'!$C$27:$N$27</c:f>
              <c:numCache>
                <c:formatCode>General</c:formatCode>
                <c:ptCount val="12"/>
                <c:pt idx="0">
                  <c:v>6079.19</c:v>
                </c:pt>
                <c:pt idx="1">
                  <c:v>5946.47</c:v>
                </c:pt>
                <c:pt idx="2">
                  <c:v>6428.48</c:v>
                </c:pt>
                <c:pt idx="3">
                  <c:v>6241.22</c:v>
                </c:pt>
                <c:pt idx="4">
                  <c:v>5797.83</c:v>
                </c:pt>
                <c:pt idx="5">
                  <c:v>7321.61</c:v>
                </c:pt>
                <c:pt idx="6">
                  <c:v>6429.89</c:v>
                </c:pt>
                <c:pt idx="7">
                  <c:v>6025.56</c:v>
                </c:pt>
                <c:pt idx="8">
                  <c:v>6056.16</c:v>
                </c:pt>
                <c:pt idx="9">
                  <c:v>6268.05111111111</c:v>
                </c:pt>
                <c:pt idx="10">
                  <c:v>6268.05111111111</c:v>
                </c:pt>
                <c:pt idx="11">
                  <c:v>6268.05111111111</c:v>
                </c:pt>
              </c:numCache>
            </c:numRef>
          </c:val>
        </c:ser>
        <c:gapWidth val="70"/>
        <c:overlap val="-5"/>
        <c:axId val="50150001"/>
        <c:axId val="50150002"/>
      </c:barChart>
      <c:lineChart>
        <c:grouping val="standard"/>
        <c:ser>
          <c:idx val="2"/>
          <c:order val="2"/>
          <c:tx>
            <c:v>Saldo final</c:v>
          </c:tx>
          <c:spPr>
            <a:ln w="28575">
              <a:solidFill>
                <a:srgbClr val="2563EB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2563EB"/>
                </a:solidFill>
              </a:ln>
            </c:spPr>
          </c:marker>
          <c:cat>
            <c:strRef>
              <c:f>'Fluxo de Caixa'!$C$16:$N$16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'Fluxo de Caixa'!$C$29:$N$29</c:f>
              <c:numCache>
                <c:formatCode>General</c:formatCode>
                <c:ptCount val="12"/>
                <c:pt idx="0">
                  <c:v>1220.81</c:v>
                </c:pt>
                <c:pt idx="1">
                  <c:v>2113.33</c:v>
                </c:pt>
                <c:pt idx="2">
                  <c:v>2264.85</c:v>
                </c:pt>
                <c:pt idx="3">
                  <c:v>2373.63</c:v>
                </c:pt>
                <c:pt idx="4">
                  <c:v>1475.8</c:v>
                </c:pt>
                <c:pt idx="5">
                  <c:v>2876.95</c:v>
                </c:pt>
                <c:pt idx="6">
                  <c:v>2697.06</c:v>
                </c:pt>
                <c:pt idx="7">
                  <c:v>3971.5</c:v>
                </c:pt>
                <c:pt idx="8">
                  <c:v>4182.18</c:v>
                </c:pt>
                <c:pt idx="9">
                  <c:v>9667.11466666667</c:v>
                </c:pt>
                <c:pt idx="10">
                  <c:v>8422.04933333334</c:v>
                </c:pt>
                <c:pt idx="11">
                  <c:v>7176.984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Saldo de caixa no fim de cada mês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Saldo realizado</c:v>
          </c:tx>
          <c:spPr>
            <a:solidFill>
              <a:srgbClr val="2563EB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'Dados'!$C$111:$N$111</c:f>
              <c:numCache>
                <c:formatCode>General</c:formatCode>
                <c:ptCount val="12"/>
                <c:pt idx="0">
                  <c:v>1220.81</c:v>
                </c:pt>
                <c:pt idx="1">
                  <c:v>2113.33</c:v>
                </c:pt>
                <c:pt idx="2">
                  <c:v>2264.85</c:v>
                </c:pt>
                <c:pt idx="3">
                  <c:v>2373.63</c:v>
                </c:pt>
                <c:pt idx="4">
                  <c:v>1475.8</c:v>
                </c:pt>
                <c:pt idx="5">
                  <c:v>2876.95</c:v>
                </c:pt>
                <c:pt idx="6">
                  <c:v>2697.06</c:v>
                </c:pt>
                <c:pt idx="7">
                  <c:v>3971.5</c:v>
                </c:pt>
                <c:pt idx="8">
                  <c:v>4182.18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Saldo projetado</c:v>
          </c:tx>
          <c:spPr>
            <a:solidFill>
              <a:srgbClr val="FBBF24"/>
            </a:solidFill>
          </c:spPr>
          <c:cat>
            <c:strRef>
              <c:f>'Dados'!$C$107:$N$107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'Dados'!$C$112:$N$112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9667.11466666667</c:v>
                </c:pt>
                <c:pt idx="10">
                  <c:v>8422.04933333334</c:v>
                </c:pt>
                <c:pt idx="11">
                  <c:v>7176.984</c:v>
                </c:pt>
              </c:numCache>
            </c:numRef>
          </c:val>
        </c:ser>
        <c:gapWidth val="60"/>
        <c:overlap val="100"/>
        <c:axId val="50160001"/>
        <c:axId val="50160002"/>
      </c:barChart>
      <c:catAx>
        <c:axId val="5016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16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12</xdr:row>
      <xdr:rowOff>38100</xdr:rowOff>
    </xdr:from>
    <xdr:to>
      <xdr:col>6</xdr:col>
      <xdr:colOff>742950</xdr:colOff>
      <xdr:row>26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12</xdr:row>
      <xdr:rowOff>38100</xdr:rowOff>
    </xdr:from>
    <xdr:to>
      <xdr:col>12</xdr:col>
      <xdr:colOff>742950</xdr:colOff>
      <xdr:row>26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28</xdr:row>
      <xdr:rowOff>38100</xdr:rowOff>
    </xdr:from>
    <xdr:to>
      <xdr:col>6</xdr:col>
      <xdr:colOff>742950</xdr:colOff>
      <xdr:row>42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28</xdr:row>
      <xdr:rowOff>38100</xdr:rowOff>
    </xdr:from>
    <xdr:to>
      <xdr:col>12</xdr:col>
      <xdr:colOff>742950</xdr:colOff>
      <xdr:row>42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12</xdr:row>
      <xdr:rowOff>38100</xdr:rowOff>
    </xdr:from>
    <xdr:to>
      <xdr:col>6</xdr:col>
      <xdr:colOff>742950</xdr:colOff>
      <xdr:row>26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12</xdr:row>
      <xdr:rowOff>38100</xdr:rowOff>
    </xdr:from>
    <xdr:to>
      <xdr:col>12</xdr:col>
      <xdr:colOff>742950</xdr:colOff>
      <xdr:row>26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28</xdr:row>
      <xdr:rowOff>38100</xdr:rowOff>
    </xdr:from>
    <xdr:to>
      <xdr:col>6</xdr:col>
      <xdr:colOff>742950</xdr:colOff>
      <xdr:row>42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28</xdr:row>
      <xdr:rowOff>38100</xdr:rowOff>
    </xdr:from>
    <xdr:to>
      <xdr:col>12</xdr:col>
      <xdr:colOff>742950</xdr:colOff>
      <xdr:row>42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12</xdr:row>
      <xdr:rowOff>38100</xdr:rowOff>
    </xdr:from>
    <xdr:to>
      <xdr:col>6</xdr:col>
      <xdr:colOff>742950</xdr:colOff>
      <xdr:row>26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12</xdr:row>
      <xdr:rowOff>38100</xdr:rowOff>
    </xdr:from>
    <xdr:to>
      <xdr:col>12</xdr:col>
      <xdr:colOff>742950</xdr:colOff>
      <xdr:row>26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28</xdr:row>
      <xdr:rowOff>38100</xdr:rowOff>
    </xdr:from>
    <xdr:to>
      <xdr:col>6</xdr:col>
      <xdr:colOff>742950</xdr:colOff>
      <xdr:row>42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28</xdr:row>
      <xdr:rowOff>38100</xdr:rowOff>
    </xdr:from>
    <xdr:to>
      <xdr:col>12</xdr:col>
      <xdr:colOff>742950</xdr:colOff>
      <xdr:row>42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24</xdr:row>
      <xdr:rowOff>38100</xdr:rowOff>
    </xdr:from>
    <xdr:to>
      <xdr:col>7</xdr:col>
      <xdr:colOff>190500</xdr:colOff>
      <xdr:row>39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36</xdr:row>
      <xdr:rowOff>57150</xdr:rowOff>
    </xdr:from>
    <xdr:to>
      <xdr:col>8</xdr:col>
      <xdr:colOff>209550</xdr:colOff>
      <xdr:row>49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38100</xdr:rowOff>
    </xdr:from>
    <xdr:to>
      <xdr:col>6</xdr:col>
      <xdr:colOff>447675</xdr:colOff>
      <xdr:row>46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32</xdr:row>
      <xdr:rowOff>38100</xdr:rowOff>
    </xdr:from>
    <xdr:to>
      <xdr:col>14</xdr:col>
      <xdr:colOff>276225</xdr:colOff>
      <xdr:row>46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F172A"/>
    <pageSetUpPr fitToPage="1"/>
  </sheetPr>
  <dimension ref="A1:AL43"/>
  <sheetViews>
    <sheetView showGridLines="0" tabSelected="1" workbookViewId="0"/>
  </sheetViews>
  <sheetFormatPr defaultRowHeight="18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2" t="s">
        <v>0</v>
      </c>
      <c r="C1" s="2"/>
      <c r="D1" s="3" t="s">
        <v>1</v>
      </c>
      <c r="E1" s="3"/>
      <c r="F1" s="3"/>
      <c r="G1" s="3" t="s">
        <v>2</v>
      </c>
      <c r="H1" s="3"/>
      <c r="I1" s="3" t="s">
        <v>3</v>
      </c>
      <c r="J1" s="3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 t="s">
        <v>8</v>
      </c>
      <c r="J2" s="5"/>
      <c r="K2" s="5" t="s">
        <v>9</v>
      </c>
      <c r="L2" s="5"/>
      <c r="M2" s="5"/>
    </row>
    <row r="3" spans="2:13" ht="22" customHeight="1">
      <c r="B3" s="6" t="s">
        <v>10</v>
      </c>
      <c r="C3" s="6"/>
      <c r="D3" s="7" t="s">
        <v>6</v>
      </c>
      <c r="E3" s="7"/>
      <c r="F3" s="7" t="s">
        <v>11</v>
      </c>
      <c r="G3" s="7"/>
      <c r="H3" s="7" t="s">
        <v>12</v>
      </c>
      <c r="I3" s="7"/>
      <c r="J3" s="7" t="s">
        <v>13</v>
      </c>
      <c r="K3" s="7"/>
      <c r="L3" s="7" t="s">
        <v>14</v>
      </c>
      <c r="M3" s="7"/>
    </row>
    <row r="4" spans="2:13" ht="6" customHeight="1"/>
    <row r="5" spans="2:13" ht="38" customHeight="1">
      <c r="B5" s="8" t="s">
        <v>488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2:13" ht="20" customHeight="1">
      <c r="B6" s="9" t="s">
        <v>489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2:13" ht="64" customHeight="1">
      <c r="B7" s="10" t="s">
        <v>490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9" spans="2:13" ht="24" customHeight="1">
      <c r="B9" s="11" t="s">
        <v>491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2:13" ht="28" customHeight="1">
      <c r="B10" s="12">
        <v>1</v>
      </c>
      <c r="C10" s="13" t="s">
        <v>492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2:13" ht="28" customHeight="1">
      <c r="B11" s="12">
        <v>2</v>
      </c>
      <c r="C11" s="13" t="s">
        <v>493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2:13" ht="28" customHeight="1">
      <c r="B12" s="12">
        <v>3</v>
      </c>
      <c r="C12" s="13" t="s">
        <v>494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2:13" ht="28" customHeight="1">
      <c r="B13" s="12">
        <v>4</v>
      </c>
      <c r="C13" s="13" t="s">
        <v>495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2:13" ht="28" customHeight="1">
      <c r="B14" s="12">
        <v>5</v>
      </c>
      <c r="C14" s="13" t="s">
        <v>496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6" spans="2:13" ht="24" customHeight="1">
      <c r="B16" s="11" t="s">
        <v>497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2:13" ht="26" customHeight="1">
      <c r="B17" s="14" t="s">
        <v>1</v>
      </c>
      <c r="C17" s="14"/>
      <c r="D17" s="14"/>
      <c r="E17" s="15" t="s">
        <v>498</v>
      </c>
      <c r="F17" s="15"/>
      <c r="G17" s="15"/>
      <c r="H17" s="15"/>
      <c r="I17" s="15"/>
      <c r="J17" s="15"/>
      <c r="K17" s="15"/>
      <c r="L17" s="15"/>
      <c r="M17" s="15"/>
    </row>
    <row r="18" spans="2:13" ht="26" customHeight="1">
      <c r="B18" s="16" t="s">
        <v>2</v>
      </c>
      <c r="C18" s="16"/>
      <c r="D18" s="16"/>
      <c r="E18" s="15" t="s">
        <v>499</v>
      </c>
      <c r="F18" s="15"/>
      <c r="G18" s="15"/>
      <c r="H18" s="15"/>
      <c r="I18" s="15"/>
      <c r="J18" s="15"/>
      <c r="K18" s="15"/>
      <c r="L18" s="15"/>
      <c r="M18" s="15"/>
    </row>
    <row r="19" spans="2:13" ht="26" customHeight="1">
      <c r="B19" s="17" t="s">
        <v>3</v>
      </c>
      <c r="C19" s="17"/>
      <c r="D19" s="17"/>
      <c r="E19" s="15" t="s">
        <v>500</v>
      </c>
      <c r="F19" s="15"/>
      <c r="G19" s="15"/>
      <c r="H19" s="15"/>
      <c r="I19" s="15"/>
      <c r="J19" s="15"/>
      <c r="K19" s="15"/>
      <c r="L19" s="15"/>
      <c r="M19" s="15"/>
    </row>
    <row r="20" spans="2:13" ht="26" customHeight="1">
      <c r="B20" s="16" t="s">
        <v>501</v>
      </c>
      <c r="C20" s="16"/>
      <c r="D20" s="16"/>
      <c r="E20" s="15" t="s">
        <v>502</v>
      </c>
      <c r="F20" s="15"/>
      <c r="G20" s="15"/>
      <c r="H20" s="15"/>
      <c r="I20" s="15"/>
      <c r="J20" s="15"/>
      <c r="K20" s="15"/>
      <c r="L20" s="15"/>
      <c r="M20" s="15"/>
    </row>
    <row r="21" spans="2:13" ht="26" customHeight="1">
      <c r="B21" s="16" t="s">
        <v>503</v>
      </c>
      <c r="C21" s="16"/>
      <c r="D21" s="16"/>
      <c r="E21" s="15" t="s">
        <v>504</v>
      </c>
      <c r="F21" s="15"/>
      <c r="G21" s="15"/>
      <c r="H21" s="15"/>
      <c r="I21" s="15"/>
      <c r="J21" s="15"/>
      <c r="K21" s="15"/>
      <c r="L21" s="15"/>
      <c r="M21" s="15"/>
    </row>
    <row r="22" spans="2:13" ht="26" customHeight="1">
      <c r="B22" s="16" t="s">
        <v>505</v>
      </c>
      <c r="C22" s="16"/>
      <c r="D22" s="16"/>
      <c r="E22" s="15" t="s">
        <v>506</v>
      </c>
      <c r="F22" s="15"/>
      <c r="G22" s="15"/>
      <c r="H22" s="15"/>
      <c r="I22" s="15"/>
      <c r="J22" s="15"/>
      <c r="K22" s="15"/>
      <c r="L22" s="15"/>
      <c r="M22" s="15"/>
    </row>
    <row r="23" spans="2:13" ht="26" customHeight="1">
      <c r="B23" s="16" t="s">
        <v>9</v>
      </c>
      <c r="C23" s="16"/>
      <c r="D23" s="16"/>
      <c r="E23" s="15" t="s">
        <v>507</v>
      </c>
      <c r="F23" s="15"/>
      <c r="G23" s="15"/>
      <c r="H23" s="15"/>
      <c r="I23" s="15"/>
      <c r="J23" s="15"/>
      <c r="K23" s="15"/>
      <c r="L23" s="15"/>
      <c r="M23" s="15"/>
    </row>
    <row r="24" spans="2:13" ht="26" customHeight="1">
      <c r="B24" s="17" t="s">
        <v>508</v>
      </c>
      <c r="C24" s="17"/>
      <c r="D24" s="17"/>
      <c r="E24" s="15" t="s">
        <v>509</v>
      </c>
      <c r="F24" s="15"/>
      <c r="G24" s="15"/>
      <c r="H24" s="15"/>
      <c r="I24" s="15"/>
      <c r="J24" s="15"/>
      <c r="K24" s="15"/>
      <c r="L24" s="15"/>
      <c r="M24" s="15"/>
    </row>
    <row r="25" spans="2:13" ht="26" customHeight="1">
      <c r="B25" s="17" t="s">
        <v>11</v>
      </c>
      <c r="C25" s="17"/>
      <c r="D25" s="17"/>
      <c r="E25" s="15" t="s">
        <v>510</v>
      </c>
      <c r="F25" s="15"/>
      <c r="G25" s="15"/>
      <c r="H25" s="15"/>
      <c r="I25" s="15"/>
      <c r="J25" s="15"/>
      <c r="K25" s="15"/>
      <c r="L25" s="15"/>
      <c r="M25" s="15"/>
    </row>
    <row r="26" spans="2:13" ht="26" customHeight="1">
      <c r="B26" s="17" t="s">
        <v>12</v>
      </c>
      <c r="C26" s="17"/>
      <c r="D26" s="17"/>
      <c r="E26" s="15" t="s">
        <v>511</v>
      </c>
      <c r="F26" s="15"/>
      <c r="G26" s="15"/>
      <c r="H26" s="15"/>
      <c r="I26" s="15"/>
      <c r="J26" s="15"/>
      <c r="K26" s="15"/>
      <c r="L26" s="15"/>
      <c r="M26" s="15"/>
    </row>
    <row r="27" spans="2:13" ht="26" customHeight="1">
      <c r="B27" s="17" t="s">
        <v>13</v>
      </c>
      <c r="C27" s="17"/>
      <c r="D27" s="17"/>
      <c r="E27" s="15" t="s">
        <v>512</v>
      </c>
      <c r="F27" s="15"/>
      <c r="G27" s="15"/>
      <c r="H27" s="15"/>
      <c r="I27" s="15"/>
      <c r="J27" s="15"/>
      <c r="K27" s="15"/>
      <c r="L27" s="15"/>
      <c r="M27" s="15"/>
    </row>
    <row r="28" spans="2:13" ht="26" customHeight="1">
      <c r="B28" s="17" t="s">
        <v>14</v>
      </c>
      <c r="C28" s="17"/>
      <c r="D28" s="17"/>
      <c r="E28" s="15" t="s">
        <v>513</v>
      </c>
      <c r="F28" s="15"/>
      <c r="G28" s="15"/>
      <c r="H28" s="15"/>
      <c r="I28" s="15"/>
      <c r="J28" s="15"/>
      <c r="K28" s="15"/>
      <c r="L28" s="15"/>
      <c r="M28" s="15"/>
    </row>
    <row r="29" spans="2:13" ht="26" customHeight="1">
      <c r="B29" s="14" t="s">
        <v>4</v>
      </c>
      <c r="C29" s="14"/>
      <c r="D29" s="14"/>
      <c r="E29" s="15" t="s">
        <v>514</v>
      </c>
      <c r="F29" s="15"/>
      <c r="G29" s="15"/>
      <c r="H29" s="15"/>
      <c r="I29" s="15"/>
      <c r="J29" s="15"/>
      <c r="K29" s="15"/>
      <c r="L29" s="15"/>
      <c r="M29" s="15"/>
    </row>
    <row r="31" spans="2:13" ht="24" customHeight="1">
      <c r="B31" s="11" t="s">
        <v>515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2:13" ht="26" customHeight="1">
      <c r="B32" s="18" t="s">
        <v>516</v>
      </c>
      <c r="C32" s="18"/>
      <c r="D32" s="19" t="s">
        <v>517</v>
      </c>
      <c r="E32" s="19"/>
      <c r="F32" s="20" t="s">
        <v>518</v>
      </c>
      <c r="G32" s="20"/>
      <c r="H32" s="21" t="s">
        <v>519</v>
      </c>
      <c r="I32" s="21"/>
      <c r="J32" s="22" t="s">
        <v>520</v>
      </c>
      <c r="K32" s="22"/>
      <c r="L32" s="23" t="s">
        <v>521</v>
      </c>
      <c r="M32" s="23"/>
    </row>
    <row r="34" spans="2:13" ht="24" customHeight="1">
      <c r="B34" s="11" t="s">
        <v>522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2:13" ht="36" customHeight="1">
      <c r="B35" s="15" t="s">
        <v>523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2:13" ht="28" customHeight="1">
      <c r="B36" s="15" t="s">
        <v>524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2:13" ht="36" customHeight="1">
      <c r="B37" s="15" t="s">
        <v>525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2:13" ht="28" customHeight="1">
      <c r="B38" s="15" t="s">
        <v>526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2:13" ht="28" customHeight="1">
      <c r="B39" s="15" t="s">
        <v>527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2:13" ht="28" customHeight="1">
      <c r="B40" s="15" t="s">
        <v>528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2:13" ht="36" customHeight="1">
      <c r="B41" s="15" t="s">
        <v>529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3" spans="2:13" ht="18" customHeight="1">
      <c r="B43" s="24" t="s">
        <v>530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</sheetData>
  <mergeCells count="68">
    <mergeCell ref="B1:C1"/>
    <mergeCell ref="D1:F1"/>
    <mergeCell ref="G1:H1"/>
    <mergeCell ref="I1:J1"/>
    <mergeCell ref="K1:M1"/>
    <mergeCell ref="B2:C2"/>
    <mergeCell ref="D2:F2"/>
    <mergeCell ref="G2:H2"/>
    <mergeCell ref="I2:J2"/>
    <mergeCell ref="K2:M2"/>
    <mergeCell ref="B3:C3"/>
    <mergeCell ref="D3:E3"/>
    <mergeCell ref="F3:G3"/>
    <mergeCell ref="H3:I3"/>
    <mergeCell ref="J3:K3"/>
    <mergeCell ref="L3:M3"/>
    <mergeCell ref="B5:M5"/>
    <mergeCell ref="B6:M6"/>
    <mergeCell ref="B7:M7"/>
    <mergeCell ref="B9:M9"/>
    <mergeCell ref="C10:M10"/>
    <mergeCell ref="C11:M11"/>
    <mergeCell ref="C12:M12"/>
    <mergeCell ref="C13:M13"/>
    <mergeCell ref="C14:M14"/>
    <mergeCell ref="B16:M16"/>
    <mergeCell ref="B17:D17"/>
    <mergeCell ref="E17:M17"/>
    <mergeCell ref="B18:D18"/>
    <mergeCell ref="E18:M18"/>
    <mergeCell ref="B19:D19"/>
    <mergeCell ref="E19:M19"/>
    <mergeCell ref="B20:D20"/>
    <mergeCell ref="E20:M20"/>
    <mergeCell ref="B21:D21"/>
    <mergeCell ref="E21:M21"/>
    <mergeCell ref="B22:D22"/>
    <mergeCell ref="E22:M22"/>
    <mergeCell ref="B23:D23"/>
    <mergeCell ref="E23:M23"/>
    <mergeCell ref="B24:D24"/>
    <mergeCell ref="E24:M24"/>
    <mergeCell ref="B25:D25"/>
    <mergeCell ref="E25:M25"/>
    <mergeCell ref="B26:D26"/>
    <mergeCell ref="E26:M26"/>
    <mergeCell ref="B27:D27"/>
    <mergeCell ref="E27:M27"/>
    <mergeCell ref="B28:D28"/>
    <mergeCell ref="E28:M28"/>
    <mergeCell ref="B29:D29"/>
    <mergeCell ref="E29:M29"/>
    <mergeCell ref="B31:M31"/>
    <mergeCell ref="B32:C32"/>
    <mergeCell ref="D32:E32"/>
    <mergeCell ref="F32:G32"/>
    <mergeCell ref="H32:I32"/>
    <mergeCell ref="J32:K32"/>
    <mergeCell ref="L32:M32"/>
    <mergeCell ref="B34:M34"/>
    <mergeCell ref="B35:M35"/>
    <mergeCell ref="B36:M36"/>
    <mergeCell ref="B37:M37"/>
    <mergeCell ref="B38:M38"/>
    <mergeCell ref="B39:M39"/>
    <mergeCell ref="B40:M40"/>
    <mergeCell ref="B41:M41"/>
    <mergeCell ref="B43:M43"/>
  </mergeCells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I1" location="'Painel Negócio'!A1" display="💼 Painel Negócio"/>
    <hyperlink ref="K1" location="'Config'!A1" display="⚙ Config"/>
    <hyperlink ref="D2" location="'Lanç. Pessoal'!A1" display="📝 Lançamentos"/>
    <hyperlink ref="G2" location="'Orçamento Pessoal'!A1" display="💳 Orçamento"/>
    <hyperlink ref="I2" location="'Resumo Pessoal'!A1" display="📅 Resumo anual"/>
    <hyperlink ref="K2" location="'Metas'!A1" display="🎯 Metas"/>
    <hyperlink ref="D3" location="'Lanç. Negócio'!A1" display="📝 Lançamentos"/>
    <hyperlink ref="F3" location="'Clientes'!A1" display="🤝 Clientes"/>
    <hyperlink ref="H3" location="'Recebimentos'!A1" display="💰 Recebimentos"/>
    <hyperlink ref="J3" location="'Impostos'!A1" display="🧾 Impostos"/>
    <hyperlink ref="L3" location="'Fluxo de Caixa'!A1" display="📈 Fluxo de Caixa"/>
    <hyperlink ref="B17" location="'Painel Geral'!A1" display="📊 Painel Geral"/>
    <hyperlink ref="B18" location="'Painel Pessoal'!A1" display="👤 Painel Pessoal"/>
    <hyperlink ref="B19" location="'Painel Negócio'!A1" display="💼 Painel Negócio"/>
    <hyperlink ref="B20" location="'Lanç. Pessoal'!A1" display="📝 Lanç. Pessoal"/>
    <hyperlink ref="B21" location="'Orçamento Pessoal'!A1" display="💳 Orçamento Pessoal"/>
    <hyperlink ref="B22" location="'Resumo Pessoal'!A1" display="📅 Resumo Pessoal"/>
    <hyperlink ref="B23" location="'Metas'!A1" display="🎯 Metas"/>
    <hyperlink ref="B24" location="'Lanç. Negócio'!A1" display="📝 Lanç. Negócio"/>
    <hyperlink ref="B25" location="'Clientes'!A1" display="🤝 Clientes"/>
    <hyperlink ref="B26" location="'Recebimentos'!A1" display="💰 Recebimentos"/>
    <hyperlink ref="B27" location="'Impostos'!A1" display="🧾 Impostos"/>
    <hyperlink ref="B28" location="'Fluxo de Caixa'!A1" display="📈 Fluxo de Caixa"/>
    <hyperlink ref="B29" location="'Config'!A1" display="⚙ Config"/>
  </hyperlinks>
  <pageMargins left="0.4" right="0.4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8A"/>
    <pageSetUpPr fitToPage="1"/>
  </sheetPr>
  <dimension ref="A1:AL49"/>
  <sheetViews>
    <sheetView showGridLines="0" workbookViewId="0"/>
  </sheetViews>
  <sheetFormatPr defaultRowHeight="16.5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3" t="s">
        <v>0</v>
      </c>
      <c r="C1" s="3"/>
      <c r="D1" s="2" t="s">
        <v>1</v>
      </c>
      <c r="E1" s="2"/>
      <c r="F1" s="2"/>
      <c r="G1" s="3" t="s">
        <v>2</v>
      </c>
      <c r="H1" s="3"/>
      <c r="I1" s="3" t="s">
        <v>3</v>
      </c>
      <c r="J1" s="3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 t="s">
        <v>8</v>
      </c>
      <c r="J2" s="5"/>
      <c r="K2" s="5" t="s">
        <v>9</v>
      </c>
      <c r="L2" s="5"/>
      <c r="M2" s="5"/>
    </row>
    <row r="3" spans="2:13" ht="22" customHeight="1">
      <c r="B3" s="6" t="s">
        <v>10</v>
      </c>
      <c r="C3" s="6"/>
      <c r="D3" s="7" t="s">
        <v>6</v>
      </c>
      <c r="E3" s="7"/>
      <c r="F3" s="7" t="s">
        <v>11</v>
      </c>
      <c r="G3" s="7"/>
      <c r="H3" s="7" t="s">
        <v>12</v>
      </c>
      <c r="I3" s="7"/>
      <c r="J3" s="7" t="s">
        <v>13</v>
      </c>
      <c r="K3" s="7"/>
      <c r="L3" s="7" t="s">
        <v>14</v>
      </c>
      <c r="M3" s="7"/>
    </row>
    <row r="4" spans="2:13" ht="6" customHeight="1"/>
    <row r="5" spans="2:13" ht="38" customHeight="1">
      <c r="B5" s="8" t="str">
        <f>"📊 Painel Geral — "&amp;'Config'!$C$10</f>
        <v>📊 Painel Geral — Meu Controle Financeiro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2:13" ht="20" customHeight="1">
      <c r="B6" s="9" t="s">
        <v>475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2:13" ht="28" customHeight="1">
      <c r="B7" s="25" t="s">
        <v>236</v>
      </c>
      <c r="C7" s="25"/>
      <c r="D7" s="26" t="s">
        <v>105</v>
      </c>
      <c r="E7" s="26"/>
      <c r="G7" s="27" t="s">
        <v>18</v>
      </c>
      <c r="H7" s="27"/>
      <c r="I7" s="28">
        <f>'Config'!$C$8</f>
        <v>2026</v>
      </c>
      <c r="J7" s="29" t="s">
        <v>476</v>
      </c>
      <c r="K7" s="29"/>
      <c r="L7" s="29"/>
      <c r="M7" s="29"/>
    </row>
    <row r="8" spans="2:13" ht="8" customHeight="1"/>
    <row r="9" spans="2:13" ht="18" customHeight="1">
      <c r="B9" s="30" t="s">
        <v>477</v>
      </c>
      <c r="C9" s="30"/>
      <c r="D9" s="31" t="s">
        <v>479</v>
      </c>
      <c r="E9" s="31"/>
      <c r="F9" s="32" t="s">
        <v>480</v>
      </c>
      <c r="G9" s="32"/>
      <c r="H9" s="33" t="s">
        <v>482</v>
      </c>
      <c r="I9" s="33"/>
      <c r="J9" s="34" t="s">
        <v>484</v>
      </c>
      <c r="K9" s="34"/>
      <c r="L9" s="35" t="s">
        <v>486</v>
      </c>
      <c r="M9" s="35"/>
    </row>
    <row r="10" spans="2:13" ht="36" customHeight="1">
      <c r="B10" s="36">
        <f>INDEX('Resumo Pessoal'!$C$38:$N$38,'Dados'!$C$41)</f>
        <v>3592.59</v>
      </c>
      <c r="C10" s="36"/>
      <c r="D10" s="36">
        <f>INDEX('Fluxo de Caixa'!$C$29:$N$29,'Dados'!$C$41)</f>
        <v>4182.18</v>
      </c>
      <c r="E10" s="36"/>
      <c r="F10" s="36">
        <f>INDEX('Resumo Pessoal'!$C$38:$N$38,'Dados'!$C$41)+INDEX('Fluxo de Caixa'!$C$29:$N$29,'Dados'!$C$41)</f>
        <v>7774.77</v>
      </c>
      <c r="G10" s="36"/>
      <c r="H10" s="36">
        <f>INDEX('Dados'!$C$115:$N$115,'Dados'!$C$41)</f>
        <v>560.05</v>
      </c>
      <c r="I10" s="36"/>
      <c r="J10" s="36">
        <f>INDEX('Dados'!$C$110:$N$110,'Dados'!$C$41)</f>
        <v>4710.68</v>
      </c>
      <c r="K10" s="36"/>
      <c r="L10" s="37">
        <f>IF(INDEX('Dados'!$C$117:$N$117,'Dados'!$C$41)=0,0,INDEX('Dados'!$C$116:$N$116,'Dados'!$C$41)/INDEX('Dados'!$C$117:$N$117,'Dados'!$C$41))</f>
        <v>1.12701736107633</v>
      </c>
      <c r="M10" s="37"/>
    </row>
    <row r="11" spans="2:13" ht="20" customHeight="1">
      <c r="B11" s="38" t="s">
        <v>478</v>
      </c>
      <c r="C11" s="38"/>
      <c r="D11" s="38" t="str">
        <f>IF('Dados'!$C$41&lt;='Dados'!$C$10,"realizado","projetado")</f>
        <v>realizado</v>
      </c>
      <c r="E11" s="38"/>
      <c r="F11" s="38" t="s">
        <v>481</v>
      </c>
      <c r="G11" s="38"/>
      <c r="H11" s="38" t="s">
        <v>483</v>
      </c>
      <c r="I11" s="38"/>
      <c r="J11" s="38" t="s">
        <v>485</v>
      </c>
      <c r="K11" s="38"/>
      <c r="L11" s="38" t="s">
        <v>487</v>
      </c>
      <c r="M11" s="38"/>
    </row>
    <row r="45" spans="2:13" ht="22" customHeight="1">
      <c r="B45" s="39" t="s">
        <v>474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2:13" ht="24" customHeight="1">
      <c r="B46" s="40" t="str">
        <f>'Impostos'!$H$13</f>
        <v>✓ Dentro do limite anual do MEI.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24" customHeight="1">
      <c r="B47" s="40" t="str">
        <f>IF(SUM('Recebimentos'!$L$11:$L$1010)=0,"✓ Nenhuma cobrança em atraso.","⚠ Você tem R$ "&amp;FIXED(SUM('Recebimentos'!$L$11:$L$1010),2)&amp;" em cobranças atrasadas — veja a aba Recebimentos.")</f>
        <v>⚠ Você tem R$ 4,430.00 em cobranças atrasadas — veja a aba Recebimentos.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</row>
    <row r="48" spans="2:13" ht="24" customHeight="1">
      <c r="B48" s="40" t="str">
        <f>IF('Dados'!$C$42=99,"✓ O caixa do negócio permanece positivo no ano (incluindo a projeção).","⚠ O caixa do negócio projetado fica negativo a partir de "&amp;INDEX('Config'!$K$8:$K$19,'Dados'!$C$42)&amp;".")</f>
        <v>✓ O caixa do negócio permanece positivo no ano (incluindo a projeção).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</row>
    <row r="49" spans="2:13" ht="24" customHeight="1">
      <c r="B49" s="40" t="str">
        <f>IF(INDEX('Dados'!$C$117:$N$117,'Dados'!$C$41)=0,"ℹ Registre os gastos pessoais do mês para medir a cobertura do custo de vida.",IF(IF(INDEX('Dados'!$C$117:$N$117,'Dados'!$C$41)=0,0,INDEX('Dados'!$C$116:$N$116,'Dados'!$C$41)/INDEX('Dados'!$C$117:$N$117,'Dados'!$C$41))&gt;=1,"✓ O pró-labore do mês cobre "&amp;TEXT(IF(INDEX('Dados'!$C$117:$N$117,'Dados'!$C$41)=0,0,INDEX('Dados'!$C$116:$N$116,'Dados'!$C$41)/INDEX('Dados'!$C$117:$N$117,'Dados'!$C$41)),"0%")&amp;" dos seus gastos pessoais.","⚠ O pró-labore cobre só "&amp;TEXT(IF(INDEX('Dados'!$C$117:$N$117,'Dados'!$C$41)=0,0,INDEX('Dados'!$C$116:$N$116,'Dados'!$C$41)/INDEX('Dados'!$C$117:$N$117,'Dados'!$C$41)),"0%")&amp;" dos gastos pessoais do mês — o restante saiu de reservas."))</f>
        <v>✓ O pró-labore do mês cobre 113% dos seus gastos pessoais.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</row>
  </sheetData>
  <mergeCells count="45">
    <mergeCell ref="B1:C1"/>
    <mergeCell ref="D1:F1"/>
    <mergeCell ref="G1:H1"/>
    <mergeCell ref="I1:J1"/>
    <mergeCell ref="K1:M1"/>
    <mergeCell ref="B2:C2"/>
    <mergeCell ref="D2:F2"/>
    <mergeCell ref="G2:H2"/>
    <mergeCell ref="I2:J2"/>
    <mergeCell ref="K2:M2"/>
    <mergeCell ref="B3:C3"/>
    <mergeCell ref="D3:E3"/>
    <mergeCell ref="F3:G3"/>
    <mergeCell ref="H3:I3"/>
    <mergeCell ref="J3:K3"/>
    <mergeCell ref="L3:M3"/>
    <mergeCell ref="B5:M5"/>
    <mergeCell ref="B6:M6"/>
    <mergeCell ref="B7:C7"/>
    <mergeCell ref="D7:E7"/>
    <mergeCell ref="G7:H7"/>
    <mergeCell ref="J7:M7"/>
    <mergeCell ref="B9:C9"/>
    <mergeCell ref="B10:C10"/>
    <mergeCell ref="B11:C11"/>
    <mergeCell ref="D9:E9"/>
    <mergeCell ref="D10:E10"/>
    <mergeCell ref="D11:E11"/>
    <mergeCell ref="F9:G9"/>
    <mergeCell ref="F10:G10"/>
    <mergeCell ref="F11:G11"/>
    <mergeCell ref="H9:I9"/>
    <mergeCell ref="H10:I10"/>
    <mergeCell ref="H11:I11"/>
    <mergeCell ref="J9:K9"/>
    <mergeCell ref="J10:K10"/>
    <mergeCell ref="J11:K11"/>
    <mergeCell ref="L9:M9"/>
    <mergeCell ref="L10:M10"/>
    <mergeCell ref="L11:M11"/>
    <mergeCell ref="B45:M45"/>
    <mergeCell ref="B46:M46"/>
    <mergeCell ref="B47:M47"/>
    <mergeCell ref="B48:M48"/>
    <mergeCell ref="B49:M49"/>
  </mergeCells>
  <conditionalFormatting sqref="B10">
    <cfRule type="cellIs" dxfId="0" priority="1" operator="lessThan">
      <formula>0</formula>
    </cfRule>
  </conditionalFormatting>
  <conditionalFormatting sqref="B46:M49">
    <cfRule type="beginsWith" dxfId="9" priority="10" operator="beginsWith" text="✖">
      <formula>LEFT(B46,1)="✖"</formula>
    </cfRule>
    <cfRule type="beginsWith" dxfId="14" priority="11" operator="beginsWith" text="⚠">
      <formula>LEFT(B46,1)="⚠"</formula>
    </cfRule>
    <cfRule type="beginsWith" dxfId="10" priority="12" operator="beginsWith" text="✓">
      <formula>LEFT(B46,1)="✓"</formula>
    </cfRule>
    <cfRule type="beginsWith" dxfId="15" priority="13" operator="beginsWith" text="ℹ">
      <formula>LEFT(B46,1)="ℹ"</formula>
    </cfRule>
  </conditionalFormatting>
  <conditionalFormatting sqref="D10">
    <cfRule type="cellIs" dxfId="0" priority="2" operator="lessThan">
      <formula>0</formula>
    </cfRule>
  </conditionalFormatting>
  <conditionalFormatting sqref="F10">
    <cfRule type="cellIs" dxfId="0" priority="3" operator="lessThan">
      <formula>0</formula>
    </cfRule>
  </conditionalFormatting>
  <conditionalFormatting sqref="H10">
    <cfRule type="cellIs" dxfId="0" priority="4" operator="lessThan">
      <formula>0</formula>
    </cfRule>
    <cfRule type="cellIs" dxfId="11" priority="6" operator="greaterThan">
      <formula>0</formula>
    </cfRule>
  </conditionalFormatting>
  <conditionalFormatting sqref="J10">
    <cfRule type="cellIs" dxfId="0" priority="5" operator="lessThan">
      <formula>0</formula>
    </cfRule>
    <cfRule type="cellIs" dxfId="11" priority="7" operator="greaterThan">
      <formula>0</formula>
    </cfRule>
  </conditionalFormatting>
  <conditionalFormatting sqref="L10">
    <cfRule type="cellIs" dxfId="11" priority="8" operator="greaterThanOrEqual">
      <formula>1</formula>
    </cfRule>
    <cfRule type="cellIs" dxfId="1" priority="9" operator="lessThan">
      <formula>1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D7">
      <formula1>'Config'!$K$8:$K$19</formula1>
    </dataValidation>
  </dataValidations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I1" location="'Painel Negócio'!A1" display="💼 Painel Negócio"/>
    <hyperlink ref="K1" location="'Config'!A1" display="⚙ Config"/>
    <hyperlink ref="D2" location="'Lanç. Pessoal'!A1" display="📝 Lançamentos"/>
    <hyperlink ref="G2" location="'Orçamento Pessoal'!A1" display="💳 Orçamento"/>
    <hyperlink ref="I2" location="'Resumo Pessoal'!A1" display="📅 Resumo anual"/>
    <hyperlink ref="K2" location="'Metas'!A1" display="🎯 Metas"/>
    <hyperlink ref="D3" location="'Lanç. Negócio'!A1" display="📝 Lançamentos"/>
    <hyperlink ref="F3" location="'Clientes'!A1" display="🤝 Clientes"/>
    <hyperlink ref="H3" location="'Recebimentos'!A1" display="💰 Recebimentos"/>
    <hyperlink ref="J3" location="'Impostos'!A1" display="🧾 Impostos"/>
    <hyperlink ref="L3" location="'Fluxo de Caixa'!A1" display="📈 Fluxo de Caixa"/>
  </hyperlinks>
  <pageMargins left="0.4" right="0.4" top="0.5" bottom="0.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F766E"/>
    <pageSetUpPr fitToPage="1"/>
  </sheetPr>
  <dimension ref="A1:AL57"/>
  <sheetViews>
    <sheetView showGridLines="0" workbookViewId="0"/>
  </sheetViews>
  <sheetFormatPr defaultRowHeight="16.5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3" t="s">
        <v>0</v>
      </c>
      <c r="C1" s="3"/>
      <c r="D1" s="3" t="s">
        <v>1</v>
      </c>
      <c r="E1" s="3"/>
      <c r="F1" s="3"/>
      <c r="G1" s="2" t="s">
        <v>2</v>
      </c>
      <c r="H1" s="2"/>
      <c r="I1" s="3" t="s">
        <v>3</v>
      </c>
      <c r="J1" s="3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 t="s">
        <v>8</v>
      </c>
      <c r="J2" s="5"/>
      <c r="K2" s="5" t="s">
        <v>9</v>
      </c>
      <c r="L2" s="5"/>
      <c r="M2" s="5"/>
    </row>
    <row r="3" spans="2:13" ht="22" customHeight="1">
      <c r="B3" s="6" t="s">
        <v>10</v>
      </c>
      <c r="C3" s="6"/>
      <c r="D3" s="7" t="s">
        <v>6</v>
      </c>
      <c r="E3" s="7"/>
      <c r="F3" s="7" t="s">
        <v>11</v>
      </c>
      <c r="G3" s="7"/>
      <c r="H3" s="7" t="s">
        <v>12</v>
      </c>
      <c r="I3" s="7"/>
      <c r="J3" s="7" t="s">
        <v>13</v>
      </c>
      <c r="K3" s="7"/>
      <c r="L3" s="7" t="s">
        <v>14</v>
      </c>
      <c r="M3" s="7"/>
    </row>
    <row r="4" spans="2:13" ht="6" customHeight="1"/>
    <row r="5" spans="2:13" ht="38" customHeight="1">
      <c r="B5" s="41" t="str">
        <f>"👤 Painel Pessoal — "&amp;'Config'!$C$10</f>
        <v>👤 Painel Pessoal — Meu Controle Financeiro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2:13" ht="20" customHeight="1">
      <c r="B6" s="9" t="s">
        <v>235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2:13" ht="28" customHeight="1">
      <c r="B7" s="25" t="s">
        <v>236</v>
      </c>
      <c r="C7" s="25"/>
      <c r="D7" s="26" t="s">
        <v>105</v>
      </c>
      <c r="E7" s="26"/>
      <c r="G7" s="27" t="s">
        <v>18</v>
      </c>
      <c r="H7" s="27"/>
      <c r="I7" s="28">
        <f>'Config'!$C$8</f>
        <v>2026</v>
      </c>
      <c r="J7" s="29" t="s">
        <v>237</v>
      </c>
      <c r="K7" s="29"/>
      <c r="L7" s="29"/>
      <c r="M7" s="29"/>
    </row>
    <row r="8" spans="2:13" ht="8" customHeight="1"/>
    <row r="9" spans="2:13" ht="18" customHeight="1">
      <c r="B9" s="42" t="s">
        <v>238</v>
      </c>
      <c r="C9" s="42"/>
      <c r="D9" s="43" t="s">
        <v>239</v>
      </c>
      <c r="E9" s="43"/>
      <c r="F9" s="44" t="s">
        <v>240</v>
      </c>
      <c r="G9" s="44"/>
      <c r="H9" s="33" t="s">
        <v>241</v>
      </c>
      <c r="I9" s="33"/>
      <c r="J9" s="34" t="s">
        <v>242</v>
      </c>
      <c r="K9" s="34"/>
      <c r="L9" s="35" t="s">
        <v>244</v>
      </c>
      <c r="M9" s="35"/>
    </row>
    <row r="10" spans="2:13" ht="36" customHeight="1">
      <c r="B10" s="36">
        <f>INDEX('Resumo Pessoal'!$C$18:$N$18,'Dados'!$C$8)</f>
        <v>4552.89</v>
      </c>
      <c r="C10" s="36"/>
      <c r="D10" s="36">
        <f>INDEX('Resumo Pessoal'!$C$36:$N$36,'Dados'!$C$8)</f>
        <v>3992.84</v>
      </c>
      <c r="E10" s="36"/>
      <c r="F10" s="36">
        <f>INDEX('Resumo Pessoal'!$C$18:$N$18,'Dados'!$C$8)-INDEX('Resumo Pessoal'!$C$36:$N$36,'Dados'!$C$8)</f>
        <v>560.05</v>
      </c>
      <c r="G10" s="36"/>
      <c r="H10" s="37">
        <f>IF(INDEX('Resumo Pessoal'!$C$18:$N$18,'Dados'!$C$8)=0,0,INDEX('Resumo Pessoal'!$C$39:$N$39,'Dados'!$C$8))</f>
        <v>0.25479420763515</v>
      </c>
      <c r="I10" s="37"/>
      <c r="J10" s="36">
        <f>INDEX('Resumo Pessoal'!$C$38:$N$38,'Dados'!$C$8)</f>
        <v>3592.59</v>
      </c>
      <c r="K10" s="36"/>
      <c r="L10" s="45" t="str">
        <f>'Dados'!$J$18</f>
        <v>Moradia</v>
      </c>
      <c r="M10" s="45"/>
    </row>
    <row r="11" spans="2:13" ht="20" customHeight="1">
      <c r="B11" s="38" t="str">
        <f>IF('Dados'!$C$8=1,"—",IF(INDEX('Resumo Pessoal'!$C$18:$N$18,'Dados'!$C$8-1)=0,"—",IF(INDEX('Resumo Pessoal'!$C$18:$N$18,'Dados'!$C$8)&gt;=INDEX('Resumo Pessoal'!$C$18:$N$18,'Dados'!$C$8-1),"▲ ","▼ ")&amp;TEXT(ABS(INDEX('Resumo Pessoal'!$C$18:$N$18,'Dados'!$C$8)/INDEX('Resumo Pessoal'!$C$18:$N$18,'Dados'!$C$8-1)-1),"0%")&amp;" vs mês anterior"))</f>
        <v>▲ 0% vs mês anterior</v>
      </c>
      <c r="C11" s="38"/>
      <c r="D11" s="38" t="str">
        <f>IF('Dados'!$C$8=1,"—",IF(INDEX('Resumo Pessoal'!$C$36:$N$36,'Dados'!$C$8-1)=0,"—",IF(INDEX('Resumo Pessoal'!$C$36:$N$36,'Dados'!$C$8)&gt;=INDEX('Resumo Pessoal'!$C$36:$N$36,'Dados'!$C$8-1),"▲ ","▼ ")&amp;TEXT(ABS(INDEX('Resumo Pessoal'!$C$36:$N$36,'Dados'!$C$8)/INDEX('Resumo Pessoal'!$C$36:$N$36,'Dados'!$C$8-1)-1),"0%")&amp;" vs mês anterior"))</f>
        <v>▼ 14% vs mês anterior</v>
      </c>
      <c r="E11" s="38"/>
      <c r="F11" s="38" t="str">
        <f>IF(INDEX('Resumo Pessoal'!$C$18:$N$18,'Dados'!$C$8)-INDEX('Resumo Pessoal'!$C$36:$N$36,'Dados'!$C$8)&gt;=0,"Sobrou dinheiro ✓","Gastou mais do que ganhou")</f>
        <v>Sobrou dinheiro ✓</v>
      </c>
      <c r="G11" s="38"/>
      <c r="H11" s="38" t="str">
        <f>"Meta: "&amp;TEXT('Config'!$C$11,"0%")</f>
        <v>Meta: 20%</v>
      </c>
      <c r="I11" s="38"/>
      <c r="J11" s="38" t="s">
        <v>243</v>
      </c>
      <c r="K11" s="38"/>
      <c r="L11" s="46">
        <f>'Dados'!$K$18</f>
        <v>1100</v>
      </c>
      <c r="M11" s="46"/>
    </row>
    <row r="45" spans="2:13" ht="22" customHeight="1">
      <c r="B45" s="47" t="s">
        <v>245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pans="2:13" ht="16.5" customHeight="1">
      <c r="B46" s="48" t="s">
        <v>219</v>
      </c>
      <c r="C46" s="48"/>
      <c r="D46" s="48"/>
      <c r="E46" s="48" t="s">
        <v>246</v>
      </c>
      <c r="F46" s="48"/>
      <c r="G46" s="48" t="s">
        <v>220</v>
      </c>
      <c r="H46" s="48"/>
      <c r="I46" s="48" t="s">
        <v>247</v>
      </c>
      <c r="J46" s="48" t="s">
        <v>211</v>
      </c>
      <c r="K46" s="48"/>
      <c r="L46" s="48"/>
      <c r="M46" s="48" t="s">
        <v>212</v>
      </c>
    </row>
    <row r="47" spans="2:13" ht="16.5" customHeight="1">
      <c r="B47" s="49" t="str">
        <f>IF('Metas'!$B$8="","",'Metas'!$B$8)</f>
        <v>Reserva de emergência</v>
      </c>
      <c r="C47" s="49"/>
      <c r="D47" s="49"/>
      <c r="E47" s="50">
        <f>IF('Metas'!$B$8="","",'Metas'!$G$8)</f>
        <v>8700</v>
      </c>
      <c r="F47" s="50"/>
      <c r="G47" s="50">
        <f>IF('Metas'!$B$8="","",'Metas'!$C$8)</f>
        <v>24000</v>
      </c>
      <c r="H47" s="50"/>
      <c r="I47" s="51">
        <f>IF('Metas'!$H$8="","",'Metas'!$H$8)</f>
        <v>0.3625</v>
      </c>
      <c r="J47" s="52" t="str">
        <f>IF('Metas'!$I$8="","",'Metas'!$I$8)</f>
        <v>███████</v>
      </c>
      <c r="K47" s="52"/>
      <c r="L47" s="52"/>
      <c r="M47" s="53" t="str">
        <f>IF('Metas'!$B$8="","",'Metas'!$M$8)</f>
        <v>● No prazo</v>
      </c>
    </row>
    <row r="48" spans="2:13" ht="16.5" customHeight="1">
      <c r="B48" s="49" t="str">
        <f>IF('Metas'!$B$9="","",'Metas'!$B$9)</f>
        <v>Reserva para impostos</v>
      </c>
      <c r="C48" s="49"/>
      <c r="D48" s="49"/>
      <c r="E48" s="50">
        <f>IF('Metas'!$B$9="","",'Metas'!$G$9)</f>
        <v>1350</v>
      </c>
      <c r="F48" s="50"/>
      <c r="G48" s="50">
        <f>IF('Metas'!$B$9="","",'Metas'!$C$9)</f>
        <v>4000</v>
      </c>
      <c r="H48" s="50"/>
      <c r="I48" s="51">
        <f>IF('Metas'!$H$9="","",'Metas'!$H$9)</f>
        <v>0.3375</v>
      </c>
      <c r="J48" s="52" t="str">
        <f>IF('Metas'!$I$9="","",'Metas'!$I$9)</f>
        <v>███████</v>
      </c>
      <c r="K48" s="52"/>
      <c r="L48" s="52"/>
      <c r="M48" s="53" t="str">
        <f>IF('Metas'!$B$9="","",'Metas'!$M$9)</f>
        <v>● No prazo</v>
      </c>
    </row>
    <row r="49" spans="2:13" ht="16.5" customHeight="1">
      <c r="B49" s="49" t="str">
        <f>IF('Metas'!$B$10="","",'Metas'!$B$10)</f>
        <v>Viagem de férias</v>
      </c>
      <c r="C49" s="49"/>
      <c r="D49" s="49"/>
      <c r="E49" s="50">
        <f>IF('Metas'!$B$10="","",'Metas'!$G$10)</f>
        <v>1400</v>
      </c>
      <c r="F49" s="50"/>
      <c r="G49" s="50">
        <f>IF('Metas'!$B$10="","",'Metas'!$C$10)</f>
        <v>6000</v>
      </c>
      <c r="H49" s="50"/>
      <c r="I49" s="51">
        <f>IF('Metas'!$H$10="","",'Metas'!$H$10)</f>
        <v>0.233333333333333</v>
      </c>
      <c r="J49" s="52" t="str">
        <f>IF('Metas'!$I$10="","",'Metas'!$I$10)</f>
        <v>█████</v>
      </c>
      <c r="K49" s="52"/>
      <c r="L49" s="52"/>
      <c r="M49" s="53" t="str">
        <f>IF('Metas'!$B$10="","",'Metas'!$M$10)</f>
        <v>● No prazo</v>
      </c>
    </row>
    <row r="50" spans="2:13" ht="16.5" customHeight="1">
      <c r="B50" s="49">
        <f>IF('Metas'!$B$11="","",'Metas'!$B$11)</f>
        <v/>
      </c>
      <c r="C50" s="49"/>
      <c r="D50" s="49"/>
      <c r="E50" s="50">
        <f>IF('Metas'!$B$11="","",'Metas'!$G$11)</f>
        <v/>
      </c>
      <c r="F50" s="50"/>
      <c r="G50" s="50">
        <f>IF('Metas'!$B$11="","",'Metas'!$C$11)</f>
        <v/>
      </c>
      <c r="H50" s="50"/>
      <c r="I50" s="51">
        <f>IF('Metas'!$H$11="","",'Metas'!$H$11)</f>
        <v/>
      </c>
      <c r="J50" s="52">
        <f>IF('Metas'!$I$11="","",'Metas'!$I$11)</f>
        <v/>
      </c>
      <c r="K50" s="52"/>
      <c r="L50" s="52"/>
      <c r="M50" s="53">
        <f>IF('Metas'!$B$11="","",'Metas'!$M$11)</f>
        <v/>
      </c>
    </row>
    <row r="51" spans="2:13" ht="16.5" customHeight="1">
      <c r="B51" s="49">
        <f>IF('Metas'!$B$12="","",'Metas'!$B$12)</f>
        <v/>
      </c>
      <c r="C51" s="49"/>
      <c r="D51" s="49"/>
      <c r="E51" s="50">
        <f>IF('Metas'!$B$12="","",'Metas'!$G$12)</f>
        <v/>
      </c>
      <c r="F51" s="50"/>
      <c r="G51" s="50">
        <f>IF('Metas'!$B$12="","",'Metas'!$C$12)</f>
        <v/>
      </c>
      <c r="H51" s="50"/>
      <c r="I51" s="51">
        <f>IF('Metas'!$H$12="","",'Metas'!$H$12)</f>
        <v/>
      </c>
      <c r="J51" s="52">
        <f>IF('Metas'!$I$12="","",'Metas'!$I$12)</f>
        <v/>
      </c>
      <c r="K51" s="52"/>
      <c r="L51" s="52"/>
      <c r="M51" s="53">
        <f>IF('Metas'!$B$12="","",'Metas'!$M$12)</f>
        <v/>
      </c>
    </row>
    <row r="53" spans="2:13" ht="16.5" customHeight="1">
      <c r="B53" s="29" t="s">
        <v>248</v>
      </c>
    </row>
    <row r="54" spans="2:13" ht="22" customHeight="1">
      <c r="B54" s="47" t="s">
        <v>249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pans="2:13" ht="24" customHeight="1">
      <c r="B55" s="40" t="str">
        <f>IF(AND(INDEX('Resumo Pessoal'!$C$18:$N$18,'Dados'!$C$8)=0,INDEX('Resumo Pessoal'!$C$36:$N$36,'Dados'!$C$8)=0),"ℹ Ainda não há lançamentos neste mês.",IF((INDEX('Resumo Pessoal'!$C$18:$N$18,'Dados'!$C$8)-INDEX('Resumo Pessoal'!$C$36:$N$36,'Dados'!$C$8))&lt;0,"⚠ Você gastou R$ "&amp;FIXED(-(INDEX('Resumo Pessoal'!$C$18:$N$18,'Dados'!$C$8)-INDEX('Resumo Pessoal'!$C$36:$N$36,'Dados'!$C$8)),2)&amp;" a mais do que ganhou neste mês.","✓ Mês no azul: sobraram R$ "&amp;FIXED((INDEX('Resumo Pessoal'!$C$18:$N$18,'Dados'!$C$8)-INDEX('Resumo Pessoal'!$C$36:$N$36,'Dados'!$C$8)),2)&amp;" depois de todas as saídas."))</f>
        <v>✓ Mês no azul: sobraram R$ 560.05 depois de todas as saídas.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</row>
    <row r="56" spans="2:13" ht="24" customHeight="1">
      <c r="B56" s="40" t="str">
        <f>IF('Orçamento Pessoal'!$C$28=0,"ℹ Defina o orçamento por categoria na aba Orçamento para receber alertas de gastos.",IF('Dados'!$C$13=0,"✓ Nenhuma categoria acima do orçamento neste mês.","⚠ "&amp;'Dados'!$C$13&amp;" categoria(s) acima do orçamento planejado — veja a aba Orçamento."))</f>
        <v>⚠ 2 categoria(s) acima do orçamento planejado — veja a aba Orçamento.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  <row r="57" spans="2:13" ht="24" customHeight="1">
      <c r="B57" s="40" t="str">
        <f>IF(INDEX('Resumo Pessoal'!$C$18:$N$18,'Dados'!$C$8)=0,"ℹ Registre suas entradas do mês para calcular a taxa de poupança.",IF(INDEX('Resumo Pessoal'!$C$39:$N$39,'Dados'!$C$8)&gt;='Config'!$C$11,"✓ Meta de poupança atingida: "&amp;TEXT(INDEX('Resumo Pessoal'!$C$39:$N$39,'Dados'!$C$8),"0%")&amp;" (meta "&amp;TEXT('Config'!$C$11,"0%")&amp;").","⚠ Taxa de poupança de "&amp;TEXT(INDEX('Resumo Pessoal'!$C$39:$N$39,'Dados'!$C$8),"0%")&amp;", abaixo da meta de "&amp;TEXT('Config'!$C$11,"0%")&amp;"."))</f>
        <v>✓ Meta de poupança atingida: 25% (meta 20%).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</row>
  </sheetData>
  <mergeCells count="69">
    <mergeCell ref="B1:C1"/>
    <mergeCell ref="D1:F1"/>
    <mergeCell ref="G1:H1"/>
    <mergeCell ref="I1:J1"/>
    <mergeCell ref="K1:M1"/>
    <mergeCell ref="B2:C2"/>
    <mergeCell ref="D2:F2"/>
    <mergeCell ref="G2:H2"/>
    <mergeCell ref="I2:J2"/>
    <mergeCell ref="K2:M2"/>
    <mergeCell ref="B3:C3"/>
    <mergeCell ref="D3:E3"/>
    <mergeCell ref="F3:G3"/>
    <mergeCell ref="H3:I3"/>
    <mergeCell ref="J3:K3"/>
    <mergeCell ref="L3:M3"/>
    <mergeCell ref="B5:M5"/>
    <mergeCell ref="B6:M6"/>
    <mergeCell ref="B7:C7"/>
    <mergeCell ref="D7:E7"/>
    <mergeCell ref="G7:H7"/>
    <mergeCell ref="J7:M7"/>
    <mergeCell ref="B9:C9"/>
    <mergeCell ref="B10:C10"/>
    <mergeCell ref="B11:C11"/>
    <mergeCell ref="D9:E9"/>
    <mergeCell ref="D10:E10"/>
    <mergeCell ref="D11:E11"/>
    <mergeCell ref="F9:G9"/>
    <mergeCell ref="F10:G10"/>
    <mergeCell ref="F11:G11"/>
    <mergeCell ref="H9:I9"/>
    <mergeCell ref="H10:I10"/>
    <mergeCell ref="H11:I11"/>
    <mergeCell ref="J9:K9"/>
    <mergeCell ref="J10:K10"/>
    <mergeCell ref="J11:K11"/>
    <mergeCell ref="L9:M9"/>
    <mergeCell ref="L10:M10"/>
    <mergeCell ref="L11:M11"/>
    <mergeCell ref="B45:M45"/>
    <mergeCell ref="B46:D46"/>
    <mergeCell ref="E46:F46"/>
    <mergeCell ref="G46:H46"/>
    <mergeCell ref="J46:L46"/>
    <mergeCell ref="B47:D47"/>
    <mergeCell ref="E47:F47"/>
    <mergeCell ref="G47:H47"/>
    <mergeCell ref="J47:L47"/>
    <mergeCell ref="B48:D48"/>
    <mergeCell ref="E48:F48"/>
    <mergeCell ref="G48:H48"/>
    <mergeCell ref="J48:L48"/>
    <mergeCell ref="B49:D49"/>
    <mergeCell ref="E49:F49"/>
    <mergeCell ref="G49:H49"/>
    <mergeCell ref="J49:L49"/>
    <mergeCell ref="B50:D50"/>
    <mergeCell ref="E50:F50"/>
    <mergeCell ref="G50:H50"/>
    <mergeCell ref="J50:L50"/>
    <mergeCell ref="B51:D51"/>
    <mergeCell ref="E51:F51"/>
    <mergeCell ref="G51:H51"/>
    <mergeCell ref="J51:L51"/>
    <mergeCell ref="B54:M54"/>
    <mergeCell ref="B55:M55"/>
    <mergeCell ref="B56:M56"/>
    <mergeCell ref="B57:M57"/>
  </mergeCells>
  <conditionalFormatting sqref="B11">
    <cfRule type="beginsWith" dxfId="11" priority="6" operator="beginsWith" text="▲">
      <formula>LEFT(B11,1)="▲"</formula>
    </cfRule>
    <cfRule type="beginsWith" dxfId="0" priority="7" operator="beginsWith" text="▼">
      <formula>LEFT(B11,1)="▼"</formula>
    </cfRule>
  </conditionalFormatting>
  <conditionalFormatting sqref="B55:M57">
    <cfRule type="beginsWith" dxfId="14" priority="14" operator="beginsWith" text="⚠">
      <formula>LEFT(B55,1)="⚠"</formula>
    </cfRule>
    <cfRule type="beginsWith" dxfId="10" priority="15" operator="beginsWith" text="✓">
      <formula>LEFT(B55,1)="✓"</formula>
    </cfRule>
    <cfRule type="beginsWith" dxfId="15" priority="16" operator="beginsWith" text="ℹ">
      <formula>LEFT(B55,1)="ℹ"</formula>
    </cfRule>
  </conditionalFormatting>
  <conditionalFormatting sqref="D11">
    <cfRule type="beginsWith" dxfId="0" priority="8" operator="beginsWith" text="▲">
      <formula>LEFT(D11,1)="▲"</formula>
    </cfRule>
    <cfRule type="beginsWith" dxfId="11" priority="9" operator="beginsWith" text="▼">
      <formula>LEFT(D11,1)="▼"</formula>
    </cfRule>
  </conditionalFormatting>
  <conditionalFormatting sqref="F10">
    <cfRule type="cellIs" dxfId="0" priority="1" operator="lessThan">
      <formula>0</formula>
    </cfRule>
    <cfRule type="cellIs" dxfId="11" priority="2" operator="greaterThanOrEqual">
      <formula>0</formula>
    </cfRule>
  </conditionalFormatting>
  <conditionalFormatting sqref="F11">
    <cfRule type="beginsWith" dxfId="0" priority="10" operator="beginsWith" text="Gastou">
      <formula>LEFT(F11,6)="Gastou"</formula>
    </cfRule>
  </conditionalFormatting>
  <conditionalFormatting sqref="H10">
    <cfRule type="expression" dxfId="11" priority="3">
      <formula>H10&gt;='Config'!$C$11</formula>
    </cfRule>
    <cfRule type="expression" dxfId="0" priority="4">
      <formula>H10&lt;0</formula>
    </cfRule>
  </conditionalFormatting>
  <conditionalFormatting sqref="J10">
    <cfRule type="cellIs" dxfId="0" priority="5" operator="lessThan">
      <formula>0</formula>
    </cfRule>
  </conditionalFormatting>
  <conditionalFormatting sqref="M47:M51">
    <cfRule type="containsText" dxfId="4" priority="11" operator="containsText" text="Concluída">
      <formula>NOT(ISERROR(SEARCH("Concluída",M47)))</formula>
    </cfRule>
    <cfRule type="containsText" dxfId="5" priority="12" operator="containsText" text="Atrasada">
      <formula>NOT(ISERROR(SEARCH("Atrasada",M47)))</formula>
    </cfRule>
    <cfRule type="containsText" dxfId="13" priority="13" operator="containsText" text="No prazo">
      <formula>NOT(ISERROR(SEARCH("No prazo",M47)))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D7">
      <formula1>'Config'!$K$8:$K$19</formula1>
    </dataValidation>
  </dataValidations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I1" location="'Painel Negócio'!A1" display="💼 Painel Negócio"/>
    <hyperlink ref="K1" location="'Config'!A1" display="⚙ Config"/>
    <hyperlink ref="D2" location="'Lanç. Pessoal'!A1" display="📝 Lançamentos"/>
    <hyperlink ref="G2" location="'Orçamento Pessoal'!A1" display="💳 Orçamento"/>
    <hyperlink ref="I2" location="'Resumo Pessoal'!A1" display="📅 Resumo anual"/>
    <hyperlink ref="K2" location="'Metas'!A1" display="🎯 Metas"/>
    <hyperlink ref="D3" location="'Lanç. Negócio'!A1" display="📝 Lançamentos"/>
    <hyperlink ref="F3" location="'Clientes'!A1" display="🤝 Clientes"/>
    <hyperlink ref="H3" location="'Recebimentos'!A1" display="💰 Recebimentos"/>
    <hyperlink ref="J3" location="'Impostos'!A1" display="🧾 Impostos"/>
    <hyperlink ref="L3" location="'Fluxo de Caixa'!A1" display="📈 Fluxo de Caixa"/>
  </hyperlinks>
  <pageMargins left="0.4" right="0.4" top="0.5" bottom="0.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A580C"/>
    <pageSetUpPr fitToPage="1"/>
  </sheetPr>
  <dimension ref="A1:AL56"/>
  <sheetViews>
    <sheetView showGridLines="0" workbookViewId="0"/>
  </sheetViews>
  <sheetFormatPr defaultRowHeight="16.5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3" t="s">
        <v>0</v>
      </c>
      <c r="C1" s="3"/>
      <c r="D1" s="3" t="s">
        <v>1</v>
      </c>
      <c r="E1" s="3"/>
      <c r="F1" s="3"/>
      <c r="G1" s="3" t="s">
        <v>2</v>
      </c>
      <c r="H1" s="3"/>
      <c r="I1" s="2" t="s">
        <v>3</v>
      </c>
      <c r="J1" s="2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 t="s">
        <v>8</v>
      </c>
      <c r="J2" s="5"/>
      <c r="K2" s="5" t="s">
        <v>9</v>
      </c>
      <c r="L2" s="5"/>
      <c r="M2" s="5"/>
    </row>
    <row r="3" spans="2:13" ht="22" customHeight="1">
      <c r="B3" s="6" t="s">
        <v>10</v>
      </c>
      <c r="C3" s="6"/>
      <c r="D3" s="7" t="s">
        <v>6</v>
      </c>
      <c r="E3" s="7"/>
      <c r="F3" s="7" t="s">
        <v>11</v>
      </c>
      <c r="G3" s="7"/>
      <c r="H3" s="7" t="s">
        <v>12</v>
      </c>
      <c r="I3" s="7"/>
      <c r="J3" s="7" t="s">
        <v>13</v>
      </c>
      <c r="K3" s="7"/>
      <c r="L3" s="7" t="s">
        <v>14</v>
      </c>
      <c r="M3" s="7"/>
    </row>
    <row r="4" spans="2:13" ht="6" customHeight="1"/>
    <row r="5" spans="2:13" ht="38" customHeight="1">
      <c r="B5" s="54" t="str">
        <f>"💼 Painel Negócio — "&amp;'Config'!$C$13</f>
        <v>💼 Painel Negócio — Estúdio Exemplo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2:13" ht="20" customHeight="1">
      <c r="B6" s="9" t="s">
        <v>465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2:13" ht="28" customHeight="1">
      <c r="B7" s="25" t="s">
        <v>236</v>
      </c>
      <c r="C7" s="25"/>
      <c r="D7" s="26" t="s">
        <v>105</v>
      </c>
      <c r="E7" s="26"/>
      <c r="G7" s="27" t="s">
        <v>18</v>
      </c>
      <c r="H7" s="27"/>
      <c r="I7" s="28">
        <f>'Config'!$C$8</f>
        <v>2026</v>
      </c>
      <c r="J7" s="29" t="s">
        <v>466</v>
      </c>
      <c r="K7" s="29"/>
      <c r="L7" s="29"/>
      <c r="M7" s="29"/>
    </row>
    <row r="8" spans="2:13" ht="8" customHeight="1"/>
    <row r="9" spans="2:13" ht="18" customHeight="1">
      <c r="B9" s="42" t="s">
        <v>467</v>
      </c>
      <c r="C9" s="42"/>
      <c r="D9" s="43" t="s">
        <v>468</v>
      </c>
      <c r="E9" s="43"/>
      <c r="F9" s="44" t="s">
        <v>469</v>
      </c>
      <c r="G9" s="44"/>
      <c r="H9" s="33" t="s">
        <v>470</v>
      </c>
      <c r="I9" s="33"/>
      <c r="J9" s="34" t="s">
        <v>471</v>
      </c>
      <c r="K9" s="34"/>
      <c r="L9" s="35" t="s">
        <v>472</v>
      </c>
      <c r="M9" s="35"/>
    </row>
    <row r="10" spans="2:13" ht="36" customHeight="1">
      <c r="B10" s="36">
        <f>INDEX('Dados'!$C$108:$N$108,'Dados'!$C$40)</f>
        <v>6266.84</v>
      </c>
      <c r="C10" s="36"/>
      <c r="D10" s="36">
        <f>INDEX('Dados'!$C$109:$N$109,'Dados'!$C$40)</f>
        <v>1556.16</v>
      </c>
      <c r="E10" s="36"/>
      <c r="F10" s="36">
        <f>INDEX('Dados'!$C$110:$N$110,'Dados'!$C$40)</f>
        <v>4710.68</v>
      </c>
      <c r="G10" s="36"/>
      <c r="H10" s="36">
        <f>SUM('Recebimentos'!$K$11:$K$1010)</f>
        <v>6730</v>
      </c>
      <c r="I10" s="36"/>
      <c r="J10" s="37">
        <f>IF('Impostos'!$E$8&lt;&gt;"MEI","n/a",'Impostos'!$L$10)</f>
        <v>0.697636913580247</v>
      </c>
      <c r="K10" s="37"/>
      <c r="L10" s="55">
        <f>INDEX('Impostos'!$D$23:$D$34,'Dados'!$C$40)</f>
        <v>86.05</v>
      </c>
      <c r="M10" s="55"/>
    </row>
    <row r="11" spans="2:13" ht="20" customHeight="1">
      <c r="B11" s="38" t="str">
        <f>IF('Dados'!$C$40=1,"—",IF(INDEX('Dados'!$C$108:$N$108,'Dados'!$C$40-1)=0,"—",IF(INDEX('Dados'!$C$108:$N$108,'Dados'!$C$40)&gt;=INDEX('Dados'!$C$108:$N$108,'Dados'!$C$40-1),"▲ ","▼ ")&amp;TEXT(ABS(INDEX('Dados'!$C$108:$N$108,'Dados'!$C$40)/INDEX('Dados'!$C$108:$N$108,'Dados'!$C$40-1)-1),"0%")&amp;" vs mês anterior"))</f>
        <v>▼ 14% vs mês anterior</v>
      </c>
      <c r="C11" s="38"/>
      <c r="D11" s="38" t="str">
        <f>IF('Dados'!$C$40=1,"—",IF(INDEX('Dados'!$C$109:$N$109,'Dados'!$C$40-1)=0,"—",IF(INDEX('Dados'!$C$109:$N$109,'Dados'!$C$40)&gt;=INDEX('Dados'!$C$109:$N$109,'Dados'!$C$40-1),"▲ ","▼ ")&amp;TEXT(ABS(INDEX('Dados'!$C$109:$N$109,'Dados'!$C$40)/INDEX('Dados'!$C$109:$N$109,'Dados'!$C$40-1)-1),"0%")&amp;" vs mês anterior"))</f>
        <v>▲ 2% vs mês anterior</v>
      </c>
      <c r="E11" s="38"/>
      <c r="F11" s="38" t="str">
        <f>IF(INDEX('Dados'!$C$108:$N$108,'Dados'!$C$40)=0,"—","Margem de "&amp;TEXT(INDEX('Dados'!$C$110:$N$110,'Dados'!$C$40)/INDEX('Dados'!$C$108:$N$108,'Dados'!$C$40),"0%"))</f>
        <v>Margem de 75%</v>
      </c>
      <c r="G11" s="38"/>
      <c r="H11" s="56">
        <f>SUM('Recebimentos'!$L$11:$L$1010)</f>
        <v>4430</v>
      </c>
      <c r="I11" s="56"/>
      <c r="J11" s="38" t="str">
        <f>IF('Impostos'!$E$8&lt;&gt;"MEI","regime sem limite MEI","Projeção: "&amp;TEXT('Impostos'!$L$12,"0%")&amp;" do limite")</f>
        <v>Projeção: 93% do limite</v>
      </c>
      <c r="K11" s="38"/>
      <c r="L11" s="38" t="str">
        <f>INDEX('Impostos'!$I$23:$I$34,'Dados'!$C$40)</f>
        <v>A pagar</v>
      </c>
      <c r="M11" s="38"/>
    </row>
    <row r="45" spans="2:13" ht="22" customHeight="1">
      <c r="B45" s="57" t="s">
        <v>473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spans="2:13" ht="16.5" customHeight="1">
      <c r="B46" s="58" t="s">
        <v>275</v>
      </c>
      <c r="C46" s="58"/>
      <c r="D46" s="58"/>
      <c r="E46" s="58" t="s">
        <v>144</v>
      </c>
      <c r="F46" s="58"/>
      <c r="G46" s="58"/>
      <c r="H46" s="58"/>
      <c r="I46" s="58" t="s">
        <v>321</v>
      </c>
      <c r="J46" s="58"/>
      <c r="K46" s="58" t="s">
        <v>445</v>
      </c>
      <c r="L46" s="58" t="s">
        <v>134</v>
      </c>
      <c r="M46" s="58"/>
    </row>
    <row r="47" spans="2:13" ht="16.5" customHeight="1">
      <c r="B47" s="49" t="str">
        <f>IF('Dados'!$I$100&gt;0,'Dados'!$J$100,IF('Dados'!$I$100=0,"✓ Nenhuma cobrança em atraso",""))</f>
        <v>Café do Centro</v>
      </c>
      <c r="C47" s="49"/>
      <c r="D47" s="49"/>
      <c r="E47" s="59" t="str">
        <f>'Dados'!$K$100</f>
        <v>Reimpressão de materiais</v>
      </c>
      <c r="F47" s="59"/>
      <c r="G47" s="59"/>
      <c r="H47" s="59"/>
      <c r="I47" s="60">
        <f>'Dados'!$L$100</f>
        <v>46261.0</v>
      </c>
      <c r="J47" s="60"/>
      <c r="K47" s="61">
        <f>'Dados'!$M$100</f>
        <v>34</v>
      </c>
      <c r="L47" s="62">
        <f>'Dados'!$N$100</f>
        <v>480</v>
      </c>
      <c r="M47" s="62"/>
    </row>
    <row r="48" spans="2:13" ht="16.5" customHeight="1">
      <c r="B48" s="49" t="str">
        <f>IF('Dados'!$I$101&gt;0,'Dados'!$J$101,"")</f>
        <v>Studio Aurora</v>
      </c>
      <c r="C48" s="49"/>
      <c r="D48" s="49"/>
      <c r="E48" s="59" t="str">
        <f>'Dados'!$K$101</f>
        <v>Gestão de redes sociais – 09/2026</v>
      </c>
      <c r="F48" s="59"/>
      <c r="G48" s="59"/>
      <c r="H48" s="59"/>
      <c r="I48" s="60">
        <f>'Dados'!$L$101</f>
        <v>46278.0</v>
      </c>
      <c r="J48" s="60"/>
      <c r="K48" s="61">
        <f>'Dados'!$M$101</f>
        <v>17</v>
      </c>
      <c r="L48" s="62">
        <f>'Dados'!$N$101</f>
        <v>1800</v>
      </c>
      <c r="M48" s="62"/>
    </row>
    <row r="49" spans="2:13" ht="16.5" customHeight="1">
      <c r="B49" s="49" t="str">
        <f>IF('Dados'!$I$102&gt;0,'Dados'!$J$102,"")</f>
        <v>Clínica Vida Plena</v>
      </c>
      <c r="C49" s="49"/>
      <c r="D49" s="49"/>
      <c r="E49" s="59" t="str">
        <f>'Dados'!$K$102</f>
        <v>Pacote de conteúdo mensal – 09/2026</v>
      </c>
      <c r="F49" s="59"/>
      <c r="G49" s="59"/>
      <c r="H49" s="59"/>
      <c r="I49" s="60">
        <f>'Dados'!$L$102</f>
        <v>46280.0</v>
      </c>
      <c r="J49" s="60"/>
      <c r="K49" s="61">
        <f>'Dados'!$M$102</f>
        <v>15</v>
      </c>
      <c r="L49" s="62">
        <f>'Dados'!$N$102</f>
        <v>1500</v>
      </c>
      <c r="M49" s="62"/>
    </row>
    <row r="50" spans="2:13" ht="16.5" customHeight="1">
      <c r="B50" s="49" t="str">
        <f>IF('Dados'!$I$103&gt;0,'Dados'!$J$103,"")</f>
        <v>Padaria Dois Irmãos</v>
      </c>
      <c r="C50" s="49"/>
      <c r="D50" s="49"/>
      <c r="E50" s="59" t="str">
        <f>'Dados'!$K$103</f>
        <v>Materiais e cardápio – 09/2026</v>
      </c>
      <c r="F50" s="59"/>
      <c r="G50" s="59"/>
      <c r="H50" s="59"/>
      <c r="I50" s="60">
        <f>'Dados'!$L$103</f>
        <v>46283.0</v>
      </c>
      <c r="J50" s="60"/>
      <c r="K50" s="61">
        <f>'Dados'!$M$103</f>
        <v>12</v>
      </c>
      <c r="L50" s="62">
        <f>'Dados'!$N$103</f>
        <v>650</v>
      </c>
      <c r="M50" s="62"/>
    </row>
    <row r="51" spans="2:13" ht="16.5" customHeight="1">
      <c r="B51" s="49">
        <f>IF('Dados'!$I$104&gt;0,'Dados'!$J$104,"")</f>
        <v/>
      </c>
      <c r="C51" s="49"/>
      <c r="D51" s="49"/>
      <c r="E51" s="59">
        <f>'Dados'!$K$104</f>
        <v/>
      </c>
      <c r="F51" s="59"/>
      <c r="G51" s="59"/>
      <c r="H51" s="59"/>
      <c r="I51" s="60">
        <f>'Dados'!$L$104</f>
        <v/>
      </c>
      <c r="J51" s="60"/>
      <c r="K51" s="61">
        <f>'Dados'!$M$104</f>
        <v/>
      </c>
      <c r="L51" s="62">
        <f>'Dados'!$N$104</f>
        <v/>
      </c>
      <c r="M51" s="62"/>
    </row>
    <row r="53" spans="2:13" ht="22" customHeight="1">
      <c r="B53" s="57" t="s">
        <v>474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</row>
    <row r="54" spans="2:13" ht="24" customHeight="1">
      <c r="B54" s="40" t="str">
        <f>'Impostos'!$H$13</f>
        <v>✓ Dentro do limite anual do MEI.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</row>
    <row r="55" spans="2:13" ht="24" customHeight="1">
      <c r="B55" s="40" t="str">
        <f>IF('Clientes'!$B$40="","ℹ Registre recebimentos para analisar a concentração de clientes.",'Clientes'!$B$40)</f>
        <v>✓ Receita bem distribuída entre clientes (maior cliente: 26%).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</row>
    <row r="56" spans="2:13" ht="24" customHeight="1">
      <c r="B56" s="40" t="str">
        <f>IF('Dados'!$C$42=99,"✓ O caixa do negócio não fica negativo em nenhum mês do ano (incluindo a projeção).","⚠ O caixa projetado fica negativo a partir de "&amp;INDEX('Config'!$K$8:$K$19,'Dados'!$C$42)&amp;". Antecipe recebimentos ou reduza despesas.")</f>
        <v>✓ O caixa do negócio não fica negativo em nenhum mês do ano (incluindo a projeção).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</sheetData>
  <mergeCells count="69">
    <mergeCell ref="B1:C1"/>
    <mergeCell ref="D1:F1"/>
    <mergeCell ref="G1:H1"/>
    <mergeCell ref="I1:J1"/>
    <mergeCell ref="K1:M1"/>
    <mergeCell ref="B2:C2"/>
    <mergeCell ref="D2:F2"/>
    <mergeCell ref="G2:H2"/>
    <mergeCell ref="I2:J2"/>
    <mergeCell ref="K2:M2"/>
    <mergeCell ref="B3:C3"/>
    <mergeCell ref="D3:E3"/>
    <mergeCell ref="F3:G3"/>
    <mergeCell ref="H3:I3"/>
    <mergeCell ref="J3:K3"/>
    <mergeCell ref="L3:M3"/>
    <mergeCell ref="B5:M5"/>
    <mergeCell ref="B6:M6"/>
    <mergeCell ref="B7:C7"/>
    <mergeCell ref="D7:E7"/>
    <mergeCell ref="G7:H7"/>
    <mergeCell ref="J7:M7"/>
    <mergeCell ref="B9:C9"/>
    <mergeCell ref="B10:C10"/>
    <mergeCell ref="B11:C11"/>
    <mergeCell ref="D9:E9"/>
    <mergeCell ref="D10:E10"/>
    <mergeCell ref="D11:E11"/>
    <mergeCell ref="F9:G9"/>
    <mergeCell ref="F10:G10"/>
    <mergeCell ref="F11:G11"/>
    <mergeCell ref="H9:I9"/>
    <mergeCell ref="H10:I10"/>
    <mergeCell ref="H11:I11"/>
    <mergeCell ref="J9:K9"/>
    <mergeCell ref="J10:K10"/>
    <mergeCell ref="J11:K11"/>
    <mergeCell ref="L9:M9"/>
    <mergeCell ref="L10:M10"/>
    <mergeCell ref="L11:M11"/>
    <mergeCell ref="B45:M45"/>
    <mergeCell ref="B46:D46"/>
    <mergeCell ref="E46:H46"/>
    <mergeCell ref="I46:J46"/>
    <mergeCell ref="L46:M46"/>
    <mergeCell ref="B47:D47"/>
    <mergeCell ref="E47:H47"/>
    <mergeCell ref="I47:J47"/>
    <mergeCell ref="L47:M47"/>
    <mergeCell ref="B48:D48"/>
    <mergeCell ref="E48:H48"/>
    <mergeCell ref="I48:J48"/>
    <mergeCell ref="L48:M48"/>
    <mergeCell ref="B49:D49"/>
    <mergeCell ref="E49:H49"/>
    <mergeCell ref="I49:J49"/>
    <mergeCell ref="L49:M49"/>
    <mergeCell ref="B50:D50"/>
    <mergeCell ref="E50:H50"/>
    <mergeCell ref="I50:J50"/>
    <mergeCell ref="L50:M50"/>
    <mergeCell ref="B51:D51"/>
    <mergeCell ref="E51:H51"/>
    <mergeCell ref="I51:J51"/>
    <mergeCell ref="L51:M51"/>
    <mergeCell ref="B53:M53"/>
    <mergeCell ref="B54:M54"/>
    <mergeCell ref="B55:M55"/>
    <mergeCell ref="B56:M56"/>
  </mergeCells>
  <conditionalFormatting sqref="B11">
    <cfRule type="beginsWith" dxfId="11" priority="5" operator="beginsWith" text="▲">
      <formula>LEFT(B11,1)="▲"</formula>
    </cfRule>
    <cfRule type="beginsWith" dxfId="0" priority="6" operator="beginsWith" text="▼">
      <formula>LEFT(B11,1)="▼"</formula>
    </cfRule>
  </conditionalFormatting>
  <conditionalFormatting sqref="B47">
    <cfRule type="beginsWith" dxfId="11" priority="13" operator="beginsWith" text="✓">
      <formula>LEFT(B47,1)="✓"</formula>
    </cfRule>
  </conditionalFormatting>
  <conditionalFormatting sqref="B54:M56">
    <cfRule type="beginsWith" dxfId="9" priority="14" operator="beginsWith" text="✖">
      <formula>LEFT(B54,1)="✖"</formula>
    </cfRule>
    <cfRule type="beginsWith" dxfId="14" priority="15" operator="beginsWith" text="⚠">
      <formula>LEFT(B54,1)="⚠"</formula>
    </cfRule>
    <cfRule type="beginsWith" dxfId="10" priority="16" operator="beginsWith" text="✓">
      <formula>LEFT(B54,1)="✓"</formula>
    </cfRule>
    <cfRule type="beginsWith" dxfId="15" priority="17" operator="beginsWith" text="ℹ">
      <formula>LEFT(B54,1)="ℹ"</formula>
    </cfRule>
  </conditionalFormatting>
  <conditionalFormatting sqref="D11">
    <cfRule type="beginsWith" dxfId="0" priority="7" operator="beginsWith" text="▲">
      <formula>LEFT(D11,1)="▲"</formula>
    </cfRule>
    <cfRule type="beginsWith" dxfId="11" priority="8" operator="beginsWith" text="▼">
      <formula>LEFT(D11,1)="▼"</formula>
    </cfRule>
  </conditionalFormatting>
  <conditionalFormatting sqref="F10">
    <cfRule type="cellIs" dxfId="0" priority="1" operator="lessThan">
      <formula>0</formula>
    </cfRule>
    <cfRule type="cellIs" dxfId="11" priority="2" operator="greaterThanOrEqual">
      <formula>0</formula>
    </cfRule>
  </conditionalFormatting>
  <conditionalFormatting sqref="H11">
    <cfRule type="cellIs" dxfId="0" priority="9" operator="greaterThan">
      <formula>0</formula>
    </cfRule>
  </conditionalFormatting>
  <conditionalFormatting sqref="J10">
    <cfRule type="expression" dxfId="0" priority="3">
      <formula>AND(ISNUMBER(J10),J10&gt;=1)</formula>
    </cfRule>
    <cfRule type="expression" dxfId="1" priority="4">
      <formula>AND(ISNUMBER(J10),J10&gt;=0.8)</formula>
    </cfRule>
  </conditionalFormatting>
  <conditionalFormatting sqref="L10">
    <cfRule type="cellIs" dxfId="19" priority="10" operator="greaterThan">
      <formula>0</formula>
    </cfRule>
  </conditionalFormatting>
  <conditionalFormatting sqref="L11">
    <cfRule type="containsText" dxfId="3" priority="11" operator="containsText" text="Atrasado">
      <formula>NOT(ISERROR(SEARCH("Atrasado",L11)))</formula>
    </cfRule>
    <cfRule type="containsText" dxfId="2" priority="12" operator="containsText" text="Pago">
      <formula>NOT(ISERROR(SEARCH("Pago",L11)))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D7">
      <formula1>'Config'!$K$8:$K$19</formula1>
    </dataValidation>
  </dataValidations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I1" location="'Painel Negócio'!A1" display="💼 Painel Negócio"/>
    <hyperlink ref="K1" location="'Config'!A1" display="⚙ Config"/>
    <hyperlink ref="D2" location="'Lanç. Pessoal'!A1" display="📝 Lançamentos"/>
    <hyperlink ref="G2" location="'Orçamento Pessoal'!A1" display="💳 Orçamento"/>
    <hyperlink ref="I2" location="'Resumo Pessoal'!A1" display="📅 Resumo anual"/>
    <hyperlink ref="K2" location="'Metas'!A1" display="🎯 Metas"/>
    <hyperlink ref="D3" location="'Lanç. Negócio'!A1" display="📝 Lançamentos"/>
    <hyperlink ref="F3" location="'Clientes'!A1" display="🤝 Clientes"/>
    <hyperlink ref="H3" location="'Recebimentos'!A1" display="💰 Recebimentos"/>
    <hyperlink ref="J3" location="'Impostos'!A1" display="🧾 Impostos"/>
    <hyperlink ref="L3" location="'Fluxo de Caixa'!A1" display="📈 Fluxo de Caixa"/>
  </hyperlinks>
  <pageMargins left="0.4" right="0.4" top="0.5" bottom="0.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I1510"/>
  <sheetViews>
    <sheetView showGridLines="0" workbookViewId="0">
      <pane ySplit="10" topLeftCell="A11" activePane="bottomLeft" state="frozen"/>
      <selection pane="bottomLeft"/>
    </sheetView>
  </sheetViews>
  <sheetFormatPr defaultRowHeight="16.5" customHeight="1"/>
  <cols>
    <col min="1" max="1" width="2.7109375" customWidth="1"/>
    <col min="2" max="2" width="12.7109375" style="63" customWidth="1"/>
    <col min="3" max="3" width="36.7109375" style="64" customWidth="1"/>
    <col min="4" max="4" width="28.7109375" style="64" customWidth="1"/>
    <col min="5" max="5" width="19.7109375" style="64" customWidth="1"/>
    <col min="6" max="6" width="15.7109375" style="65" customWidth="1"/>
    <col min="7" max="7" width="11.7109375" style="66" customWidth="1"/>
    <col min="8" max="8" width="22.7109375" style="64" customWidth="1"/>
    <col min="9" max="9" width="32.7109375" style="64" customWidth="1"/>
  </cols>
  <sheetData>
    <row r="1" spans="2:9" ht="22" customHeight="1">
      <c r="B1" s="3" t="s">
        <v>0</v>
      </c>
      <c r="C1" s="3"/>
      <c r="D1" s="3" t="s">
        <v>1</v>
      </c>
      <c r="E1" s="3" t="s">
        <v>2</v>
      </c>
      <c r="F1" s="3"/>
      <c r="G1" s="3" t="s">
        <v>3</v>
      </c>
      <c r="H1" s="3"/>
      <c r="I1" s="3" t="s">
        <v>4</v>
      </c>
    </row>
    <row r="2" spans="2:9" ht="22" customHeight="1">
      <c r="B2" s="4" t="s">
        <v>5</v>
      </c>
      <c r="C2" s="4"/>
      <c r="D2" s="67" t="s">
        <v>6</v>
      </c>
      <c r="E2" s="5" t="s">
        <v>7</v>
      </c>
      <c r="F2" s="5"/>
      <c r="G2" s="5" t="s">
        <v>8</v>
      </c>
      <c r="H2" s="5"/>
      <c r="I2" s="5" t="s">
        <v>9</v>
      </c>
    </row>
    <row r="3" spans="2:9" ht="22" customHeight="1">
      <c r="B3" s="6" t="s">
        <v>10</v>
      </c>
      <c r="C3" s="7" t="s">
        <v>6</v>
      </c>
      <c r="D3" s="7" t="s">
        <v>11</v>
      </c>
      <c r="E3" s="7" t="s">
        <v>12</v>
      </c>
      <c r="F3" s="7"/>
      <c r="G3" s="7" t="s">
        <v>13</v>
      </c>
      <c r="H3" s="7"/>
      <c r="I3" s="7" t="s">
        <v>14</v>
      </c>
    </row>
    <row r="4" spans="2:9" ht="6" customHeight="1"/>
    <row r="5" spans="2:9" ht="38" customHeight="1">
      <c r="B5" s="41" t="s">
        <v>137</v>
      </c>
      <c r="C5" s="41"/>
      <c r="D5" s="41"/>
      <c r="E5" s="41"/>
      <c r="F5" s="41"/>
      <c r="G5" s="41"/>
      <c r="H5" s="41"/>
      <c r="I5" s="41"/>
    </row>
    <row r="6" spans="2:9" ht="20" customHeight="1">
      <c r="B6" s="68" t="s">
        <v>138</v>
      </c>
      <c r="C6" s="68"/>
      <c r="D6" s="68"/>
      <c r="E6" s="68"/>
      <c r="F6" s="68"/>
      <c r="G6" s="68"/>
      <c r="H6" s="68"/>
      <c r="I6" s="68"/>
    </row>
    <row r="7" spans="2:9" ht="16" customHeight="1">
      <c r="B7" s="69" t="s">
        <v>139</v>
      </c>
      <c r="C7" s="69"/>
      <c r="D7" s="69" t="s">
        <v>140</v>
      </c>
      <c r="E7" s="69" t="s">
        <v>141</v>
      </c>
      <c r="F7" s="69"/>
      <c r="G7" s="69" t="s">
        <v>142</v>
      </c>
      <c r="H7" s="69"/>
      <c r="I7" s="69"/>
    </row>
    <row r="8" spans="2:9" ht="26" customHeight="1">
      <c r="B8" s="70">
        <f>SUMIFS('Lanç. Pessoal'!$F$11:$F$1510,'Lanç. Pessoal'!$G$11:$G$1510,"Entrada",'Lanç. Pessoal'!$B$11:$B$1510,"&gt;="&amp;DATE('Config'!$C$8,1,1),'Lanç. Pessoal'!$B$11:$B$1510,"&lt;"&amp;DATE('Config'!$C$8+1,1,1))</f>
        <v>41725.12</v>
      </c>
      <c r="C8" s="70"/>
      <c r="D8" s="71">
        <f>SUMIFS('Lanç. Pessoal'!$F$11:$F$1510,'Lanç. Pessoal'!$G$11:$G$1510,"Saída",'Lanç. Pessoal'!$B$11:$B$1510,"&gt;="&amp;DATE('Config'!$C$8,1,1),'Lanç. Pessoal'!$B$11:$B$1510,"&lt;"&amp;DATE('Config'!$C$8+1,1,1))</f>
        <v>40632.53</v>
      </c>
      <c r="E8" s="72">
        <f>B8-D8</f>
        <v>1092.59</v>
      </c>
      <c r="F8" s="72"/>
      <c r="G8" s="73" t="str">
        <f>IF(SUMPRODUCT(('Lanç. Pessoal'!$F$11:$F$1510&gt;0)*('Lanç. Pessoal'!$D$11:$D$1510=""))&gt;0,"⚠ "&amp;SUMPRODUCT(('Lanç. Pessoal'!$F$11:$F$1510&gt;0)*('Lanç. Pessoal'!$D$11:$D$1510=""))&amp;" lançamento(s) sem categoria — não entram nos painéis",IF(COUNTIF('Lanç. Pessoal'!$G$11:$G$1510,"Verificar")&gt;0,"⚠ "&amp;COUNTIF('Lanç. Pessoal'!$G$11:$G$1510,"Verificar")&amp;" lançamento(s) com categoria inválida (coluna Tipo = Verificar)",IF((COUNT('Lanç. Pessoal'!$F$11:$F$1510)-COUNTIFS('Lanç. Pessoal'!$B$11:$B$1510,"&gt;="&amp;DATE('Config'!$C$8,1,1),'Lanç. Pessoal'!$B$11:$B$1510,"&lt;"&amp;DATE('Config'!$C$8+1,1,1),'Lanç. Pessoal'!$F$11:$F$1510,"&gt;0"))&gt;0,"⚠ "&amp;(COUNT('Lanç. Pessoal'!$F$11:$F$1510)-COUNTIFS('Lanç. Pessoal'!$B$11:$B$1510,"&gt;="&amp;DATE('Config'!$C$8,1,1),'Lanç. Pessoal'!$B$11:$B$1510,"&lt;"&amp;DATE('Config'!$C$8+1,1,1),'Lanç. Pessoal'!$F$11:$F$1510,"&gt;0"))&amp;" lançamento(s) sem data ou fora de "&amp;'Config'!$C$8&amp;" — não entram nos painéis","✓ Tudo certo: "&amp;COUNT('Lanç. Pessoal'!$F$11:$F$1510)&amp;" lançamento(s) registrados")))</f>
        <v>✓ Tudo certo: 321 lançamento(s) registrados</v>
      </c>
      <c r="H8" s="73"/>
      <c r="I8" s="73"/>
    </row>
    <row r="9" spans="2:9" ht="6" customHeight="1"/>
    <row r="10" spans="2:9" ht="28" customHeight="1">
      <c r="B10" s="74" t="s">
        <v>143</v>
      </c>
      <c r="C10" s="74" t="s">
        <v>144</v>
      </c>
      <c r="D10" s="74" t="s">
        <v>131</v>
      </c>
      <c r="E10" s="74" t="s">
        <v>145</v>
      </c>
      <c r="F10" s="74" t="s">
        <v>146</v>
      </c>
      <c r="G10" s="74" t="s">
        <v>147</v>
      </c>
      <c r="H10" s="74" t="s">
        <v>148</v>
      </c>
      <c r="I10" s="74" t="s">
        <v>149</v>
      </c>
    </row>
    <row r="11" spans="2:9" ht="16.5" customHeight="1">
      <c r="B11" s="63">
        <v>46025</v>
      </c>
      <c r="C11" s="64" t="s">
        <v>150</v>
      </c>
      <c r="D11" s="64" t="s">
        <v>46</v>
      </c>
      <c r="E11" s="64" t="s">
        <v>60</v>
      </c>
      <c r="F11" s="65">
        <v>119.9</v>
      </c>
      <c r="G11" s="66" t="str">
        <f>IF($D11="","",IF(COUNTIF('Config'!$E$8:$E$15,$D11)&gt;0,"Entrada",IF(COUNTIF('Config'!$G$8:$G$23,$D11)&gt;0,"Saída","Verificar")))</f>
        <v>Saída</v>
      </c>
    </row>
    <row r="12" spans="2:9" ht="16.5" customHeight="1">
      <c r="B12" s="63">
        <v>46025</v>
      </c>
      <c r="C12" s="64" t="s">
        <v>151</v>
      </c>
      <c r="D12" s="64" t="s">
        <v>39</v>
      </c>
      <c r="E12" s="64" t="s">
        <v>56</v>
      </c>
      <c r="F12" s="65">
        <v>178.02</v>
      </c>
      <c r="G12" s="66" t="str">
        <f>IF($D12="","",IF(COUNTIF('Config'!$E$8:$E$15,$D12)&gt;0,"Entrada",IF(COUNTIF('Config'!$G$8:$G$23,$D12)&gt;0,"Saída","Verificar")))</f>
        <v>Saída</v>
      </c>
    </row>
    <row r="13" spans="2:9" ht="16.5" customHeight="1">
      <c r="B13" s="63">
        <v>46026</v>
      </c>
      <c r="C13" s="64" t="s">
        <v>152</v>
      </c>
      <c r="D13" s="64" t="s">
        <v>40</v>
      </c>
      <c r="E13" s="64" t="s">
        <v>56</v>
      </c>
      <c r="F13" s="65">
        <v>194.3</v>
      </c>
      <c r="G13" s="66" t="str">
        <f>IF($D13="","",IF(COUNTIF('Config'!$E$8:$E$15,$D13)&gt;0,"Entrada",IF(COUNTIF('Config'!$G$8:$G$23,$D13)&gt;0,"Saída","Verificar")))</f>
        <v>Saída</v>
      </c>
    </row>
    <row r="14" spans="2:9" ht="16.5" customHeight="1">
      <c r="B14" s="63">
        <v>46027</v>
      </c>
      <c r="C14" s="64" t="s">
        <v>153</v>
      </c>
      <c r="D14" s="64" t="s">
        <v>28</v>
      </c>
      <c r="E14" s="64" t="s">
        <v>59</v>
      </c>
      <c r="F14" s="65">
        <v>4500</v>
      </c>
      <c r="G14" s="66" t="str">
        <f>IF($D14="","",IF(COUNTIF('Config'!$E$8:$E$15,$D14)&gt;0,"Entrada",IF(COUNTIF('Config'!$G$8:$G$23,$D14)&gt;0,"Saída","Verificar")))</f>
        <v>Entrada</v>
      </c>
    </row>
    <row r="15" spans="2:9" ht="16.5" customHeight="1">
      <c r="B15" s="63">
        <v>46028</v>
      </c>
      <c r="C15" s="64" t="s">
        <v>154</v>
      </c>
      <c r="D15" s="64" t="s">
        <v>50</v>
      </c>
      <c r="E15" s="64" t="s">
        <v>54</v>
      </c>
      <c r="F15" s="65">
        <v>300</v>
      </c>
      <c r="G15" s="66" t="str">
        <f>IF($D15="","",IF(COUNTIF('Config'!$E$8:$E$15,$D15)&gt;0,"Entrada",IF(COUNTIF('Config'!$G$8:$G$23,$D15)&gt;0,"Saída","Verificar")))</f>
        <v>Saída</v>
      </c>
      <c r="H15" s="64" t="s">
        <v>155</v>
      </c>
    </row>
    <row r="16" spans="2:9" ht="16.5" customHeight="1">
      <c r="B16" s="63">
        <v>46028</v>
      </c>
      <c r="C16" s="64" t="s">
        <v>156</v>
      </c>
      <c r="D16" s="64" t="s">
        <v>50</v>
      </c>
      <c r="E16" s="64" t="s">
        <v>54</v>
      </c>
      <c r="F16" s="65">
        <v>150</v>
      </c>
      <c r="G16" s="66" t="str">
        <f>IF($D16="","",IF(COUNTIF('Config'!$E$8:$E$15,$D16)&gt;0,"Entrada",IF(COUNTIF('Config'!$G$8:$G$23,$D16)&gt;0,"Saída","Verificar")))</f>
        <v>Saída</v>
      </c>
      <c r="H16" s="64" t="s">
        <v>157</v>
      </c>
    </row>
    <row r="17" spans="2:7" ht="16.5" customHeight="1">
      <c r="B17" s="63">
        <v>46028</v>
      </c>
      <c r="C17" s="64" t="s">
        <v>158</v>
      </c>
      <c r="D17" s="64" t="s">
        <v>45</v>
      </c>
      <c r="E17" s="64" t="s">
        <v>56</v>
      </c>
      <c r="F17" s="65">
        <v>9.9</v>
      </c>
      <c r="G17" s="66" t="str">
        <f>IF($D17="","",IF(COUNTIF('Config'!$E$8:$E$15,$D17)&gt;0,"Entrada",IF(COUNTIF('Config'!$G$8:$G$23,$D17)&gt;0,"Saída","Verificar")))</f>
        <v>Saída</v>
      </c>
    </row>
    <row r="18" spans="2:7" ht="16.5" customHeight="1">
      <c r="B18" s="63">
        <v>46028</v>
      </c>
      <c r="C18" s="64" t="s">
        <v>159</v>
      </c>
      <c r="D18" s="64" t="s">
        <v>45</v>
      </c>
      <c r="E18" s="64" t="s">
        <v>56</v>
      </c>
      <c r="F18" s="65">
        <v>55.9</v>
      </c>
      <c r="G18" s="66" t="str">
        <f>IF($D18="","",IF(COUNTIF('Config'!$E$8:$E$15,$D18)&gt;0,"Entrada",IF(COUNTIF('Config'!$G$8:$G$23,$D18)&gt;0,"Saída","Verificar")))</f>
        <v>Saída</v>
      </c>
    </row>
    <row r="19" spans="2:7" ht="16.5" customHeight="1">
      <c r="B19" s="63">
        <v>46028</v>
      </c>
      <c r="C19" s="64" t="s">
        <v>160</v>
      </c>
      <c r="D19" s="64" t="s">
        <v>39</v>
      </c>
      <c r="E19" s="64" t="s">
        <v>54</v>
      </c>
      <c r="F19" s="65">
        <v>31.96</v>
      </c>
      <c r="G19" s="66" t="str">
        <f>IF($D19="","",IF(COUNTIF('Config'!$E$8:$E$15,$D19)&gt;0,"Entrada",IF(COUNTIF('Config'!$G$8:$G$23,$D19)&gt;0,"Saída","Verificar")))</f>
        <v>Saída</v>
      </c>
    </row>
    <row r="20" spans="2:7" ht="16.5" customHeight="1">
      <c r="B20" s="63">
        <v>46028</v>
      </c>
      <c r="C20" s="64" t="s">
        <v>161</v>
      </c>
      <c r="D20" s="64" t="s">
        <v>45</v>
      </c>
      <c r="E20" s="64" t="s">
        <v>56</v>
      </c>
      <c r="F20" s="65">
        <v>21.9</v>
      </c>
      <c r="G20" s="66" t="str">
        <f>IF($D20="","",IF(COUNTIF('Config'!$E$8:$E$15,$D20)&gt;0,"Entrada",IF(COUNTIF('Config'!$G$8:$G$23,$D20)&gt;0,"Saída","Verificar")))</f>
        <v>Saída</v>
      </c>
    </row>
    <row r="21" spans="2:7" ht="16.5" customHeight="1">
      <c r="B21" s="63">
        <v>46029</v>
      </c>
      <c r="C21" s="64" t="s">
        <v>162</v>
      </c>
      <c r="D21" s="64" t="s">
        <v>40</v>
      </c>
      <c r="E21" s="64" t="s">
        <v>56</v>
      </c>
      <c r="F21" s="65">
        <v>32.68</v>
      </c>
      <c r="G21" s="66" t="str">
        <f>IF($D21="","",IF(COUNTIF('Config'!$E$8:$E$15,$D21)&gt;0,"Entrada",IF(COUNTIF('Config'!$G$8:$G$23,$D21)&gt;0,"Saída","Verificar")))</f>
        <v>Saída</v>
      </c>
    </row>
    <row r="22" spans="2:7" ht="16.5" customHeight="1">
      <c r="B22" s="63">
        <v>46030</v>
      </c>
      <c r="C22" s="64" t="s">
        <v>163</v>
      </c>
      <c r="D22" s="64" t="s">
        <v>38</v>
      </c>
      <c r="E22" s="64" t="s">
        <v>60</v>
      </c>
      <c r="F22" s="65">
        <v>119.9</v>
      </c>
      <c r="G22" s="66" t="str">
        <f>IF($D22="","",IF(COUNTIF('Config'!$E$8:$E$15,$D22)&gt;0,"Entrada",IF(COUNTIF('Config'!$G$8:$G$23,$D22)&gt;0,"Saída","Verificar")))</f>
        <v>Saída</v>
      </c>
    </row>
    <row r="23" spans="2:7" ht="16.5" customHeight="1">
      <c r="B23" s="63">
        <v>46030</v>
      </c>
      <c r="C23" s="64" t="s">
        <v>164</v>
      </c>
      <c r="D23" s="64" t="s">
        <v>43</v>
      </c>
      <c r="E23" s="64" t="s">
        <v>56</v>
      </c>
      <c r="F23" s="65">
        <v>54.68</v>
      </c>
      <c r="G23" s="66" t="str">
        <f>IF($D23="","",IF(COUNTIF('Config'!$E$8:$E$15,$D23)&gt;0,"Entrada",IF(COUNTIF('Config'!$G$8:$G$23,$D23)&gt;0,"Saída","Verificar")))</f>
        <v>Saída</v>
      </c>
    </row>
    <row r="24" spans="2:7" ht="16.5" customHeight="1">
      <c r="B24" s="63">
        <v>46031</v>
      </c>
      <c r="C24" s="64" t="s">
        <v>165</v>
      </c>
      <c r="D24" s="64" t="s">
        <v>39</v>
      </c>
      <c r="E24" s="64" t="s">
        <v>55</v>
      </c>
      <c r="F24" s="65">
        <v>63.39</v>
      </c>
      <c r="G24" s="66" t="str">
        <f>IF($D24="","",IF(COUNTIF('Config'!$E$8:$E$15,$D24)&gt;0,"Entrada",IF(COUNTIF('Config'!$G$8:$G$23,$D24)&gt;0,"Saída","Verificar")))</f>
        <v>Saída</v>
      </c>
    </row>
    <row r="25" spans="2:7" ht="16.5" customHeight="1">
      <c r="B25" s="63">
        <v>46032</v>
      </c>
      <c r="C25" s="64" t="s">
        <v>166</v>
      </c>
      <c r="D25" s="64" t="s">
        <v>37</v>
      </c>
      <c r="E25" s="64" t="s">
        <v>58</v>
      </c>
      <c r="F25" s="65">
        <v>950</v>
      </c>
      <c r="G25" s="66" t="str">
        <f>IF($D25="","",IF(COUNTIF('Config'!$E$8:$E$15,$D25)&gt;0,"Entrada",IF(COUNTIF('Config'!$G$8:$G$23,$D25)&gt;0,"Saída","Verificar")))</f>
        <v>Saída</v>
      </c>
    </row>
    <row r="26" spans="2:7" ht="16.5" customHeight="1">
      <c r="B26" s="63">
        <v>46032</v>
      </c>
      <c r="C26" s="64" t="s">
        <v>167</v>
      </c>
      <c r="D26" s="64" t="s">
        <v>37</v>
      </c>
      <c r="E26" s="64" t="s">
        <v>58</v>
      </c>
      <c r="F26" s="65">
        <v>150</v>
      </c>
      <c r="G26" s="66" t="str">
        <f>IF($D26="","",IF(COUNTIF('Config'!$E$8:$E$15,$D26)&gt;0,"Entrada",IF(COUNTIF('Config'!$G$8:$G$23,$D26)&gt;0,"Saída","Verificar")))</f>
        <v>Saída</v>
      </c>
    </row>
    <row r="27" spans="2:7" ht="16.5" customHeight="1">
      <c r="B27" s="63">
        <v>46032</v>
      </c>
      <c r="C27" s="64" t="s">
        <v>168</v>
      </c>
      <c r="D27" s="64" t="s">
        <v>41</v>
      </c>
      <c r="E27" s="64" t="s">
        <v>60</v>
      </c>
      <c r="F27" s="65">
        <v>180</v>
      </c>
      <c r="G27" s="66" t="str">
        <f>IF($D27="","",IF(COUNTIF('Config'!$E$8:$E$15,$D27)&gt;0,"Entrada",IF(COUNTIF('Config'!$G$8:$G$23,$D27)&gt;0,"Saída","Verificar")))</f>
        <v>Saída</v>
      </c>
    </row>
    <row r="28" spans="2:7" ht="16.5" customHeight="1">
      <c r="B28" s="63">
        <v>46032</v>
      </c>
      <c r="C28" s="64" t="s">
        <v>151</v>
      </c>
      <c r="D28" s="64" t="s">
        <v>39</v>
      </c>
      <c r="E28" s="64" t="s">
        <v>56</v>
      </c>
      <c r="F28" s="65">
        <v>163.56</v>
      </c>
      <c r="G28" s="66" t="str">
        <f>IF($D28="","",IF(COUNTIF('Config'!$E$8:$E$15,$D28)&gt;0,"Entrada",IF(COUNTIF('Config'!$G$8:$G$23,$D28)&gt;0,"Saída","Verificar")))</f>
        <v>Saída</v>
      </c>
    </row>
    <row r="29" spans="2:7" ht="16.5" customHeight="1">
      <c r="B29" s="63">
        <v>46034</v>
      </c>
      <c r="C29" s="64" t="s">
        <v>169</v>
      </c>
      <c r="D29" s="64" t="s">
        <v>38</v>
      </c>
      <c r="E29" s="64" t="s">
        <v>60</v>
      </c>
      <c r="F29" s="65">
        <v>75.92</v>
      </c>
      <c r="G29" s="66" t="str">
        <f>IF($D29="","",IF(COUNTIF('Config'!$E$8:$E$15,$D29)&gt;0,"Entrada",IF(COUNTIF('Config'!$G$8:$G$23,$D29)&gt;0,"Saída","Verificar")))</f>
        <v>Saída</v>
      </c>
    </row>
    <row r="30" spans="2:7" ht="16.5" customHeight="1">
      <c r="B30" s="63">
        <v>46035</v>
      </c>
      <c r="C30" s="64" t="s">
        <v>170</v>
      </c>
      <c r="D30" s="64" t="s">
        <v>43</v>
      </c>
      <c r="E30" s="64" t="s">
        <v>55</v>
      </c>
      <c r="F30" s="65">
        <v>73.56999999999999</v>
      </c>
      <c r="G30" s="66" t="str">
        <f>IF($D30="","",IF(COUNTIF('Config'!$E$8:$E$15,$D30)&gt;0,"Entrada",IF(COUNTIF('Config'!$G$8:$G$23,$D30)&gt;0,"Saída","Verificar")))</f>
        <v>Saída</v>
      </c>
    </row>
    <row r="31" spans="2:7" ht="16.5" customHeight="1">
      <c r="B31" s="63">
        <v>46036</v>
      </c>
      <c r="C31" s="64" t="s">
        <v>160</v>
      </c>
      <c r="D31" s="64" t="s">
        <v>39</v>
      </c>
      <c r="E31" s="64" t="s">
        <v>54</v>
      </c>
      <c r="F31" s="65">
        <v>62.95</v>
      </c>
      <c r="G31" s="66" t="str">
        <f>IF($D31="","",IF(COUNTIF('Config'!$E$8:$E$15,$D31)&gt;0,"Entrada",IF(COUNTIF('Config'!$G$8:$G$23,$D31)&gt;0,"Saída","Verificar")))</f>
        <v>Saída</v>
      </c>
    </row>
    <row r="32" spans="2:7" ht="16.5" customHeight="1">
      <c r="B32" s="63">
        <v>46037</v>
      </c>
      <c r="C32" s="64" t="s">
        <v>171</v>
      </c>
      <c r="D32" s="64" t="s">
        <v>38</v>
      </c>
      <c r="E32" s="64" t="s">
        <v>60</v>
      </c>
      <c r="F32" s="65">
        <v>138.41</v>
      </c>
      <c r="G32" s="66" t="str">
        <f>IF($D32="","",IF(COUNTIF('Config'!$E$8:$E$15,$D32)&gt;0,"Entrada",IF(COUNTIF('Config'!$G$8:$G$23,$D32)&gt;0,"Saída","Verificar")))</f>
        <v>Saída</v>
      </c>
    </row>
    <row r="33" spans="2:8" ht="16.5" customHeight="1">
      <c r="B33" s="63">
        <v>46037</v>
      </c>
      <c r="C33" s="64" t="s">
        <v>172</v>
      </c>
      <c r="D33" s="64" t="s">
        <v>42</v>
      </c>
      <c r="E33" s="64" t="s">
        <v>56</v>
      </c>
      <c r="F33" s="65">
        <v>149</v>
      </c>
      <c r="G33" s="66" t="str">
        <f>IF($D33="","",IF(COUNTIF('Config'!$E$8:$E$15,$D33)&gt;0,"Entrada",IF(COUNTIF('Config'!$G$8:$G$23,$D33)&gt;0,"Saída","Verificar")))</f>
        <v>Saída</v>
      </c>
    </row>
    <row r="34" spans="2:8" ht="16.5" customHeight="1">
      <c r="B34" s="63">
        <v>46038</v>
      </c>
      <c r="C34" s="64" t="s">
        <v>162</v>
      </c>
      <c r="D34" s="64" t="s">
        <v>40</v>
      </c>
      <c r="E34" s="64" t="s">
        <v>56</v>
      </c>
      <c r="F34" s="65">
        <v>37.11</v>
      </c>
      <c r="G34" s="66" t="str">
        <f>IF($D34="","",IF(COUNTIF('Config'!$E$8:$E$15,$D34)&gt;0,"Entrada",IF(COUNTIF('Config'!$G$8:$G$23,$D34)&gt;0,"Saída","Verificar")))</f>
        <v>Saída</v>
      </c>
    </row>
    <row r="35" spans="2:8" ht="16.5" customHeight="1">
      <c r="B35" s="63">
        <v>46039</v>
      </c>
      <c r="C35" s="64" t="s">
        <v>151</v>
      </c>
      <c r="D35" s="64" t="s">
        <v>39</v>
      </c>
      <c r="E35" s="64" t="s">
        <v>56</v>
      </c>
      <c r="F35" s="65">
        <v>149.24</v>
      </c>
      <c r="G35" s="66" t="str">
        <f>IF($D35="","",IF(COUNTIF('Config'!$E$8:$E$15,$D35)&gt;0,"Entrada",IF(COUNTIF('Config'!$G$8:$G$23,$D35)&gt;0,"Saída","Verificar")))</f>
        <v>Saída</v>
      </c>
    </row>
    <row r="36" spans="2:8" ht="16.5" customHeight="1">
      <c r="B36" s="63">
        <v>46040</v>
      </c>
      <c r="C36" s="64" t="s">
        <v>173</v>
      </c>
      <c r="D36" s="64" t="s">
        <v>46</v>
      </c>
      <c r="E36" s="64" t="s">
        <v>54</v>
      </c>
      <c r="F36" s="65">
        <v>79.84999999999999</v>
      </c>
      <c r="G36" s="66" t="str">
        <f>IF($D36="","",IF(COUNTIF('Config'!$E$8:$E$15,$D36)&gt;0,"Entrada",IF(COUNTIF('Config'!$G$8:$G$23,$D36)&gt;0,"Saída","Verificar")))</f>
        <v>Saída</v>
      </c>
    </row>
    <row r="37" spans="2:8" ht="16.5" customHeight="1">
      <c r="B37" s="63">
        <v>46041</v>
      </c>
      <c r="C37" s="64" t="s">
        <v>165</v>
      </c>
      <c r="D37" s="64" t="s">
        <v>39</v>
      </c>
      <c r="E37" s="64" t="s">
        <v>55</v>
      </c>
      <c r="F37" s="65">
        <v>46.75</v>
      </c>
      <c r="G37" s="66" t="str">
        <f>IF($D37="","",IF(COUNTIF('Config'!$E$8:$E$15,$D37)&gt;0,"Entrada",IF(COUNTIF('Config'!$G$8:$G$23,$D37)&gt;0,"Saída","Verificar")))</f>
        <v>Saída</v>
      </c>
    </row>
    <row r="38" spans="2:8" ht="16.5" customHeight="1">
      <c r="B38" s="63">
        <v>46041</v>
      </c>
      <c r="C38" s="64" t="s">
        <v>174</v>
      </c>
      <c r="D38" s="64" t="s">
        <v>52</v>
      </c>
      <c r="E38" s="64" t="s">
        <v>57</v>
      </c>
      <c r="F38" s="65">
        <v>39.72</v>
      </c>
      <c r="G38" s="66" t="str">
        <f>IF($D38="","",IF(COUNTIF('Config'!$E$8:$E$15,$D38)&gt;0,"Entrada",IF(COUNTIF('Config'!$G$8:$G$23,$D38)&gt;0,"Saída","Verificar")))</f>
        <v>Saída</v>
      </c>
    </row>
    <row r="39" spans="2:8" ht="16.5" customHeight="1">
      <c r="B39" s="63">
        <v>46042</v>
      </c>
      <c r="C39" s="64" t="s">
        <v>164</v>
      </c>
      <c r="D39" s="64" t="s">
        <v>43</v>
      </c>
      <c r="E39" s="64" t="s">
        <v>56</v>
      </c>
      <c r="F39" s="65">
        <v>74.40000000000001</v>
      </c>
      <c r="G39" s="66" t="str">
        <f>IF($D39="","",IF(COUNTIF('Config'!$E$8:$E$15,$D39)&gt;0,"Entrada",IF(COUNTIF('Config'!$G$8:$G$23,$D39)&gt;0,"Saída","Verificar")))</f>
        <v>Saída</v>
      </c>
    </row>
    <row r="40" spans="2:8" ht="16.5" customHeight="1">
      <c r="B40" s="63">
        <v>46043</v>
      </c>
      <c r="C40" s="64" t="s">
        <v>175</v>
      </c>
      <c r="D40" s="64" t="s">
        <v>41</v>
      </c>
      <c r="E40" s="64" t="s">
        <v>55</v>
      </c>
      <c r="F40" s="65">
        <v>44.74</v>
      </c>
      <c r="G40" s="66" t="str">
        <f>IF($D40="","",IF(COUNTIF('Config'!$E$8:$E$15,$D40)&gt;0,"Entrada",IF(COUNTIF('Config'!$G$8:$G$23,$D40)&gt;0,"Saída","Verificar")))</f>
        <v>Saída</v>
      </c>
    </row>
    <row r="41" spans="2:8" ht="16.5" customHeight="1">
      <c r="B41" s="63">
        <v>46047</v>
      </c>
      <c r="C41" s="64" t="s">
        <v>176</v>
      </c>
      <c r="D41" s="64" t="s">
        <v>48</v>
      </c>
      <c r="E41" s="64" t="s">
        <v>54</v>
      </c>
      <c r="F41" s="65">
        <v>50</v>
      </c>
      <c r="G41" s="66" t="str">
        <f>IF($D41="","",IF(COUNTIF('Config'!$E$8:$E$15,$D41)&gt;0,"Entrada",IF(COUNTIF('Config'!$G$8:$G$23,$D41)&gt;0,"Saída","Verificar")))</f>
        <v>Saída</v>
      </c>
    </row>
    <row r="42" spans="2:8" ht="16.5" customHeight="1">
      <c r="B42" s="63">
        <v>46048</v>
      </c>
      <c r="C42" s="64" t="s">
        <v>162</v>
      </c>
      <c r="D42" s="64" t="s">
        <v>40</v>
      </c>
      <c r="E42" s="64" t="s">
        <v>56</v>
      </c>
      <c r="F42" s="65">
        <v>23.08</v>
      </c>
      <c r="G42" s="66" t="str">
        <f>IF($D42="","",IF(COUNTIF('Config'!$E$8:$E$15,$D42)&gt;0,"Entrada",IF(COUNTIF('Config'!$G$8:$G$23,$D42)&gt;0,"Saída","Verificar")))</f>
        <v>Saída</v>
      </c>
    </row>
    <row r="43" spans="2:8" ht="16.5" customHeight="1">
      <c r="B43" s="63">
        <v>46050</v>
      </c>
      <c r="C43" s="64" t="s">
        <v>177</v>
      </c>
      <c r="D43" s="64" t="s">
        <v>31</v>
      </c>
      <c r="E43" s="64" t="s">
        <v>59</v>
      </c>
      <c r="F43" s="65">
        <v>46.63</v>
      </c>
      <c r="G43" s="66" t="str">
        <f>IF($D43="","",IF(COUNTIF('Config'!$E$8:$E$15,$D43)&gt;0,"Entrada",IF(COUNTIF('Config'!$G$8:$G$23,$D43)&gt;0,"Saída","Verificar")))</f>
        <v>Entrada</v>
      </c>
    </row>
    <row r="44" spans="2:8" ht="16.5" customHeight="1">
      <c r="B44" s="63">
        <v>46056</v>
      </c>
      <c r="C44" s="64" t="s">
        <v>150</v>
      </c>
      <c r="D44" s="64" t="s">
        <v>46</v>
      </c>
      <c r="E44" s="64" t="s">
        <v>60</v>
      </c>
      <c r="F44" s="65">
        <v>119.9</v>
      </c>
      <c r="G44" s="66" t="str">
        <f>IF($D44="","",IF(COUNTIF('Config'!$E$8:$E$15,$D44)&gt;0,"Entrada",IF(COUNTIF('Config'!$G$8:$G$23,$D44)&gt;0,"Saída","Verificar")))</f>
        <v>Saída</v>
      </c>
    </row>
    <row r="45" spans="2:8" ht="16.5" customHeight="1">
      <c r="B45" s="63">
        <v>46056</v>
      </c>
      <c r="C45" s="64" t="s">
        <v>151</v>
      </c>
      <c r="D45" s="64" t="s">
        <v>39</v>
      </c>
      <c r="E45" s="64" t="s">
        <v>56</v>
      </c>
      <c r="F45" s="65">
        <v>164.42</v>
      </c>
      <c r="G45" s="66" t="str">
        <f>IF($D45="","",IF(COUNTIF('Config'!$E$8:$E$15,$D45)&gt;0,"Entrada",IF(COUNTIF('Config'!$G$8:$G$23,$D45)&gt;0,"Saída","Verificar")))</f>
        <v>Saída</v>
      </c>
    </row>
    <row r="46" spans="2:8" ht="16.5" customHeight="1">
      <c r="B46" s="63">
        <v>46057</v>
      </c>
      <c r="C46" s="64" t="s">
        <v>152</v>
      </c>
      <c r="D46" s="64" t="s">
        <v>40</v>
      </c>
      <c r="E46" s="64" t="s">
        <v>56</v>
      </c>
      <c r="F46" s="65">
        <v>195.15</v>
      </c>
      <c r="G46" s="66" t="str">
        <f>IF($D46="","",IF(COUNTIF('Config'!$E$8:$E$15,$D46)&gt;0,"Entrada",IF(COUNTIF('Config'!$G$8:$G$23,$D46)&gt;0,"Saída","Verificar")))</f>
        <v>Saída</v>
      </c>
    </row>
    <row r="47" spans="2:8" ht="16.5" customHeight="1">
      <c r="B47" s="63">
        <v>46058</v>
      </c>
      <c r="C47" s="64" t="s">
        <v>153</v>
      </c>
      <c r="D47" s="64" t="s">
        <v>28</v>
      </c>
      <c r="E47" s="64" t="s">
        <v>59</v>
      </c>
      <c r="F47" s="65">
        <v>4500</v>
      </c>
      <c r="G47" s="66" t="str">
        <f>IF($D47="","",IF(COUNTIF('Config'!$E$8:$E$15,$D47)&gt;0,"Entrada",IF(COUNTIF('Config'!$G$8:$G$23,$D47)&gt;0,"Saída","Verificar")))</f>
        <v>Entrada</v>
      </c>
    </row>
    <row r="48" spans="2:8" ht="16.5" customHeight="1">
      <c r="B48" s="63">
        <v>46059</v>
      </c>
      <c r="C48" s="64" t="s">
        <v>154</v>
      </c>
      <c r="D48" s="64" t="s">
        <v>50</v>
      </c>
      <c r="E48" s="64" t="s">
        <v>54</v>
      </c>
      <c r="F48" s="65">
        <v>300</v>
      </c>
      <c r="G48" s="66" t="str">
        <f>IF($D48="","",IF(COUNTIF('Config'!$E$8:$E$15,$D48)&gt;0,"Entrada",IF(COUNTIF('Config'!$G$8:$G$23,$D48)&gt;0,"Saída","Verificar")))</f>
        <v>Saída</v>
      </c>
      <c r="H48" s="64" t="s">
        <v>155</v>
      </c>
    </row>
    <row r="49" spans="2:8" ht="16.5" customHeight="1">
      <c r="B49" s="63">
        <v>46059</v>
      </c>
      <c r="C49" s="64" t="s">
        <v>156</v>
      </c>
      <c r="D49" s="64" t="s">
        <v>50</v>
      </c>
      <c r="E49" s="64" t="s">
        <v>54</v>
      </c>
      <c r="F49" s="65">
        <v>150</v>
      </c>
      <c r="G49" s="66" t="str">
        <f>IF($D49="","",IF(COUNTIF('Config'!$E$8:$E$15,$D49)&gt;0,"Entrada",IF(COUNTIF('Config'!$G$8:$G$23,$D49)&gt;0,"Saída","Verificar")))</f>
        <v>Saída</v>
      </c>
      <c r="H49" s="64" t="s">
        <v>157</v>
      </c>
    </row>
    <row r="50" spans="2:8" ht="16.5" customHeight="1">
      <c r="B50" s="63">
        <v>46059</v>
      </c>
      <c r="C50" s="64" t="s">
        <v>158</v>
      </c>
      <c r="D50" s="64" t="s">
        <v>45</v>
      </c>
      <c r="E50" s="64" t="s">
        <v>56</v>
      </c>
      <c r="F50" s="65">
        <v>9.9</v>
      </c>
      <c r="G50" s="66" t="str">
        <f>IF($D50="","",IF(COUNTIF('Config'!$E$8:$E$15,$D50)&gt;0,"Entrada",IF(COUNTIF('Config'!$G$8:$G$23,$D50)&gt;0,"Saída","Verificar")))</f>
        <v>Saída</v>
      </c>
    </row>
    <row r="51" spans="2:8" ht="16.5" customHeight="1">
      <c r="B51" s="63">
        <v>46059</v>
      </c>
      <c r="C51" s="64" t="s">
        <v>159</v>
      </c>
      <c r="D51" s="64" t="s">
        <v>45</v>
      </c>
      <c r="E51" s="64" t="s">
        <v>56</v>
      </c>
      <c r="F51" s="65">
        <v>55.9</v>
      </c>
      <c r="G51" s="66" t="str">
        <f>IF($D51="","",IF(COUNTIF('Config'!$E$8:$E$15,$D51)&gt;0,"Entrada",IF(COUNTIF('Config'!$G$8:$G$23,$D51)&gt;0,"Saída","Verificar")))</f>
        <v>Saída</v>
      </c>
    </row>
    <row r="52" spans="2:8" ht="16.5" customHeight="1">
      <c r="B52" s="63">
        <v>46059</v>
      </c>
      <c r="C52" s="64" t="s">
        <v>160</v>
      </c>
      <c r="D52" s="64" t="s">
        <v>39</v>
      </c>
      <c r="E52" s="64" t="s">
        <v>54</v>
      </c>
      <c r="F52" s="65">
        <v>35.75</v>
      </c>
      <c r="G52" s="66" t="str">
        <f>IF($D52="","",IF(COUNTIF('Config'!$E$8:$E$15,$D52)&gt;0,"Entrada",IF(COUNTIF('Config'!$G$8:$G$23,$D52)&gt;0,"Saída","Verificar")))</f>
        <v>Saída</v>
      </c>
    </row>
    <row r="53" spans="2:8" ht="16.5" customHeight="1">
      <c r="B53" s="63">
        <v>46059</v>
      </c>
      <c r="C53" s="64" t="s">
        <v>161</v>
      </c>
      <c r="D53" s="64" t="s">
        <v>45</v>
      </c>
      <c r="E53" s="64" t="s">
        <v>56</v>
      </c>
      <c r="F53" s="65">
        <v>21.9</v>
      </c>
      <c r="G53" s="66" t="str">
        <f>IF($D53="","",IF(COUNTIF('Config'!$E$8:$E$15,$D53)&gt;0,"Entrada",IF(COUNTIF('Config'!$G$8:$G$23,$D53)&gt;0,"Saída","Verificar")))</f>
        <v>Saída</v>
      </c>
    </row>
    <row r="54" spans="2:8" ht="16.5" customHeight="1">
      <c r="B54" s="63">
        <v>46060</v>
      </c>
      <c r="C54" s="64" t="s">
        <v>162</v>
      </c>
      <c r="D54" s="64" t="s">
        <v>40</v>
      </c>
      <c r="E54" s="64" t="s">
        <v>56</v>
      </c>
      <c r="F54" s="65">
        <v>25.76</v>
      </c>
      <c r="G54" s="66" t="str">
        <f>IF($D54="","",IF(COUNTIF('Config'!$E$8:$E$15,$D54)&gt;0,"Entrada",IF(COUNTIF('Config'!$G$8:$G$23,$D54)&gt;0,"Saída","Verificar")))</f>
        <v>Saída</v>
      </c>
    </row>
    <row r="55" spans="2:8" ht="16.5" customHeight="1">
      <c r="B55" s="63">
        <v>46061</v>
      </c>
      <c r="C55" s="64" t="s">
        <v>163</v>
      </c>
      <c r="D55" s="64" t="s">
        <v>38</v>
      </c>
      <c r="E55" s="64" t="s">
        <v>60</v>
      </c>
      <c r="F55" s="65">
        <v>119.9</v>
      </c>
      <c r="G55" s="66" t="str">
        <f>IF($D55="","",IF(COUNTIF('Config'!$E$8:$E$15,$D55)&gt;0,"Entrada",IF(COUNTIF('Config'!$G$8:$G$23,$D55)&gt;0,"Saída","Verificar")))</f>
        <v>Saída</v>
      </c>
    </row>
    <row r="56" spans="2:8" ht="16.5" customHeight="1">
      <c r="B56" s="63">
        <v>46061</v>
      </c>
      <c r="C56" s="64" t="s">
        <v>164</v>
      </c>
      <c r="D56" s="64" t="s">
        <v>43</v>
      </c>
      <c r="E56" s="64" t="s">
        <v>56</v>
      </c>
      <c r="F56" s="65">
        <v>86.79000000000001</v>
      </c>
      <c r="G56" s="66" t="str">
        <f>IF($D56="","",IF(COUNTIF('Config'!$E$8:$E$15,$D56)&gt;0,"Entrada",IF(COUNTIF('Config'!$G$8:$G$23,$D56)&gt;0,"Saída","Verificar")))</f>
        <v>Saída</v>
      </c>
    </row>
    <row r="57" spans="2:8" ht="16.5" customHeight="1">
      <c r="B57" s="63">
        <v>46062</v>
      </c>
      <c r="C57" s="64" t="s">
        <v>165</v>
      </c>
      <c r="D57" s="64" t="s">
        <v>39</v>
      </c>
      <c r="E57" s="64" t="s">
        <v>55</v>
      </c>
      <c r="F57" s="65">
        <v>66.73999999999999</v>
      </c>
      <c r="G57" s="66" t="str">
        <f>IF($D57="","",IF(COUNTIF('Config'!$E$8:$E$15,$D57)&gt;0,"Entrada",IF(COUNTIF('Config'!$G$8:$G$23,$D57)&gt;0,"Saída","Verificar")))</f>
        <v>Saída</v>
      </c>
    </row>
    <row r="58" spans="2:8" ht="16.5" customHeight="1">
      <c r="B58" s="63">
        <v>46063</v>
      </c>
      <c r="C58" s="64" t="s">
        <v>166</v>
      </c>
      <c r="D58" s="64" t="s">
        <v>37</v>
      </c>
      <c r="E58" s="64" t="s">
        <v>58</v>
      </c>
      <c r="F58" s="65">
        <v>950</v>
      </c>
      <c r="G58" s="66" t="str">
        <f>IF($D58="","",IF(COUNTIF('Config'!$E$8:$E$15,$D58)&gt;0,"Entrada",IF(COUNTIF('Config'!$G$8:$G$23,$D58)&gt;0,"Saída","Verificar")))</f>
        <v>Saída</v>
      </c>
    </row>
    <row r="59" spans="2:8" ht="16.5" customHeight="1">
      <c r="B59" s="63">
        <v>46063</v>
      </c>
      <c r="C59" s="64" t="s">
        <v>167</v>
      </c>
      <c r="D59" s="64" t="s">
        <v>37</v>
      </c>
      <c r="E59" s="64" t="s">
        <v>58</v>
      </c>
      <c r="F59" s="65">
        <v>150</v>
      </c>
      <c r="G59" s="66" t="str">
        <f>IF($D59="","",IF(COUNTIF('Config'!$E$8:$E$15,$D59)&gt;0,"Entrada",IF(COUNTIF('Config'!$G$8:$G$23,$D59)&gt;0,"Saída","Verificar")))</f>
        <v>Saída</v>
      </c>
    </row>
    <row r="60" spans="2:8" ht="16.5" customHeight="1">
      <c r="B60" s="63">
        <v>46063</v>
      </c>
      <c r="C60" s="64" t="s">
        <v>168</v>
      </c>
      <c r="D60" s="64" t="s">
        <v>41</v>
      </c>
      <c r="E60" s="64" t="s">
        <v>60</v>
      </c>
      <c r="F60" s="65">
        <v>180</v>
      </c>
      <c r="G60" s="66" t="str">
        <f>IF($D60="","",IF(COUNTIF('Config'!$E$8:$E$15,$D60)&gt;0,"Entrada",IF(COUNTIF('Config'!$G$8:$G$23,$D60)&gt;0,"Saída","Verificar")))</f>
        <v>Saída</v>
      </c>
    </row>
    <row r="61" spans="2:8" ht="16.5" customHeight="1">
      <c r="B61" s="63">
        <v>46063</v>
      </c>
      <c r="C61" s="64" t="s">
        <v>151</v>
      </c>
      <c r="D61" s="64" t="s">
        <v>39</v>
      </c>
      <c r="E61" s="64" t="s">
        <v>56</v>
      </c>
      <c r="F61" s="65">
        <v>136.4</v>
      </c>
      <c r="G61" s="66" t="str">
        <f>IF($D61="","",IF(COUNTIF('Config'!$E$8:$E$15,$D61)&gt;0,"Entrada",IF(COUNTIF('Config'!$G$8:$G$23,$D61)&gt;0,"Saída","Verificar")))</f>
        <v>Saída</v>
      </c>
    </row>
    <row r="62" spans="2:8" ht="16.5" customHeight="1">
      <c r="B62" s="63">
        <v>46065</v>
      </c>
      <c r="C62" s="64" t="s">
        <v>169</v>
      </c>
      <c r="D62" s="64" t="s">
        <v>38</v>
      </c>
      <c r="E62" s="64" t="s">
        <v>60</v>
      </c>
      <c r="F62" s="65">
        <v>59.74</v>
      </c>
      <c r="G62" s="66" t="str">
        <f>IF($D62="","",IF(COUNTIF('Config'!$E$8:$E$15,$D62)&gt;0,"Entrada",IF(COUNTIF('Config'!$G$8:$G$23,$D62)&gt;0,"Saída","Verificar")))</f>
        <v>Saída</v>
      </c>
    </row>
    <row r="63" spans="2:8" ht="16.5" customHeight="1">
      <c r="B63" s="63">
        <v>46065</v>
      </c>
      <c r="C63" s="64" t="s">
        <v>178</v>
      </c>
      <c r="D63" s="64" t="s">
        <v>51</v>
      </c>
      <c r="E63" s="64" t="s">
        <v>58</v>
      </c>
      <c r="F63" s="65">
        <v>704</v>
      </c>
      <c r="G63" s="66" t="str">
        <f>IF($D63="","",IF(COUNTIF('Config'!$E$8:$E$15,$D63)&gt;0,"Entrada",IF(COUNTIF('Config'!$G$8:$G$23,$D63)&gt;0,"Saída","Verificar")))</f>
        <v>Saída</v>
      </c>
    </row>
    <row r="64" spans="2:8" ht="16.5" customHeight="1">
      <c r="B64" s="63">
        <v>46066</v>
      </c>
      <c r="C64" s="64" t="s">
        <v>170</v>
      </c>
      <c r="D64" s="64" t="s">
        <v>43</v>
      </c>
      <c r="E64" s="64" t="s">
        <v>55</v>
      </c>
      <c r="F64" s="65">
        <v>72.11</v>
      </c>
      <c r="G64" s="66" t="str">
        <f>IF($D64="","",IF(COUNTIF('Config'!$E$8:$E$15,$D64)&gt;0,"Entrada",IF(COUNTIF('Config'!$G$8:$G$23,$D64)&gt;0,"Saída","Verificar")))</f>
        <v>Saída</v>
      </c>
    </row>
    <row r="65" spans="2:7" ht="16.5" customHeight="1">
      <c r="B65" s="63">
        <v>46067</v>
      </c>
      <c r="C65" s="64" t="s">
        <v>160</v>
      </c>
      <c r="D65" s="64" t="s">
        <v>39</v>
      </c>
      <c r="E65" s="64" t="s">
        <v>54</v>
      </c>
      <c r="F65" s="65">
        <v>42.21</v>
      </c>
      <c r="G65" s="66" t="str">
        <f>IF($D65="","",IF(COUNTIF('Config'!$E$8:$E$15,$D65)&gt;0,"Entrada",IF(COUNTIF('Config'!$G$8:$G$23,$D65)&gt;0,"Saída","Verificar")))</f>
        <v>Saída</v>
      </c>
    </row>
    <row r="66" spans="2:7" ht="16.5" customHeight="1">
      <c r="B66" s="63">
        <v>46068</v>
      </c>
      <c r="C66" s="64" t="s">
        <v>171</v>
      </c>
      <c r="D66" s="64" t="s">
        <v>38</v>
      </c>
      <c r="E66" s="64" t="s">
        <v>60</v>
      </c>
      <c r="F66" s="65">
        <v>104.84</v>
      </c>
      <c r="G66" s="66" t="str">
        <f>IF($D66="","",IF(COUNTIF('Config'!$E$8:$E$15,$D66)&gt;0,"Entrada",IF(COUNTIF('Config'!$G$8:$G$23,$D66)&gt;0,"Saída","Verificar")))</f>
        <v>Saída</v>
      </c>
    </row>
    <row r="67" spans="2:7" ht="16.5" customHeight="1">
      <c r="B67" s="63">
        <v>46068</v>
      </c>
      <c r="C67" s="64" t="s">
        <v>172</v>
      </c>
      <c r="D67" s="64" t="s">
        <v>42</v>
      </c>
      <c r="E67" s="64" t="s">
        <v>56</v>
      </c>
      <c r="F67" s="65">
        <v>149</v>
      </c>
      <c r="G67" s="66" t="str">
        <f>IF($D67="","",IF(COUNTIF('Config'!$E$8:$E$15,$D67)&gt;0,"Entrada",IF(COUNTIF('Config'!$G$8:$G$23,$D67)&gt;0,"Saída","Verificar")))</f>
        <v>Saída</v>
      </c>
    </row>
    <row r="68" spans="2:7" ht="16.5" customHeight="1">
      <c r="B68" s="63">
        <v>46069</v>
      </c>
      <c r="C68" s="64" t="s">
        <v>162</v>
      </c>
      <c r="D68" s="64" t="s">
        <v>40</v>
      </c>
      <c r="E68" s="64" t="s">
        <v>56</v>
      </c>
      <c r="F68" s="65">
        <v>23.33</v>
      </c>
      <c r="G68" s="66" t="str">
        <f>IF($D68="","",IF(COUNTIF('Config'!$E$8:$E$15,$D68)&gt;0,"Entrada",IF(COUNTIF('Config'!$G$8:$G$23,$D68)&gt;0,"Saída","Verificar")))</f>
        <v>Saída</v>
      </c>
    </row>
    <row r="69" spans="2:7" ht="16.5" customHeight="1">
      <c r="B69" s="63">
        <v>46070</v>
      </c>
      <c r="C69" s="64" t="s">
        <v>151</v>
      </c>
      <c r="D69" s="64" t="s">
        <v>39</v>
      </c>
      <c r="E69" s="64" t="s">
        <v>56</v>
      </c>
      <c r="F69" s="65">
        <v>146.07</v>
      </c>
      <c r="G69" s="66" t="str">
        <f>IF($D69="","",IF(COUNTIF('Config'!$E$8:$E$15,$D69)&gt;0,"Entrada",IF(COUNTIF('Config'!$G$8:$G$23,$D69)&gt;0,"Saída","Verificar")))</f>
        <v>Saída</v>
      </c>
    </row>
    <row r="70" spans="2:7" ht="16.5" customHeight="1">
      <c r="B70" s="63">
        <v>46071</v>
      </c>
      <c r="C70" s="64" t="s">
        <v>173</v>
      </c>
      <c r="D70" s="64" t="s">
        <v>46</v>
      </c>
      <c r="E70" s="64" t="s">
        <v>54</v>
      </c>
      <c r="F70" s="65">
        <v>61.54</v>
      </c>
      <c r="G70" s="66" t="str">
        <f>IF($D70="","",IF(COUNTIF('Config'!$E$8:$E$15,$D70)&gt;0,"Entrada",IF(COUNTIF('Config'!$G$8:$G$23,$D70)&gt;0,"Saída","Verificar")))</f>
        <v>Saída</v>
      </c>
    </row>
    <row r="71" spans="2:7" ht="16.5" customHeight="1">
      <c r="B71" s="63">
        <v>46072</v>
      </c>
      <c r="C71" s="64" t="s">
        <v>165</v>
      </c>
      <c r="D71" s="64" t="s">
        <v>39</v>
      </c>
      <c r="E71" s="64" t="s">
        <v>55</v>
      </c>
      <c r="F71" s="65">
        <v>46.27</v>
      </c>
      <c r="G71" s="66" t="str">
        <f>IF($D71="","",IF(COUNTIF('Config'!$E$8:$E$15,$D71)&gt;0,"Entrada",IF(COUNTIF('Config'!$G$8:$G$23,$D71)&gt;0,"Saída","Verificar")))</f>
        <v>Saída</v>
      </c>
    </row>
    <row r="72" spans="2:7" ht="16.5" customHeight="1">
      <c r="B72" s="63">
        <v>46072</v>
      </c>
      <c r="C72" s="64" t="s">
        <v>174</v>
      </c>
      <c r="D72" s="64" t="s">
        <v>52</v>
      </c>
      <c r="E72" s="64" t="s">
        <v>57</v>
      </c>
      <c r="F72" s="65">
        <v>47.64</v>
      </c>
      <c r="G72" s="66" t="str">
        <f>IF($D72="","",IF(COUNTIF('Config'!$E$8:$E$15,$D72)&gt;0,"Entrada",IF(COUNTIF('Config'!$G$8:$G$23,$D72)&gt;0,"Saída","Verificar")))</f>
        <v>Saída</v>
      </c>
    </row>
    <row r="73" spans="2:7" ht="16.5" customHeight="1">
      <c r="B73" s="63">
        <v>46073</v>
      </c>
      <c r="C73" s="64" t="s">
        <v>179</v>
      </c>
      <c r="D73" s="64" t="s">
        <v>38</v>
      </c>
      <c r="E73" s="64" t="s">
        <v>54</v>
      </c>
      <c r="F73" s="65">
        <v>112</v>
      </c>
      <c r="G73" s="66" t="str">
        <f>IF($D73="","",IF(COUNTIF('Config'!$E$8:$E$15,$D73)&gt;0,"Entrada",IF(COUNTIF('Config'!$G$8:$G$23,$D73)&gt;0,"Saída","Verificar")))</f>
        <v>Saída</v>
      </c>
    </row>
    <row r="74" spans="2:7" ht="16.5" customHeight="1">
      <c r="B74" s="63">
        <v>46073</v>
      </c>
      <c r="C74" s="64" t="s">
        <v>164</v>
      </c>
      <c r="D74" s="64" t="s">
        <v>43</v>
      </c>
      <c r="E74" s="64" t="s">
        <v>56</v>
      </c>
      <c r="F74" s="65">
        <v>81.39</v>
      </c>
      <c r="G74" s="66" t="str">
        <f>IF($D74="","",IF(COUNTIF('Config'!$E$8:$E$15,$D74)&gt;0,"Entrada",IF(COUNTIF('Config'!$G$8:$G$23,$D74)&gt;0,"Saída","Verificar")))</f>
        <v>Saída</v>
      </c>
    </row>
    <row r="75" spans="2:7" ht="16.5" customHeight="1">
      <c r="B75" s="63">
        <v>46074</v>
      </c>
      <c r="C75" s="64" t="s">
        <v>175</v>
      </c>
      <c r="D75" s="64" t="s">
        <v>41</v>
      </c>
      <c r="E75" s="64" t="s">
        <v>55</v>
      </c>
      <c r="F75" s="65">
        <v>70.34</v>
      </c>
      <c r="G75" s="66" t="str">
        <f>IF($D75="","",IF(COUNTIF('Config'!$E$8:$E$15,$D75)&gt;0,"Entrada",IF(COUNTIF('Config'!$G$8:$G$23,$D75)&gt;0,"Saída","Verificar")))</f>
        <v>Saída</v>
      </c>
    </row>
    <row r="76" spans="2:7" ht="16.5" customHeight="1">
      <c r="B76" s="63">
        <v>46075</v>
      </c>
      <c r="C76" s="64" t="s">
        <v>180</v>
      </c>
      <c r="D76" s="64" t="s">
        <v>44</v>
      </c>
      <c r="E76" s="64" t="s">
        <v>56</v>
      </c>
      <c r="F76" s="65">
        <v>190.65</v>
      </c>
      <c r="G76" s="66" t="str">
        <f>IF($D76="","",IF(COUNTIF('Config'!$E$8:$E$15,$D76)&gt;0,"Entrada",IF(COUNTIF('Config'!$G$8:$G$23,$D76)&gt;0,"Saída","Verificar")))</f>
        <v>Saída</v>
      </c>
    </row>
    <row r="77" spans="2:7" ht="16.5" customHeight="1">
      <c r="B77" s="63">
        <v>46078</v>
      </c>
      <c r="C77" s="64" t="s">
        <v>176</v>
      </c>
      <c r="D77" s="64" t="s">
        <v>48</v>
      </c>
      <c r="E77" s="64" t="s">
        <v>54</v>
      </c>
      <c r="F77" s="65">
        <v>50</v>
      </c>
      <c r="G77" s="66" t="str">
        <f>IF($D77="","",IF(COUNTIF('Config'!$E$8:$E$15,$D77)&gt;0,"Entrada",IF(COUNTIF('Config'!$G$8:$G$23,$D77)&gt;0,"Saída","Verificar")))</f>
        <v>Saída</v>
      </c>
    </row>
    <row r="78" spans="2:7" ht="16.5" customHeight="1">
      <c r="B78" s="63">
        <v>46079</v>
      </c>
      <c r="C78" s="64" t="s">
        <v>162</v>
      </c>
      <c r="D78" s="64" t="s">
        <v>40</v>
      </c>
      <c r="E78" s="64" t="s">
        <v>56</v>
      </c>
      <c r="F78" s="65">
        <v>23.49</v>
      </c>
      <c r="G78" s="66" t="str">
        <f>IF($D78="","",IF(COUNTIF('Config'!$E$8:$E$15,$D78)&gt;0,"Entrada",IF(COUNTIF('Config'!$G$8:$G$23,$D78)&gt;0,"Saída","Verificar")))</f>
        <v>Saída</v>
      </c>
    </row>
    <row r="79" spans="2:7" ht="16.5" customHeight="1">
      <c r="B79" s="63">
        <v>46081</v>
      </c>
      <c r="C79" s="64" t="s">
        <v>177</v>
      </c>
      <c r="D79" s="64" t="s">
        <v>31</v>
      </c>
      <c r="E79" s="64" t="s">
        <v>59</v>
      </c>
      <c r="F79" s="65">
        <v>50.78</v>
      </c>
      <c r="G79" s="66" t="str">
        <f>IF($D79="","",IF(COUNTIF('Config'!$E$8:$E$15,$D79)&gt;0,"Entrada",IF(COUNTIF('Config'!$G$8:$G$23,$D79)&gt;0,"Saída","Verificar")))</f>
        <v>Entrada</v>
      </c>
    </row>
    <row r="80" spans="2:7" ht="16.5" customHeight="1">
      <c r="B80" s="63">
        <v>46084</v>
      </c>
      <c r="C80" s="64" t="s">
        <v>150</v>
      </c>
      <c r="D80" s="64" t="s">
        <v>46</v>
      </c>
      <c r="E80" s="64" t="s">
        <v>60</v>
      </c>
      <c r="F80" s="65">
        <v>119.9</v>
      </c>
      <c r="G80" s="66" t="str">
        <f>IF($D80="","",IF(COUNTIF('Config'!$E$8:$E$15,$D80)&gt;0,"Entrada",IF(COUNTIF('Config'!$G$8:$G$23,$D80)&gt;0,"Saída","Verificar")))</f>
        <v>Saída</v>
      </c>
    </row>
    <row r="81" spans="2:8" ht="16.5" customHeight="1">
      <c r="B81" s="63">
        <v>46084</v>
      </c>
      <c r="C81" s="64" t="s">
        <v>151</v>
      </c>
      <c r="D81" s="64" t="s">
        <v>39</v>
      </c>
      <c r="E81" s="64" t="s">
        <v>56</v>
      </c>
      <c r="F81" s="65">
        <v>189.57</v>
      </c>
      <c r="G81" s="66" t="str">
        <f>IF($D81="","",IF(COUNTIF('Config'!$E$8:$E$15,$D81)&gt;0,"Entrada",IF(COUNTIF('Config'!$G$8:$G$23,$D81)&gt;0,"Saída","Verificar")))</f>
        <v>Saída</v>
      </c>
    </row>
    <row r="82" spans="2:8" ht="16.5" customHeight="1">
      <c r="B82" s="63">
        <v>46085</v>
      </c>
      <c r="C82" s="64" t="s">
        <v>152</v>
      </c>
      <c r="D82" s="64" t="s">
        <v>40</v>
      </c>
      <c r="E82" s="64" t="s">
        <v>56</v>
      </c>
      <c r="F82" s="65">
        <v>207.11</v>
      </c>
      <c r="G82" s="66" t="str">
        <f>IF($D82="","",IF(COUNTIF('Config'!$E$8:$E$15,$D82)&gt;0,"Entrada",IF(COUNTIF('Config'!$G$8:$G$23,$D82)&gt;0,"Saída","Verificar")))</f>
        <v>Saída</v>
      </c>
    </row>
    <row r="83" spans="2:8" ht="16.5" customHeight="1">
      <c r="B83" s="63">
        <v>46086</v>
      </c>
      <c r="C83" s="64" t="s">
        <v>153</v>
      </c>
      <c r="D83" s="64" t="s">
        <v>28</v>
      </c>
      <c r="E83" s="64" t="s">
        <v>59</v>
      </c>
      <c r="F83" s="65">
        <v>4500</v>
      </c>
      <c r="G83" s="66" t="str">
        <f>IF($D83="","",IF(COUNTIF('Config'!$E$8:$E$15,$D83)&gt;0,"Entrada",IF(COUNTIF('Config'!$G$8:$G$23,$D83)&gt;0,"Saída","Verificar")))</f>
        <v>Entrada</v>
      </c>
    </row>
    <row r="84" spans="2:8" ht="16.5" customHeight="1">
      <c r="B84" s="63">
        <v>46087</v>
      </c>
      <c r="C84" s="64" t="s">
        <v>154</v>
      </c>
      <c r="D84" s="64" t="s">
        <v>50</v>
      </c>
      <c r="E84" s="64" t="s">
        <v>54</v>
      </c>
      <c r="F84" s="65">
        <v>300</v>
      </c>
      <c r="G84" s="66" t="str">
        <f>IF($D84="","",IF(COUNTIF('Config'!$E$8:$E$15,$D84)&gt;0,"Entrada",IF(COUNTIF('Config'!$G$8:$G$23,$D84)&gt;0,"Saída","Verificar")))</f>
        <v>Saída</v>
      </c>
      <c r="H84" s="64" t="s">
        <v>155</v>
      </c>
    </row>
    <row r="85" spans="2:8" ht="16.5" customHeight="1">
      <c r="B85" s="63">
        <v>46087</v>
      </c>
      <c r="C85" s="64" t="s">
        <v>156</v>
      </c>
      <c r="D85" s="64" t="s">
        <v>50</v>
      </c>
      <c r="E85" s="64" t="s">
        <v>54</v>
      </c>
      <c r="F85" s="65">
        <v>150</v>
      </c>
      <c r="G85" s="66" t="str">
        <f>IF($D85="","",IF(COUNTIF('Config'!$E$8:$E$15,$D85)&gt;0,"Entrada",IF(COUNTIF('Config'!$G$8:$G$23,$D85)&gt;0,"Saída","Verificar")))</f>
        <v>Saída</v>
      </c>
      <c r="H85" s="64" t="s">
        <v>157</v>
      </c>
    </row>
    <row r="86" spans="2:8" ht="16.5" customHeight="1">
      <c r="B86" s="63">
        <v>46087</v>
      </c>
      <c r="C86" s="64" t="s">
        <v>158</v>
      </c>
      <c r="D86" s="64" t="s">
        <v>45</v>
      </c>
      <c r="E86" s="64" t="s">
        <v>56</v>
      </c>
      <c r="F86" s="65">
        <v>9.9</v>
      </c>
      <c r="G86" s="66" t="str">
        <f>IF($D86="","",IF(COUNTIF('Config'!$E$8:$E$15,$D86)&gt;0,"Entrada",IF(COUNTIF('Config'!$G$8:$G$23,$D86)&gt;0,"Saída","Verificar")))</f>
        <v>Saída</v>
      </c>
    </row>
    <row r="87" spans="2:8" ht="16.5" customHeight="1">
      <c r="B87" s="63">
        <v>46087</v>
      </c>
      <c r="C87" s="64" t="s">
        <v>159</v>
      </c>
      <c r="D87" s="64" t="s">
        <v>45</v>
      </c>
      <c r="E87" s="64" t="s">
        <v>56</v>
      </c>
      <c r="F87" s="65">
        <v>55.9</v>
      </c>
      <c r="G87" s="66" t="str">
        <f>IF($D87="","",IF(COUNTIF('Config'!$E$8:$E$15,$D87)&gt;0,"Entrada",IF(COUNTIF('Config'!$G$8:$G$23,$D87)&gt;0,"Saída","Verificar")))</f>
        <v>Saída</v>
      </c>
    </row>
    <row r="88" spans="2:8" ht="16.5" customHeight="1">
      <c r="B88" s="63">
        <v>46087</v>
      </c>
      <c r="C88" s="64" t="s">
        <v>160</v>
      </c>
      <c r="D88" s="64" t="s">
        <v>39</v>
      </c>
      <c r="E88" s="64" t="s">
        <v>54</v>
      </c>
      <c r="F88" s="65">
        <v>51.57</v>
      </c>
      <c r="G88" s="66" t="str">
        <f>IF($D88="","",IF(COUNTIF('Config'!$E$8:$E$15,$D88)&gt;0,"Entrada",IF(COUNTIF('Config'!$G$8:$G$23,$D88)&gt;0,"Saída","Verificar")))</f>
        <v>Saída</v>
      </c>
    </row>
    <row r="89" spans="2:8" ht="16.5" customHeight="1">
      <c r="B89" s="63">
        <v>46087</v>
      </c>
      <c r="C89" s="64" t="s">
        <v>161</v>
      </c>
      <c r="D89" s="64" t="s">
        <v>45</v>
      </c>
      <c r="E89" s="64" t="s">
        <v>56</v>
      </c>
      <c r="F89" s="65">
        <v>21.9</v>
      </c>
      <c r="G89" s="66" t="str">
        <f>IF($D89="","",IF(COUNTIF('Config'!$E$8:$E$15,$D89)&gt;0,"Entrada",IF(COUNTIF('Config'!$G$8:$G$23,$D89)&gt;0,"Saída","Verificar")))</f>
        <v>Saída</v>
      </c>
    </row>
    <row r="90" spans="2:8" ht="16.5" customHeight="1">
      <c r="B90" s="63">
        <v>46088</v>
      </c>
      <c r="C90" s="64" t="s">
        <v>162</v>
      </c>
      <c r="D90" s="64" t="s">
        <v>40</v>
      </c>
      <c r="E90" s="64" t="s">
        <v>56</v>
      </c>
      <c r="F90" s="65">
        <v>28.28</v>
      </c>
      <c r="G90" s="66" t="str">
        <f>IF($D90="","",IF(COUNTIF('Config'!$E$8:$E$15,$D90)&gt;0,"Entrada",IF(COUNTIF('Config'!$G$8:$G$23,$D90)&gt;0,"Saída","Verificar")))</f>
        <v>Saída</v>
      </c>
    </row>
    <row r="91" spans="2:8" ht="16.5" customHeight="1">
      <c r="B91" s="63">
        <v>46089</v>
      </c>
      <c r="C91" s="64" t="s">
        <v>163</v>
      </c>
      <c r="D91" s="64" t="s">
        <v>38</v>
      </c>
      <c r="E91" s="64" t="s">
        <v>60</v>
      </c>
      <c r="F91" s="65">
        <v>119.9</v>
      </c>
      <c r="G91" s="66" t="str">
        <f>IF($D91="","",IF(COUNTIF('Config'!$E$8:$E$15,$D91)&gt;0,"Entrada",IF(COUNTIF('Config'!$G$8:$G$23,$D91)&gt;0,"Saída","Verificar")))</f>
        <v>Saída</v>
      </c>
    </row>
    <row r="92" spans="2:8" ht="16.5" customHeight="1">
      <c r="B92" s="63">
        <v>46089</v>
      </c>
      <c r="C92" s="64" t="s">
        <v>164</v>
      </c>
      <c r="D92" s="64" t="s">
        <v>43</v>
      </c>
      <c r="E92" s="64" t="s">
        <v>56</v>
      </c>
      <c r="F92" s="65">
        <v>73.23999999999999</v>
      </c>
      <c r="G92" s="66" t="str">
        <f>IF($D92="","",IF(COUNTIF('Config'!$E$8:$E$15,$D92)&gt;0,"Entrada",IF(COUNTIF('Config'!$G$8:$G$23,$D92)&gt;0,"Saída","Verificar")))</f>
        <v>Saída</v>
      </c>
    </row>
    <row r="93" spans="2:8" ht="16.5" customHeight="1">
      <c r="B93" s="63">
        <v>46090</v>
      </c>
      <c r="C93" s="64" t="s">
        <v>165</v>
      </c>
      <c r="D93" s="64" t="s">
        <v>39</v>
      </c>
      <c r="E93" s="64" t="s">
        <v>55</v>
      </c>
      <c r="F93" s="65">
        <v>54.9</v>
      </c>
      <c r="G93" s="66" t="str">
        <f>IF($D93="","",IF(COUNTIF('Config'!$E$8:$E$15,$D93)&gt;0,"Entrada",IF(COUNTIF('Config'!$G$8:$G$23,$D93)&gt;0,"Saída","Verificar")))</f>
        <v>Saída</v>
      </c>
    </row>
    <row r="94" spans="2:8" ht="16.5" customHeight="1">
      <c r="B94" s="63">
        <v>46091</v>
      </c>
      <c r="C94" s="64" t="s">
        <v>166</v>
      </c>
      <c r="D94" s="64" t="s">
        <v>37</v>
      </c>
      <c r="E94" s="64" t="s">
        <v>58</v>
      </c>
      <c r="F94" s="65">
        <v>950</v>
      </c>
      <c r="G94" s="66" t="str">
        <f>IF($D94="","",IF(COUNTIF('Config'!$E$8:$E$15,$D94)&gt;0,"Entrada",IF(COUNTIF('Config'!$G$8:$G$23,$D94)&gt;0,"Saída","Verificar")))</f>
        <v>Saída</v>
      </c>
    </row>
    <row r="95" spans="2:8" ht="16.5" customHeight="1">
      <c r="B95" s="63">
        <v>46091</v>
      </c>
      <c r="C95" s="64" t="s">
        <v>167</v>
      </c>
      <c r="D95" s="64" t="s">
        <v>37</v>
      </c>
      <c r="E95" s="64" t="s">
        <v>58</v>
      </c>
      <c r="F95" s="65">
        <v>150</v>
      </c>
      <c r="G95" s="66" t="str">
        <f>IF($D95="","",IF(COUNTIF('Config'!$E$8:$E$15,$D95)&gt;0,"Entrada",IF(COUNTIF('Config'!$G$8:$G$23,$D95)&gt;0,"Saída","Verificar")))</f>
        <v>Saída</v>
      </c>
    </row>
    <row r="96" spans="2:8" ht="16.5" customHeight="1">
      <c r="B96" s="63">
        <v>46091</v>
      </c>
      <c r="C96" s="64" t="s">
        <v>168</v>
      </c>
      <c r="D96" s="64" t="s">
        <v>41</v>
      </c>
      <c r="E96" s="64" t="s">
        <v>60</v>
      </c>
      <c r="F96" s="65">
        <v>180</v>
      </c>
      <c r="G96" s="66" t="str">
        <f>IF($D96="","",IF(COUNTIF('Config'!$E$8:$E$15,$D96)&gt;0,"Entrada",IF(COUNTIF('Config'!$G$8:$G$23,$D96)&gt;0,"Saída","Verificar")))</f>
        <v>Saída</v>
      </c>
    </row>
    <row r="97" spans="2:7" ht="16.5" customHeight="1">
      <c r="B97" s="63">
        <v>46091</v>
      </c>
      <c r="C97" s="64" t="s">
        <v>151</v>
      </c>
      <c r="D97" s="64" t="s">
        <v>39</v>
      </c>
      <c r="E97" s="64" t="s">
        <v>56</v>
      </c>
      <c r="F97" s="65">
        <v>204.27</v>
      </c>
      <c r="G97" s="66" t="str">
        <f>IF($D97="","",IF(COUNTIF('Config'!$E$8:$E$15,$D97)&gt;0,"Entrada",IF(COUNTIF('Config'!$G$8:$G$23,$D97)&gt;0,"Saída","Verificar")))</f>
        <v>Saída</v>
      </c>
    </row>
    <row r="98" spans="2:7" ht="16.5" customHeight="1">
      <c r="B98" s="63">
        <v>46093</v>
      </c>
      <c r="C98" s="64" t="s">
        <v>169</v>
      </c>
      <c r="D98" s="64" t="s">
        <v>38</v>
      </c>
      <c r="E98" s="64" t="s">
        <v>60</v>
      </c>
      <c r="F98" s="65">
        <v>74.59999999999999</v>
      </c>
      <c r="G98" s="66" t="str">
        <f>IF($D98="","",IF(COUNTIF('Config'!$E$8:$E$15,$D98)&gt;0,"Entrada",IF(COUNTIF('Config'!$G$8:$G$23,$D98)&gt;0,"Saída","Verificar")))</f>
        <v>Saída</v>
      </c>
    </row>
    <row r="99" spans="2:7" ht="16.5" customHeight="1">
      <c r="B99" s="63">
        <v>46094</v>
      </c>
      <c r="C99" s="64" t="s">
        <v>170</v>
      </c>
      <c r="D99" s="64" t="s">
        <v>43</v>
      </c>
      <c r="E99" s="64" t="s">
        <v>55</v>
      </c>
      <c r="F99" s="65">
        <v>50.13</v>
      </c>
      <c r="G99" s="66" t="str">
        <f>IF($D99="","",IF(COUNTIF('Config'!$E$8:$E$15,$D99)&gt;0,"Entrada",IF(COUNTIF('Config'!$G$8:$G$23,$D99)&gt;0,"Saída","Verificar")))</f>
        <v>Saída</v>
      </c>
    </row>
    <row r="100" spans="2:7" ht="16.5" customHeight="1">
      <c r="B100" s="63">
        <v>46095</v>
      </c>
      <c r="C100" s="64" t="s">
        <v>160</v>
      </c>
      <c r="D100" s="64" t="s">
        <v>39</v>
      </c>
      <c r="E100" s="64" t="s">
        <v>54</v>
      </c>
      <c r="F100" s="65">
        <v>55.77</v>
      </c>
      <c r="G100" s="66" t="str">
        <f>IF($D100="","",IF(COUNTIF('Config'!$E$8:$E$15,$D100)&gt;0,"Entrada",IF(COUNTIF('Config'!$G$8:$G$23,$D100)&gt;0,"Saída","Verificar")))</f>
        <v>Saída</v>
      </c>
    </row>
    <row r="101" spans="2:7" ht="16.5" customHeight="1">
      <c r="B101" s="63">
        <v>46096</v>
      </c>
      <c r="C101" s="64" t="s">
        <v>171</v>
      </c>
      <c r="D101" s="64" t="s">
        <v>38</v>
      </c>
      <c r="E101" s="64" t="s">
        <v>60</v>
      </c>
      <c r="F101" s="65">
        <v>151.94</v>
      </c>
      <c r="G101" s="66" t="str">
        <f>IF($D101="","",IF(COUNTIF('Config'!$E$8:$E$15,$D101)&gt;0,"Entrada",IF(COUNTIF('Config'!$G$8:$G$23,$D101)&gt;0,"Saída","Verificar")))</f>
        <v>Saída</v>
      </c>
    </row>
    <row r="102" spans="2:7" ht="16.5" customHeight="1">
      <c r="B102" s="63">
        <v>46096</v>
      </c>
      <c r="C102" s="64" t="s">
        <v>172</v>
      </c>
      <c r="D102" s="64" t="s">
        <v>42</v>
      </c>
      <c r="E102" s="64" t="s">
        <v>56</v>
      </c>
      <c r="F102" s="65">
        <v>149</v>
      </c>
      <c r="G102" s="66" t="str">
        <f>IF($D102="","",IF(COUNTIF('Config'!$E$8:$E$15,$D102)&gt;0,"Entrada",IF(COUNTIF('Config'!$G$8:$G$23,$D102)&gt;0,"Saída","Verificar")))</f>
        <v>Saída</v>
      </c>
    </row>
    <row r="103" spans="2:7" ht="16.5" customHeight="1">
      <c r="B103" s="63">
        <v>46097</v>
      </c>
      <c r="C103" s="64" t="s">
        <v>162</v>
      </c>
      <c r="D103" s="64" t="s">
        <v>40</v>
      </c>
      <c r="E103" s="64" t="s">
        <v>56</v>
      </c>
      <c r="F103" s="65">
        <v>24.48</v>
      </c>
      <c r="G103" s="66" t="str">
        <f>IF($D103="","",IF(COUNTIF('Config'!$E$8:$E$15,$D103)&gt;0,"Entrada",IF(COUNTIF('Config'!$G$8:$G$23,$D103)&gt;0,"Saída","Verificar")))</f>
        <v>Saída</v>
      </c>
    </row>
    <row r="104" spans="2:7" ht="16.5" customHeight="1">
      <c r="B104" s="63">
        <v>46097</v>
      </c>
      <c r="C104" s="64" t="s">
        <v>181</v>
      </c>
      <c r="D104" s="64" t="s">
        <v>41</v>
      </c>
      <c r="E104" s="64" t="s">
        <v>54</v>
      </c>
      <c r="F104" s="65">
        <v>250</v>
      </c>
      <c r="G104" s="66" t="str">
        <f>IF($D104="","",IF(COUNTIF('Config'!$E$8:$E$15,$D104)&gt;0,"Entrada",IF(COUNTIF('Config'!$G$8:$G$23,$D104)&gt;0,"Saída","Verificar")))</f>
        <v>Saída</v>
      </c>
    </row>
    <row r="105" spans="2:7" ht="16.5" customHeight="1">
      <c r="B105" s="63">
        <v>46098</v>
      </c>
      <c r="C105" s="64" t="s">
        <v>151</v>
      </c>
      <c r="D105" s="64" t="s">
        <v>39</v>
      </c>
      <c r="E105" s="64" t="s">
        <v>56</v>
      </c>
      <c r="F105" s="65">
        <v>179.37</v>
      </c>
      <c r="G105" s="66" t="str">
        <f>IF($D105="","",IF(COUNTIF('Config'!$E$8:$E$15,$D105)&gt;0,"Entrada",IF(COUNTIF('Config'!$G$8:$G$23,$D105)&gt;0,"Saída","Verificar")))</f>
        <v>Saída</v>
      </c>
    </row>
    <row r="106" spans="2:7" ht="16.5" customHeight="1">
      <c r="B106" s="63">
        <v>46099</v>
      </c>
      <c r="C106" s="64" t="s">
        <v>173</v>
      </c>
      <c r="D106" s="64" t="s">
        <v>46</v>
      </c>
      <c r="E106" s="64" t="s">
        <v>54</v>
      </c>
      <c r="F106" s="65">
        <v>80.01000000000001</v>
      </c>
      <c r="G106" s="66" t="str">
        <f>IF($D106="","",IF(COUNTIF('Config'!$E$8:$E$15,$D106)&gt;0,"Entrada",IF(COUNTIF('Config'!$G$8:$G$23,$D106)&gt;0,"Saída","Verificar")))</f>
        <v>Saída</v>
      </c>
    </row>
    <row r="107" spans="2:7" ht="16.5" customHeight="1">
      <c r="B107" s="63">
        <v>46100</v>
      </c>
      <c r="C107" s="64" t="s">
        <v>165</v>
      </c>
      <c r="D107" s="64" t="s">
        <v>39</v>
      </c>
      <c r="E107" s="64" t="s">
        <v>55</v>
      </c>
      <c r="F107" s="65">
        <v>64.83</v>
      </c>
      <c r="G107" s="66" t="str">
        <f>IF($D107="","",IF(COUNTIF('Config'!$E$8:$E$15,$D107)&gt;0,"Entrada",IF(COUNTIF('Config'!$G$8:$G$23,$D107)&gt;0,"Saída","Verificar")))</f>
        <v>Saída</v>
      </c>
    </row>
    <row r="108" spans="2:7" ht="16.5" customHeight="1">
      <c r="B108" s="63">
        <v>46100</v>
      </c>
      <c r="C108" s="64" t="s">
        <v>174</v>
      </c>
      <c r="D108" s="64" t="s">
        <v>52</v>
      </c>
      <c r="E108" s="64" t="s">
        <v>57</v>
      </c>
      <c r="F108" s="65">
        <v>85.52</v>
      </c>
      <c r="G108" s="66" t="str">
        <f>IF($D108="","",IF(COUNTIF('Config'!$E$8:$E$15,$D108)&gt;0,"Entrada",IF(COUNTIF('Config'!$G$8:$G$23,$D108)&gt;0,"Saída","Verificar")))</f>
        <v>Saída</v>
      </c>
    </row>
    <row r="109" spans="2:7" ht="16.5" customHeight="1">
      <c r="B109" s="63">
        <v>46101</v>
      </c>
      <c r="C109" s="64" t="s">
        <v>164</v>
      </c>
      <c r="D109" s="64" t="s">
        <v>43</v>
      </c>
      <c r="E109" s="64" t="s">
        <v>56</v>
      </c>
      <c r="F109" s="65">
        <v>69.76000000000001</v>
      </c>
      <c r="G109" s="66" t="str">
        <f>IF($D109="","",IF(COUNTIF('Config'!$E$8:$E$15,$D109)&gt;0,"Entrada",IF(COUNTIF('Config'!$G$8:$G$23,$D109)&gt;0,"Saída","Verificar")))</f>
        <v>Saída</v>
      </c>
    </row>
    <row r="110" spans="2:7" ht="16.5" customHeight="1">
      <c r="B110" s="63">
        <v>46101</v>
      </c>
      <c r="C110" s="64" t="s">
        <v>182</v>
      </c>
      <c r="D110" s="64" t="s">
        <v>32</v>
      </c>
      <c r="E110" s="64" t="s">
        <v>54</v>
      </c>
      <c r="F110" s="65">
        <v>386.08</v>
      </c>
      <c r="G110" s="66" t="str">
        <f>IF($D110="","",IF(COUNTIF('Config'!$E$8:$E$15,$D110)&gt;0,"Entrada",IF(COUNTIF('Config'!$G$8:$G$23,$D110)&gt;0,"Saída","Verificar")))</f>
        <v>Entrada</v>
      </c>
    </row>
    <row r="111" spans="2:7" ht="16.5" customHeight="1">
      <c r="B111" s="63">
        <v>46102</v>
      </c>
      <c r="C111" s="64" t="s">
        <v>175</v>
      </c>
      <c r="D111" s="64" t="s">
        <v>41</v>
      </c>
      <c r="E111" s="64" t="s">
        <v>55</v>
      </c>
      <c r="F111" s="65">
        <v>61.19</v>
      </c>
      <c r="G111" s="66" t="str">
        <f>IF($D111="","",IF(COUNTIF('Config'!$E$8:$E$15,$D111)&gt;0,"Entrada",IF(COUNTIF('Config'!$G$8:$G$23,$D111)&gt;0,"Saída","Verificar")))</f>
        <v>Saída</v>
      </c>
    </row>
    <row r="112" spans="2:7" ht="16.5" customHeight="1">
      <c r="B112" s="63">
        <v>46106</v>
      </c>
      <c r="C112" s="64" t="s">
        <v>176</v>
      </c>
      <c r="D112" s="64" t="s">
        <v>48</v>
      </c>
      <c r="E112" s="64" t="s">
        <v>54</v>
      </c>
      <c r="F112" s="65">
        <v>50</v>
      </c>
      <c r="G112" s="66" t="str">
        <f>IF($D112="","",IF(COUNTIF('Config'!$E$8:$E$15,$D112)&gt;0,"Entrada",IF(COUNTIF('Config'!$G$8:$G$23,$D112)&gt;0,"Saída","Verificar")))</f>
        <v>Saída</v>
      </c>
    </row>
    <row r="113" spans="2:8" ht="16.5" customHeight="1">
      <c r="B113" s="63">
        <v>46107</v>
      </c>
      <c r="C113" s="64" t="s">
        <v>162</v>
      </c>
      <c r="D113" s="64" t="s">
        <v>40</v>
      </c>
      <c r="E113" s="64" t="s">
        <v>56</v>
      </c>
      <c r="F113" s="65">
        <v>25.34</v>
      </c>
      <c r="G113" s="66" t="str">
        <f>IF($D113="","",IF(COUNTIF('Config'!$E$8:$E$15,$D113)&gt;0,"Entrada",IF(COUNTIF('Config'!$G$8:$G$23,$D113)&gt;0,"Saída","Verificar")))</f>
        <v>Saída</v>
      </c>
    </row>
    <row r="114" spans="2:8" ht="16.5" customHeight="1">
      <c r="B114" s="63">
        <v>46109</v>
      </c>
      <c r="C114" s="64" t="s">
        <v>177</v>
      </c>
      <c r="D114" s="64" t="s">
        <v>31</v>
      </c>
      <c r="E114" s="64" t="s">
        <v>59</v>
      </c>
      <c r="F114" s="65">
        <v>58.6</v>
      </c>
      <c r="G114" s="66" t="str">
        <f>IF($D114="","",IF(COUNTIF('Config'!$E$8:$E$15,$D114)&gt;0,"Entrada",IF(COUNTIF('Config'!$G$8:$G$23,$D114)&gt;0,"Saída","Verificar")))</f>
        <v>Entrada</v>
      </c>
    </row>
    <row r="115" spans="2:8" ht="16.5" customHeight="1">
      <c r="B115" s="63">
        <v>46115</v>
      </c>
      <c r="C115" s="64" t="s">
        <v>150</v>
      </c>
      <c r="D115" s="64" t="s">
        <v>46</v>
      </c>
      <c r="E115" s="64" t="s">
        <v>60</v>
      </c>
      <c r="F115" s="65">
        <v>119.9</v>
      </c>
      <c r="G115" s="66" t="str">
        <f>IF($D115="","",IF(COUNTIF('Config'!$E$8:$E$15,$D115)&gt;0,"Entrada",IF(COUNTIF('Config'!$G$8:$G$23,$D115)&gt;0,"Saída","Verificar")))</f>
        <v>Saída</v>
      </c>
    </row>
    <row r="116" spans="2:8" ht="16.5" customHeight="1">
      <c r="B116" s="63">
        <v>46115</v>
      </c>
      <c r="C116" s="64" t="s">
        <v>151</v>
      </c>
      <c r="D116" s="64" t="s">
        <v>39</v>
      </c>
      <c r="E116" s="64" t="s">
        <v>56</v>
      </c>
      <c r="F116" s="65">
        <v>156.79</v>
      </c>
      <c r="G116" s="66" t="str">
        <f>IF($D116="","",IF(COUNTIF('Config'!$E$8:$E$15,$D116)&gt;0,"Entrada",IF(COUNTIF('Config'!$G$8:$G$23,$D116)&gt;0,"Saída","Verificar")))</f>
        <v>Saída</v>
      </c>
    </row>
    <row r="117" spans="2:8" ht="16.5" customHeight="1">
      <c r="B117" s="63">
        <v>46116</v>
      </c>
      <c r="C117" s="64" t="s">
        <v>152</v>
      </c>
      <c r="D117" s="64" t="s">
        <v>40</v>
      </c>
      <c r="E117" s="64" t="s">
        <v>56</v>
      </c>
      <c r="F117" s="65">
        <v>197.76</v>
      </c>
      <c r="G117" s="66" t="str">
        <f>IF($D117="","",IF(COUNTIF('Config'!$E$8:$E$15,$D117)&gt;0,"Entrada",IF(COUNTIF('Config'!$G$8:$G$23,$D117)&gt;0,"Saída","Verificar")))</f>
        <v>Saída</v>
      </c>
    </row>
    <row r="118" spans="2:8" ht="16.5" customHeight="1">
      <c r="B118" s="63">
        <v>46117</v>
      </c>
      <c r="C118" s="64" t="s">
        <v>153</v>
      </c>
      <c r="D118" s="64" t="s">
        <v>28</v>
      </c>
      <c r="E118" s="64" t="s">
        <v>59</v>
      </c>
      <c r="F118" s="65">
        <v>4500</v>
      </c>
      <c r="G118" s="66" t="str">
        <f>IF($D118="","",IF(COUNTIF('Config'!$E$8:$E$15,$D118)&gt;0,"Entrada",IF(COUNTIF('Config'!$G$8:$G$23,$D118)&gt;0,"Saída","Verificar")))</f>
        <v>Entrada</v>
      </c>
    </row>
    <row r="119" spans="2:8" ht="16.5" customHeight="1">
      <c r="B119" s="63">
        <v>46118</v>
      </c>
      <c r="C119" s="64" t="s">
        <v>154</v>
      </c>
      <c r="D119" s="64" t="s">
        <v>50</v>
      </c>
      <c r="E119" s="64" t="s">
        <v>54</v>
      </c>
      <c r="F119" s="65">
        <v>300</v>
      </c>
      <c r="G119" s="66" t="str">
        <f>IF($D119="","",IF(COUNTIF('Config'!$E$8:$E$15,$D119)&gt;0,"Entrada",IF(COUNTIF('Config'!$G$8:$G$23,$D119)&gt;0,"Saída","Verificar")))</f>
        <v>Saída</v>
      </c>
      <c r="H119" s="64" t="s">
        <v>155</v>
      </c>
    </row>
    <row r="120" spans="2:8" ht="16.5" customHeight="1">
      <c r="B120" s="63">
        <v>46118</v>
      </c>
      <c r="C120" s="64" t="s">
        <v>156</v>
      </c>
      <c r="D120" s="64" t="s">
        <v>50</v>
      </c>
      <c r="E120" s="64" t="s">
        <v>54</v>
      </c>
      <c r="F120" s="65">
        <v>150</v>
      </c>
      <c r="G120" s="66" t="str">
        <f>IF($D120="","",IF(COUNTIF('Config'!$E$8:$E$15,$D120)&gt;0,"Entrada",IF(COUNTIF('Config'!$G$8:$G$23,$D120)&gt;0,"Saída","Verificar")))</f>
        <v>Saída</v>
      </c>
      <c r="H120" s="64" t="s">
        <v>157</v>
      </c>
    </row>
    <row r="121" spans="2:8" ht="16.5" customHeight="1">
      <c r="B121" s="63">
        <v>46118</v>
      </c>
      <c r="C121" s="64" t="s">
        <v>183</v>
      </c>
      <c r="D121" s="64" t="s">
        <v>50</v>
      </c>
      <c r="E121" s="64" t="s">
        <v>54</v>
      </c>
      <c r="F121" s="65">
        <v>150</v>
      </c>
      <c r="G121" s="66" t="str">
        <f>IF($D121="","",IF(COUNTIF('Config'!$E$8:$E$15,$D121)&gt;0,"Entrada",IF(COUNTIF('Config'!$G$8:$G$23,$D121)&gt;0,"Saída","Verificar")))</f>
        <v>Saída</v>
      </c>
      <c r="H121" s="64" t="s">
        <v>184</v>
      </c>
    </row>
    <row r="122" spans="2:8" ht="16.5" customHeight="1">
      <c r="B122" s="63">
        <v>46118</v>
      </c>
      <c r="C122" s="64" t="s">
        <v>158</v>
      </c>
      <c r="D122" s="64" t="s">
        <v>45</v>
      </c>
      <c r="E122" s="64" t="s">
        <v>56</v>
      </c>
      <c r="F122" s="65">
        <v>9.9</v>
      </c>
      <c r="G122" s="66" t="str">
        <f>IF($D122="","",IF(COUNTIF('Config'!$E$8:$E$15,$D122)&gt;0,"Entrada",IF(COUNTIF('Config'!$G$8:$G$23,$D122)&gt;0,"Saída","Verificar")))</f>
        <v>Saída</v>
      </c>
    </row>
    <row r="123" spans="2:8" ht="16.5" customHeight="1">
      <c r="B123" s="63">
        <v>46118</v>
      </c>
      <c r="C123" s="64" t="s">
        <v>159</v>
      </c>
      <c r="D123" s="64" t="s">
        <v>45</v>
      </c>
      <c r="E123" s="64" t="s">
        <v>56</v>
      </c>
      <c r="F123" s="65">
        <v>55.9</v>
      </c>
      <c r="G123" s="66" t="str">
        <f>IF($D123="","",IF(COUNTIF('Config'!$E$8:$E$15,$D123)&gt;0,"Entrada",IF(COUNTIF('Config'!$G$8:$G$23,$D123)&gt;0,"Saída","Verificar")))</f>
        <v>Saída</v>
      </c>
    </row>
    <row r="124" spans="2:8" ht="16.5" customHeight="1">
      <c r="B124" s="63">
        <v>46118</v>
      </c>
      <c r="C124" s="64" t="s">
        <v>160</v>
      </c>
      <c r="D124" s="64" t="s">
        <v>39</v>
      </c>
      <c r="E124" s="64" t="s">
        <v>54</v>
      </c>
      <c r="F124" s="65">
        <v>49.24</v>
      </c>
      <c r="G124" s="66" t="str">
        <f>IF($D124="","",IF(COUNTIF('Config'!$E$8:$E$15,$D124)&gt;0,"Entrada",IF(COUNTIF('Config'!$G$8:$G$23,$D124)&gt;0,"Saída","Verificar")))</f>
        <v>Saída</v>
      </c>
    </row>
    <row r="125" spans="2:8" ht="16.5" customHeight="1">
      <c r="B125" s="63">
        <v>46118</v>
      </c>
      <c r="C125" s="64" t="s">
        <v>161</v>
      </c>
      <c r="D125" s="64" t="s">
        <v>45</v>
      </c>
      <c r="E125" s="64" t="s">
        <v>56</v>
      </c>
      <c r="F125" s="65">
        <v>21.9</v>
      </c>
      <c r="G125" s="66" t="str">
        <f>IF($D125="","",IF(COUNTIF('Config'!$E$8:$E$15,$D125)&gt;0,"Entrada",IF(COUNTIF('Config'!$G$8:$G$23,$D125)&gt;0,"Saída","Verificar")))</f>
        <v>Saída</v>
      </c>
    </row>
    <row r="126" spans="2:8" ht="16.5" customHeight="1">
      <c r="B126" s="63">
        <v>46119</v>
      </c>
      <c r="C126" s="64" t="s">
        <v>162</v>
      </c>
      <c r="D126" s="64" t="s">
        <v>40</v>
      </c>
      <c r="E126" s="64" t="s">
        <v>56</v>
      </c>
      <c r="F126" s="65">
        <v>36.48</v>
      </c>
      <c r="G126" s="66" t="str">
        <f>IF($D126="","",IF(COUNTIF('Config'!$E$8:$E$15,$D126)&gt;0,"Entrada",IF(COUNTIF('Config'!$G$8:$G$23,$D126)&gt;0,"Saída","Verificar")))</f>
        <v>Saída</v>
      </c>
    </row>
    <row r="127" spans="2:8" ht="16.5" customHeight="1">
      <c r="B127" s="63">
        <v>46120</v>
      </c>
      <c r="C127" s="64" t="s">
        <v>163</v>
      </c>
      <c r="D127" s="64" t="s">
        <v>38</v>
      </c>
      <c r="E127" s="64" t="s">
        <v>60</v>
      </c>
      <c r="F127" s="65">
        <v>119.9</v>
      </c>
      <c r="G127" s="66" t="str">
        <f>IF($D127="","",IF(COUNTIF('Config'!$E$8:$E$15,$D127)&gt;0,"Entrada",IF(COUNTIF('Config'!$G$8:$G$23,$D127)&gt;0,"Saída","Verificar")))</f>
        <v>Saída</v>
      </c>
    </row>
    <row r="128" spans="2:8" ht="16.5" customHeight="1">
      <c r="B128" s="63">
        <v>46120</v>
      </c>
      <c r="C128" s="64" t="s">
        <v>164</v>
      </c>
      <c r="D128" s="64" t="s">
        <v>43</v>
      </c>
      <c r="E128" s="64" t="s">
        <v>56</v>
      </c>
      <c r="F128" s="65">
        <v>90.37</v>
      </c>
      <c r="G128" s="66" t="str">
        <f>IF($D128="","",IF(COUNTIF('Config'!$E$8:$E$15,$D128)&gt;0,"Entrada",IF(COUNTIF('Config'!$G$8:$G$23,$D128)&gt;0,"Saída","Verificar")))</f>
        <v>Saída</v>
      </c>
    </row>
    <row r="129" spans="2:7" ht="16.5" customHeight="1">
      <c r="B129" s="63">
        <v>46121</v>
      </c>
      <c r="C129" s="64" t="s">
        <v>165</v>
      </c>
      <c r="D129" s="64" t="s">
        <v>39</v>
      </c>
      <c r="E129" s="64" t="s">
        <v>55</v>
      </c>
      <c r="F129" s="65">
        <v>51.22</v>
      </c>
      <c r="G129" s="66" t="str">
        <f>IF($D129="","",IF(COUNTIF('Config'!$E$8:$E$15,$D129)&gt;0,"Entrada",IF(COUNTIF('Config'!$G$8:$G$23,$D129)&gt;0,"Saída","Verificar")))</f>
        <v>Saída</v>
      </c>
    </row>
    <row r="130" spans="2:7" ht="16.5" customHeight="1">
      <c r="B130" s="63">
        <v>46122</v>
      </c>
      <c r="C130" s="64" t="s">
        <v>166</v>
      </c>
      <c r="D130" s="64" t="s">
        <v>37</v>
      </c>
      <c r="E130" s="64" t="s">
        <v>58</v>
      </c>
      <c r="F130" s="65">
        <v>950</v>
      </c>
      <c r="G130" s="66" t="str">
        <f>IF($D130="","",IF(COUNTIF('Config'!$E$8:$E$15,$D130)&gt;0,"Entrada",IF(COUNTIF('Config'!$G$8:$G$23,$D130)&gt;0,"Saída","Verificar")))</f>
        <v>Saída</v>
      </c>
    </row>
    <row r="131" spans="2:7" ht="16.5" customHeight="1">
      <c r="B131" s="63">
        <v>46122</v>
      </c>
      <c r="C131" s="64" t="s">
        <v>167</v>
      </c>
      <c r="D131" s="64" t="s">
        <v>37</v>
      </c>
      <c r="E131" s="64" t="s">
        <v>58</v>
      </c>
      <c r="F131" s="65">
        <v>150</v>
      </c>
      <c r="G131" s="66" t="str">
        <f>IF($D131="","",IF(COUNTIF('Config'!$E$8:$E$15,$D131)&gt;0,"Entrada",IF(COUNTIF('Config'!$G$8:$G$23,$D131)&gt;0,"Saída","Verificar")))</f>
        <v>Saída</v>
      </c>
    </row>
    <row r="132" spans="2:7" ht="16.5" customHeight="1">
      <c r="B132" s="63">
        <v>46122</v>
      </c>
      <c r="C132" s="64" t="s">
        <v>168</v>
      </c>
      <c r="D132" s="64" t="s">
        <v>41</v>
      </c>
      <c r="E132" s="64" t="s">
        <v>60</v>
      </c>
      <c r="F132" s="65">
        <v>180</v>
      </c>
      <c r="G132" s="66" t="str">
        <f>IF($D132="","",IF(COUNTIF('Config'!$E$8:$E$15,$D132)&gt;0,"Entrada",IF(COUNTIF('Config'!$G$8:$G$23,$D132)&gt;0,"Saída","Verificar")))</f>
        <v>Saída</v>
      </c>
    </row>
    <row r="133" spans="2:7" ht="16.5" customHeight="1">
      <c r="B133" s="63">
        <v>46122</v>
      </c>
      <c r="C133" s="64" t="s">
        <v>151</v>
      </c>
      <c r="D133" s="64" t="s">
        <v>39</v>
      </c>
      <c r="E133" s="64" t="s">
        <v>56</v>
      </c>
      <c r="F133" s="65">
        <v>185.05</v>
      </c>
      <c r="G133" s="66" t="str">
        <f>IF($D133="","",IF(COUNTIF('Config'!$E$8:$E$15,$D133)&gt;0,"Entrada",IF(COUNTIF('Config'!$G$8:$G$23,$D133)&gt;0,"Saída","Verificar")))</f>
        <v>Saída</v>
      </c>
    </row>
    <row r="134" spans="2:7" ht="16.5" customHeight="1">
      <c r="B134" s="63">
        <v>46124</v>
      </c>
      <c r="C134" s="64" t="s">
        <v>169</v>
      </c>
      <c r="D134" s="64" t="s">
        <v>38</v>
      </c>
      <c r="E134" s="64" t="s">
        <v>60</v>
      </c>
      <c r="F134" s="65">
        <v>56.79</v>
      </c>
      <c r="G134" s="66" t="str">
        <f>IF($D134="","",IF(COUNTIF('Config'!$E$8:$E$15,$D134)&gt;0,"Entrada",IF(COUNTIF('Config'!$G$8:$G$23,$D134)&gt;0,"Saída","Verificar")))</f>
        <v>Saída</v>
      </c>
    </row>
    <row r="135" spans="2:7" ht="16.5" customHeight="1">
      <c r="B135" s="63">
        <v>46124</v>
      </c>
      <c r="C135" s="64" t="s">
        <v>185</v>
      </c>
      <c r="D135" s="64" t="s">
        <v>40</v>
      </c>
      <c r="E135" s="64" t="s">
        <v>56</v>
      </c>
      <c r="F135" s="65">
        <v>680</v>
      </c>
      <c r="G135" s="66" t="str">
        <f>IF($D135="","",IF(COUNTIF('Config'!$E$8:$E$15,$D135)&gt;0,"Entrada",IF(COUNTIF('Config'!$G$8:$G$23,$D135)&gt;0,"Saída","Verificar")))</f>
        <v>Saída</v>
      </c>
    </row>
    <row r="136" spans="2:7" ht="16.5" customHeight="1">
      <c r="B136" s="63">
        <v>46125</v>
      </c>
      <c r="C136" s="64" t="s">
        <v>170</v>
      </c>
      <c r="D136" s="64" t="s">
        <v>43</v>
      </c>
      <c r="E136" s="64" t="s">
        <v>55</v>
      </c>
      <c r="F136" s="65">
        <v>73.91</v>
      </c>
      <c r="G136" s="66" t="str">
        <f>IF($D136="","",IF(COUNTIF('Config'!$E$8:$E$15,$D136)&gt;0,"Entrada",IF(COUNTIF('Config'!$G$8:$G$23,$D136)&gt;0,"Saída","Verificar")))</f>
        <v>Saída</v>
      </c>
    </row>
    <row r="137" spans="2:7" ht="16.5" customHeight="1">
      <c r="B137" s="63">
        <v>46126</v>
      </c>
      <c r="C137" s="64" t="s">
        <v>160</v>
      </c>
      <c r="D137" s="64" t="s">
        <v>39</v>
      </c>
      <c r="E137" s="64" t="s">
        <v>54</v>
      </c>
      <c r="F137" s="65">
        <v>36.25</v>
      </c>
      <c r="G137" s="66" t="str">
        <f>IF($D137="","",IF(COUNTIF('Config'!$E$8:$E$15,$D137)&gt;0,"Entrada",IF(COUNTIF('Config'!$G$8:$G$23,$D137)&gt;0,"Saída","Verificar")))</f>
        <v>Saída</v>
      </c>
    </row>
    <row r="138" spans="2:7" ht="16.5" customHeight="1">
      <c r="B138" s="63">
        <v>46127</v>
      </c>
      <c r="C138" s="64" t="s">
        <v>171</v>
      </c>
      <c r="D138" s="64" t="s">
        <v>38</v>
      </c>
      <c r="E138" s="64" t="s">
        <v>60</v>
      </c>
      <c r="F138" s="65">
        <v>163.73</v>
      </c>
      <c r="G138" s="66" t="str">
        <f>IF($D138="","",IF(COUNTIF('Config'!$E$8:$E$15,$D138)&gt;0,"Entrada",IF(COUNTIF('Config'!$G$8:$G$23,$D138)&gt;0,"Saída","Verificar")))</f>
        <v>Saída</v>
      </c>
    </row>
    <row r="139" spans="2:7" ht="16.5" customHeight="1">
      <c r="B139" s="63">
        <v>46127</v>
      </c>
      <c r="C139" s="64" t="s">
        <v>172</v>
      </c>
      <c r="D139" s="64" t="s">
        <v>42</v>
      </c>
      <c r="E139" s="64" t="s">
        <v>56</v>
      </c>
      <c r="F139" s="65">
        <v>149</v>
      </c>
      <c r="G139" s="66" t="str">
        <f>IF($D139="","",IF(COUNTIF('Config'!$E$8:$E$15,$D139)&gt;0,"Entrada",IF(COUNTIF('Config'!$G$8:$G$23,$D139)&gt;0,"Saída","Verificar")))</f>
        <v>Saída</v>
      </c>
    </row>
    <row r="140" spans="2:7" ht="16.5" customHeight="1">
      <c r="B140" s="63">
        <v>46128</v>
      </c>
      <c r="C140" s="64" t="s">
        <v>162</v>
      </c>
      <c r="D140" s="64" t="s">
        <v>40</v>
      </c>
      <c r="E140" s="64" t="s">
        <v>56</v>
      </c>
      <c r="F140" s="65">
        <v>37.36</v>
      </c>
      <c r="G140" s="66" t="str">
        <f>IF($D140="","",IF(COUNTIF('Config'!$E$8:$E$15,$D140)&gt;0,"Entrada",IF(COUNTIF('Config'!$G$8:$G$23,$D140)&gt;0,"Saída","Verificar")))</f>
        <v>Saída</v>
      </c>
    </row>
    <row r="141" spans="2:7" ht="16.5" customHeight="1">
      <c r="B141" s="63">
        <v>46129</v>
      </c>
      <c r="C141" s="64" t="s">
        <v>151</v>
      </c>
      <c r="D141" s="64" t="s">
        <v>39</v>
      </c>
      <c r="E141" s="64" t="s">
        <v>56</v>
      </c>
      <c r="F141" s="65">
        <v>167.97</v>
      </c>
      <c r="G141" s="66" t="str">
        <f>IF($D141="","",IF(COUNTIF('Config'!$E$8:$E$15,$D141)&gt;0,"Entrada",IF(COUNTIF('Config'!$G$8:$G$23,$D141)&gt;0,"Saída","Verificar")))</f>
        <v>Saída</v>
      </c>
    </row>
    <row r="142" spans="2:7" ht="16.5" customHeight="1">
      <c r="B142" s="63">
        <v>46130</v>
      </c>
      <c r="C142" s="64" t="s">
        <v>173</v>
      </c>
      <c r="D142" s="64" t="s">
        <v>46</v>
      </c>
      <c r="E142" s="64" t="s">
        <v>54</v>
      </c>
      <c r="F142" s="65">
        <v>66.38</v>
      </c>
      <c r="G142" s="66" t="str">
        <f>IF($D142="","",IF(COUNTIF('Config'!$E$8:$E$15,$D142)&gt;0,"Entrada",IF(COUNTIF('Config'!$G$8:$G$23,$D142)&gt;0,"Saída","Verificar")))</f>
        <v>Saída</v>
      </c>
    </row>
    <row r="143" spans="2:7" ht="16.5" customHeight="1">
      <c r="B143" s="63">
        <v>46131</v>
      </c>
      <c r="C143" s="64" t="s">
        <v>165</v>
      </c>
      <c r="D143" s="64" t="s">
        <v>39</v>
      </c>
      <c r="E143" s="64" t="s">
        <v>55</v>
      </c>
      <c r="F143" s="65">
        <v>66.91</v>
      </c>
      <c r="G143" s="66" t="str">
        <f>IF($D143="","",IF(COUNTIF('Config'!$E$8:$E$15,$D143)&gt;0,"Entrada",IF(COUNTIF('Config'!$G$8:$G$23,$D143)&gt;0,"Saída","Verificar")))</f>
        <v>Saída</v>
      </c>
    </row>
    <row r="144" spans="2:7" ht="16.5" customHeight="1">
      <c r="B144" s="63">
        <v>46131</v>
      </c>
      <c r="C144" s="64" t="s">
        <v>174</v>
      </c>
      <c r="D144" s="64" t="s">
        <v>52</v>
      </c>
      <c r="E144" s="64" t="s">
        <v>57</v>
      </c>
      <c r="F144" s="65">
        <v>62.25</v>
      </c>
      <c r="G144" s="66" t="str">
        <f>IF($D144="","",IF(COUNTIF('Config'!$E$8:$E$15,$D144)&gt;0,"Entrada",IF(COUNTIF('Config'!$G$8:$G$23,$D144)&gt;0,"Saída","Verificar")))</f>
        <v>Saída</v>
      </c>
    </row>
    <row r="145" spans="2:8" ht="16.5" customHeight="1">
      <c r="B145" s="63">
        <v>46132</v>
      </c>
      <c r="C145" s="64" t="s">
        <v>164</v>
      </c>
      <c r="D145" s="64" t="s">
        <v>43</v>
      </c>
      <c r="E145" s="64" t="s">
        <v>56</v>
      </c>
      <c r="F145" s="65">
        <v>89.48</v>
      </c>
      <c r="G145" s="66" t="str">
        <f>IF($D145="","",IF(COUNTIF('Config'!$E$8:$E$15,$D145)&gt;0,"Entrada",IF(COUNTIF('Config'!$G$8:$G$23,$D145)&gt;0,"Saída","Verificar")))</f>
        <v>Saída</v>
      </c>
    </row>
    <row r="146" spans="2:8" ht="16.5" customHeight="1">
      <c r="B146" s="63">
        <v>46133</v>
      </c>
      <c r="C146" s="64" t="s">
        <v>175</v>
      </c>
      <c r="D146" s="64" t="s">
        <v>41</v>
      </c>
      <c r="E146" s="64" t="s">
        <v>55</v>
      </c>
      <c r="F146" s="65">
        <v>75.08</v>
      </c>
      <c r="G146" s="66" t="str">
        <f>IF($D146="","",IF(COUNTIF('Config'!$E$8:$E$15,$D146)&gt;0,"Entrada",IF(COUNTIF('Config'!$G$8:$G$23,$D146)&gt;0,"Saída","Verificar")))</f>
        <v>Saída</v>
      </c>
    </row>
    <row r="147" spans="2:8" ht="16.5" customHeight="1">
      <c r="B147" s="63">
        <v>46137</v>
      </c>
      <c r="C147" s="64" t="s">
        <v>176</v>
      </c>
      <c r="D147" s="64" t="s">
        <v>48</v>
      </c>
      <c r="E147" s="64" t="s">
        <v>54</v>
      </c>
      <c r="F147" s="65">
        <v>50</v>
      </c>
      <c r="G147" s="66" t="str">
        <f>IF($D147="","",IF(COUNTIF('Config'!$E$8:$E$15,$D147)&gt;0,"Entrada",IF(COUNTIF('Config'!$G$8:$G$23,$D147)&gt;0,"Saída","Verificar")))</f>
        <v>Saída</v>
      </c>
    </row>
    <row r="148" spans="2:8" ht="16.5" customHeight="1">
      <c r="B148" s="63">
        <v>46138</v>
      </c>
      <c r="C148" s="64" t="s">
        <v>162</v>
      </c>
      <c r="D148" s="64" t="s">
        <v>40</v>
      </c>
      <c r="E148" s="64" t="s">
        <v>56</v>
      </c>
      <c r="F148" s="65">
        <v>37.43</v>
      </c>
      <c r="G148" s="66" t="str">
        <f>IF($D148="","",IF(COUNTIF('Config'!$E$8:$E$15,$D148)&gt;0,"Entrada",IF(COUNTIF('Config'!$G$8:$G$23,$D148)&gt;0,"Saída","Verificar")))</f>
        <v>Saída</v>
      </c>
    </row>
    <row r="149" spans="2:8" ht="16.5" customHeight="1">
      <c r="B149" s="63">
        <v>46140</v>
      </c>
      <c r="C149" s="64" t="s">
        <v>177</v>
      </c>
      <c r="D149" s="64" t="s">
        <v>31</v>
      </c>
      <c r="E149" s="64" t="s">
        <v>59</v>
      </c>
      <c r="F149" s="65">
        <v>69.41</v>
      </c>
      <c r="G149" s="66" t="str">
        <f>IF($D149="","",IF(COUNTIF('Config'!$E$8:$E$15,$D149)&gt;0,"Entrada",IF(COUNTIF('Config'!$G$8:$G$23,$D149)&gt;0,"Saída","Verificar")))</f>
        <v>Entrada</v>
      </c>
    </row>
    <row r="150" spans="2:8" ht="16.5" customHeight="1">
      <c r="B150" s="63">
        <v>46145</v>
      </c>
      <c r="C150" s="64" t="s">
        <v>150</v>
      </c>
      <c r="D150" s="64" t="s">
        <v>46</v>
      </c>
      <c r="E150" s="64" t="s">
        <v>60</v>
      </c>
      <c r="F150" s="65">
        <v>119.9</v>
      </c>
      <c r="G150" s="66" t="str">
        <f>IF($D150="","",IF(COUNTIF('Config'!$E$8:$E$15,$D150)&gt;0,"Entrada",IF(COUNTIF('Config'!$G$8:$G$23,$D150)&gt;0,"Saída","Verificar")))</f>
        <v>Saída</v>
      </c>
    </row>
    <row r="151" spans="2:8" ht="16.5" customHeight="1">
      <c r="B151" s="63">
        <v>46145</v>
      </c>
      <c r="C151" s="64" t="s">
        <v>151</v>
      </c>
      <c r="D151" s="64" t="s">
        <v>39</v>
      </c>
      <c r="E151" s="64" t="s">
        <v>56</v>
      </c>
      <c r="F151" s="65">
        <v>179.17</v>
      </c>
      <c r="G151" s="66" t="str">
        <f>IF($D151="","",IF(COUNTIF('Config'!$E$8:$E$15,$D151)&gt;0,"Entrada",IF(COUNTIF('Config'!$G$8:$G$23,$D151)&gt;0,"Saída","Verificar")))</f>
        <v>Saída</v>
      </c>
    </row>
    <row r="152" spans="2:8" ht="16.5" customHeight="1">
      <c r="B152" s="63">
        <v>46146</v>
      </c>
      <c r="C152" s="64" t="s">
        <v>152</v>
      </c>
      <c r="D152" s="64" t="s">
        <v>40</v>
      </c>
      <c r="E152" s="64" t="s">
        <v>56</v>
      </c>
      <c r="F152" s="65">
        <v>185.38</v>
      </c>
      <c r="G152" s="66" t="str">
        <f>IF($D152="","",IF(COUNTIF('Config'!$E$8:$E$15,$D152)&gt;0,"Entrada",IF(COUNTIF('Config'!$G$8:$G$23,$D152)&gt;0,"Saída","Verificar")))</f>
        <v>Saída</v>
      </c>
    </row>
    <row r="153" spans="2:8" ht="16.5" customHeight="1">
      <c r="B153" s="63">
        <v>46147</v>
      </c>
      <c r="C153" s="64" t="s">
        <v>153</v>
      </c>
      <c r="D153" s="64" t="s">
        <v>28</v>
      </c>
      <c r="E153" s="64" t="s">
        <v>59</v>
      </c>
      <c r="F153" s="65">
        <v>4500</v>
      </c>
      <c r="G153" s="66" t="str">
        <f>IF($D153="","",IF(COUNTIF('Config'!$E$8:$E$15,$D153)&gt;0,"Entrada",IF(COUNTIF('Config'!$G$8:$G$23,$D153)&gt;0,"Saída","Verificar")))</f>
        <v>Entrada</v>
      </c>
    </row>
    <row r="154" spans="2:8" ht="16.5" customHeight="1">
      <c r="B154" s="63">
        <v>46148</v>
      </c>
      <c r="C154" s="64" t="s">
        <v>154</v>
      </c>
      <c r="D154" s="64" t="s">
        <v>50</v>
      </c>
      <c r="E154" s="64" t="s">
        <v>54</v>
      </c>
      <c r="F154" s="65">
        <v>300</v>
      </c>
      <c r="G154" s="66" t="str">
        <f>IF($D154="","",IF(COUNTIF('Config'!$E$8:$E$15,$D154)&gt;0,"Entrada",IF(COUNTIF('Config'!$G$8:$G$23,$D154)&gt;0,"Saída","Verificar")))</f>
        <v>Saída</v>
      </c>
      <c r="H154" s="64" t="s">
        <v>155</v>
      </c>
    </row>
    <row r="155" spans="2:8" ht="16.5" customHeight="1">
      <c r="B155" s="63">
        <v>46148</v>
      </c>
      <c r="C155" s="64" t="s">
        <v>156</v>
      </c>
      <c r="D155" s="64" t="s">
        <v>50</v>
      </c>
      <c r="E155" s="64" t="s">
        <v>54</v>
      </c>
      <c r="F155" s="65">
        <v>150</v>
      </c>
      <c r="G155" s="66" t="str">
        <f>IF($D155="","",IF(COUNTIF('Config'!$E$8:$E$15,$D155)&gt;0,"Entrada",IF(COUNTIF('Config'!$G$8:$G$23,$D155)&gt;0,"Saída","Verificar")))</f>
        <v>Saída</v>
      </c>
      <c r="H155" s="64" t="s">
        <v>157</v>
      </c>
    </row>
    <row r="156" spans="2:8" ht="16.5" customHeight="1">
      <c r="B156" s="63">
        <v>46148</v>
      </c>
      <c r="C156" s="64" t="s">
        <v>183</v>
      </c>
      <c r="D156" s="64" t="s">
        <v>50</v>
      </c>
      <c r="E156" s="64" t="s">
        <v>54</v>
      </c>
      <c r="F156" s="65">
        <v>150</v>
      </c>
      <c r="G156" s="66" t="str">
        <f>IF($D156="","",IF(COUNTIF('Config'!$E$8:$E$15,$D156)&gt;0,"Entrada",IF(COUNTIF('Config'!$G$8:$G$23,$D156)&gt;0,"Saída","Verificar")))</f>
        <v>Saída</v>
      </c>
      <c r="H156" s="64" t="s">
        <v>184</v>
      </c>
    </row>
    <row r="157" spans="2:8" ht="16.5" customHeight="1">
      <c r="B157" s="63">
        <v>46148</v>
      </c>
      <c r="C157" s="64" t="s">
        <v>158</v>
      </c>
      <c r="D157" s="64" t="s">
        <v>45</v>
      </c>
      <c r="E157" s="64" t="s">
        <v>56</v>
      </c>
      <c r="F157" s="65">
        <v>9.9</v>
      </c>
      <c r="G157" s="66" t="str">
        <f>IF($D157="","",IF(COUNTIF('Config'!$E$8:$E$15,$D157)&gt;0,"Entrada",IF(COUNTIF('Config'!$G$8:$G$23,$D157)&gt;0,"Saída","Verificar")))</f>
        <v>Saída</v>
      </c>
    </row>
    <row r="158" spans="2:8" ht="16.5" customHeight="1">
      <c r="B158" s="63">
        <v>46148</v>
      </c>
      <c r="C158" s="64" t="s">
        <v>159</v>
      </c>
      <c r="D158" s="64" t="s">
        <v>45</v>
      </c>
      <c r="E158" s="64" t="s">
        <v>56</v>
      </c>
      <c r="F158" s="65">
        <v>55.9</v>
      </c>
      <c r="G158" s="66" t="str">
        <f>IF($D158="","",IF(COUNTIF('Config'!$E$8:$E$15,$D158)&gt;0,"Entrada",IF(COUNTIF('Config'!$G$8:$G$23,$D158)&gt;0,"Saída","Verificar")))</f>
        <v>Saída</v>
      </c>
    </row>
    <row r="159" spans="2:8" ht="16.5" customHeight="1">
      <c r="B159" s="63">
        <v>46148</v>
      </c>
      <c r="C159" s="64" t="s">
        <v>160</v>
      </c>
      <c r="D159" s="64" t="s">
        <v>39</v>
      </c>
      <c r="E159" s="64" t="s">
        <v>54</v>
      </c>
      <c r="F159" s="65">
        <v>31.74</v>
      </c>
      <c r="G159" s="66" t="str">
        <f>IF($D159="","",IF(COUNTIF('Config'!$E$8:$E$15,$D159)&gt;0,"Entrada",IF(COUNTIF('Config'!$G$8:$G$23,$D159)&gt;0,"Saída","Verificar")))</f>
        <v>Saída</v>
      </c>
    </row>
    <row r="160" spans="2:8" ht="16.5" customHeight="1">
      <c r="B160" s="63">
        <v>46148</v>
      </c>
      <c r="C160" s="64" t="s">
        <v>161</v>
      </c>
      <c r="D160" s="64" t="s">
        <v>45</v>
      </c>
      <c r="E160" s="64" t="s">
        <v>56</v>
      </c>
      <c r="F160" s="65">
        <v>21.9</v>
      </c>
      <c r="G160" s="66" t="str">
        <f>IF($D160="","",IF(COUNTIF('Config'!$E$8:$E$15,$D160)&gt;0,"Entrada",IF(COUNTIF('Config'!$G$8:$G$23,$D160)&gt;0,"Saída","Verificar")))</f>
        <v>Saída</v>
      </c>
    </row>
    <row r="161" spans="2:7" ht="16.5" customHeight="1">
      <c r="B161" s="63">
        <v>46149</v>
      </c>
      <c r="C161" s="64" t="s">
        <v>162</v>
      </c>
      <c r="D161" s="64" t="s">
        <v>40</v>
      </c>
      <c r="E161" s="64" t="s">
        <v>56</v>
      </c>
      <c r="F161" s="65">
        <v>23.63</v>
      </c>
      <c r="G161" s="66" t="str">
        <f>IF($D161="","",IF(COUNTIF('Config'!$E$8:$E$15,$D161)&gt;0,"Entrada",IF(COUNTIF('Config'!$G$8:$G$23,$D161)&gt;0,"Saída","Verificar")))</f>
        <v>Saída</v>
      </c>
    </row>
    <row r="162" spans="2:7" ht="16.5" customHeight="1">
      <c r="B162" s="63">
        <v>46150</v>
      </c>
      <c r="C162" s="64" t="s">
        <v>163</v>
      </c>
      <c r="D162" s="64" t="s">
        <v>38</v>
      </c>
      <c r="E162" s="64" t="s">
        <v>60</v>
      </c>
      <c r="F162" s="65">
        <v>119.9</v>
      </c>
      <c r="G162" s="66" t="str">
        <f>IF($D162="","",IF(COUNTIF('Config'!$E$8:$E$15,$D162)&gt;0,"Entrada",IF(COUNTIF('Config'!$G$8:$G$23,$D162)&gt;0,"Saída","Verificar")))</f>
        <v>Saída</v>
      </c>
    </row>
    <row r="163" spans="2:7" ht="16.5" customHeight="1">
      <c r="B163" s="63">
        <v>46150</v>
      </c>
      <c r="C163" s="64" t="s">
        <v>186</v>
      </c>
      <c r="D163" s="64" t="s">
        <v>48</v>
      </c>
      <c r="E163" s="64" t="s">
        <v>56</v>
      </c>
      <c r="F163" s="65">
        <v>155</v>
      </c>
      <c r="G163" s="66" t="str">
        <f>IF($D163="","",IF(COUNTIF('Config'!$E$8:$E$15,$D163)&gt;0,"Entrada",IF(COUNTIF('Config'!$G$8:$G$23,$D163)&gt;0,"Saída","Verificar")))</f>
        <v>Saída</v>
      </c>
    </row>
    <row r="164" spans="2:7" ht="16.5" customHeight="1">
      <c r="B164" s="63">
        <v>46150</v>
      </c>
      <c r="C164" s="64" t="s">
        <v>164</v>
      </c>
      <c r="D164" s="64" t="s">
        <v>43</v>
      </c>
      <c r="E164" s="64" t="s">
        <v>56</v>
      </c>
      <c r="F164" s="65">
        <v>89.53</v>
      </c>
      <c r="G164" s="66" t="str">
        <f>IF($D164="","",IF(COUNTIF('Config'!$E$8:$E$15,$D164)&gt;0,"Entrada",IF(COUNTIF('Config'!$G$8:$G$23,$D164)&gt;0,"Saída","Verificar")))</f>
        <v>Saída</v>
      </c>
    </row>
    <row r="165" spans="2:7" ht="16.5" customHeight="1">
      <c r="B165" s="63">
        <v>46151</v>
      </c>
      <c r="C165" s="64" t="s">
        <v>165</v>
      </c>
      <c r="D165" s="64" t="s">
        <v>39</v>
      </c>
      <c r="E165" s="64" t="s">
        <v>55</v>
      </c>
      <c r="F165" s="65">
        <v>43.44</v>
      </c>
      <c r="G165" s="66" t="str">
        <f>IF($D165="","",IF(COUNTIF('Config'!$E$8:$E$15,$D165)&gt;0,"Entrada",IF(COUNTIF('Config'!$G$8:$G$23,$D165)&gt;0,"Saída","Verificar")))</f>
        <v>Saída</v>
      </c>
    </row>
    <row r="166" spans="2:7" ht="16.5" customHeight="1">
      <c r="B166" s="63">
        <v>46152</v>
      </c>
      <c r="C166" s="64" t="s">
        <v>166</v>
      </c>
      <c r="D166" s="64" t="s">
        <v>37</v>
      </c>
      <c r="E166" s="64" t="s">
        <v>58</v>
      </c>
      <c r="F166" s="65">
        <v>950</v>
      </c>
      <c r="G166" s="66" t="str">
        <f>IF($D166="","",IF(COUNTIF('Config'!$E$8:$E$15,$D166)&gt;0,"Entrada",IF(COUNTIF('Config'!$G$8:$G$23,$D166)&gt;0,"Saída","Verificar")))</f>
        <v>Saída</v>
      </c>
    </row>
    <row r="167" spans="2:7" ht="16.5" customHeight="1">
      <c r="B167" s="63">
        <v>46152</v>
      </c>
      <c r="C167" s="64" t="s">
        <v>167</v>
      </c>
      <c r="D167" s="64" t="s">
        <v>37</v>
      </c>
      <c r="E167" s="64" t="s">
        <v>58</v>
      </c>
      <c r="F167" s="65">
        <v>150</v>
      </c>
      <c r="G167" s="66" t="str">
        <f>IF($D167="","",IF(COUNTIF('Config'!$E$8:$E$15,$D167)&gt;0,"Entrada",IF(COUNTIF('Config'!$G$8:$G$23,$D167)&gt;0,"Saída","Verificar")))</f>
        <v>Saída</v>
      </c>
    </row>
    <row r="168" spans="2:7" ht="16.5" customHeight="1">
      <c r="B168" s="63">
        <v>46152</v>
      </c>
      <c r="C168" s="64" t="s">
        <v>168</v>
      </c>
      <c r="D168" s="64" t="s">
        <v>41</v>
      </c>
      <c r="E168" s="64" t="s">
        <v>60</v>
      </c>
      <c r="F168" s="65">
        <v>180</v>
      </c>
      <c r="G168" s="66" t="str">
        <f>IF($D168="","",IF(COUNTIF('Config'!$E$8:$E$15,$D168)&gt;0,"Entrada",IF(COUNTIF('Config'!$G$8:$G$23,$D168)&gt;0,"Saída","Verificar")))</f>
        <v>Saída</v>
      </c>
    </row>
    <row r="169" spans="2:7" ht="16.5" customHeight="1">
      <c r="B169" s="63">
        <v>46152</v>
      </c>
      <c r="C169" s="64" t="s">
        <v>151</v>
      </c>
      <c r="D169" s="64" t="s">
        <v>39</v>
      </c>
      <c r="E169" s="64" t="s">
        <v>56</v>
      </c>
      <c r="F169" s="65">
        <v>159.14</v>
      </c>
      <c r="G169" s="66" t="str">
        <f>IF($D169="","",IF(COUNTIF('Config'!$E$8:$E$15,$D169)&gt;0,"Entrada",IF(COUNTIF('Config'!$G$8:$G$23,$D169)&gt;0,"Saída","Verificar")))</f>
        <v>Saída</v>
      </c>
    </row>
    <row r="170" spans="2:7" ht="16.5" customHeight="1">
      <c r="B170" s="63">
        <v>46154</v>
      </c>
      <c r="C170" s="64" t="s">
        <v>169</v>
      </c>
      <c r="D170" s="64" t="s">
        <v>38</v>
      </c>
      <c r="E170" s="64" t="s">
        <v>60</v>
      </c>
      <c r="F170" s="65">
        <v>76.04000000000001</v>
      </c>
      <c r="G170" s="66" t="str">
        <f>IF($D170="","",IF(COUNTIF('Config'!$E$8:$E$15,$D170)&gt;0,"Entrada",IF(COUNTIF('Config'!$G$8:$G$23,$D170)&gt;0,"Saída","Verificar")))</f>
        <v>Saída</v>
      </c>
    </row>
    <row r="171" spans="2:7" ht="16.5" customHeight="1">
      <c r="B171" s="63">
        <v>46155</v>
      </c>
      <c r="C171" s="64" t="s">
        <v>170</v>
      </c>
      <c r="D171" s="64" t="s">
        <v>43</v>
      </c>
      <c r="E171" s="64" t="s">
        <v>55</v>
      </c>
      <c r="F171" s="65">
        <v>55.54</v>
      </c>
      <c r="G171" s="66" t="str">
        <f>IF($D171="","",IF(COUNTIF('Config'!$E$8:$E$15,$D171)&gt;0,"Entrada",IF(COUNTIF('Config'!$G$8:$G$23,$D171)&gt;0,"Saída","Verificar")))</f>
        <v>Saída</v>
      </c>
    </row>
    <row r="172" spans="2:7" ht="16.5" customHeight="1">
      <c r="B172" s="63">
        <v>46156</v>
      </c>
      <c r="C172" s="64" t="s">
        <v>160</v>
      </c>
      <c r="D172" s="64" t="s">
        <v>39</v>
      </c>
      <c r="E172" s="64" t="s">
        <v>54</v>
      </c>
      <c r="F172" s="65">
        <v>29.4</v>
      </c>
      <c r="G172" s="66" t="str">
        <f>IF($D172="","",IF(COUNTIF('Config'!$E$8:$E$15,$D172)&gt;0,"Entrada",IF(COUNTIF('Config'!$G$8:$G$23,$D172)&gt;0,"Saída","Verificar")))</f>
        <v>Saída</v>
      </c>
    </row>
    <row r="173" spans="2:7" ht="16.5" customHeight="1">
      <c r="B173" s="63">
        <v>46157</v>
      </c>
      <c r="C173" s="64" t="s">
        <v>171</v>
      </c>
      <c r="D173" s="64" t="s">
        <v>38</v>
      </c>
      <c r="E173" s="64" t="s">
        <v>60</v>
      </c>
      <c r="F173" s="65">
        <v>150.73</v>
      </c>
      <c r="G173" s="66" t="str">
        <f>IF($D173="","",IF(COUNTIF('Config'!$E$8:$E$15,$D173)&gt;0,"Entrada",IF(COUNTIF('Config'!$G$8:$G$23,$D173)&gt;0,"Saída","Verificar")))</f>
        <v>Saída</v>
      </c>
    </row>
    <row r="174" spans="2:7" ht="16.5" customHeight="1">
      <c r="B174" s="63">
        <v>46157</v>
      </c>
      <c r="C174" s="64" t="s">
        <v>172</v>
      </c>
      <c r="D174" s="64" t="s">
        <v>42</v>
      </c>
      <c r="E174" s="64" t="s">
        <v>56</v>
      </c>
      <c r="F174" s="65">
        <v>149</v>
      </c>
      <c r="G174" s="66" t="str">
        <f>IF($D174="","",IF(COUNTIF('Config'!$E$8:$E$15,$D174)&gt;0,"Entrada",IF(COUNTIF('Config'!$G$8:$G$23,$D174)&gt;0,"Saída","Verificar")))</f>
        <v>Saída</v>
      </c>
    </row>
    <row r="175" spans="2:7" ht="16.5" customHeight="1">
      <c r="B175" s="63">
        <v>46158</v>
      </c>
      <c r="C175" s="64" t="s">
        <v>162</v>
      </c>
      <c r="D175" s="64" t="s">
        <v>40</v>
      </c>
      <c r="E175" s="64" t="s">
        <v>56</v>
      </c>
      <c r="F175" s="65">
        <v>38.07</v>
      </c>
      <c r="G175" s="66" t="str">
        <f>IF($D175="","",IF(COUNTIF('Config'!$E$8:$E$15,$D175)&gt;0,"Entrada",IF(COUNTIF('Config'!$G$8:$G$23,$D175)&gt;0,"Saída","Verificar")))</f>
        <v>Saída</v>
      </c>
    </row>
    <row r="176" spans="2:7" ht="16.5" customHeight="1">
      <c r="B176" s="63">
        <v>46159</v>
      </c>
      <c r="C176" s="64" t="s">
        <v>151</v>
      </c>
      <c r="D176" s="64" t="s">
        <v>39</v>
      </c>
      <c r="E176" s="64" t="s">
        <v>56</v>
      </c>
      <c r="F176" s="65">
        <v>130.5</v>
      </c>
      <c r="G176" s="66" t="str">
        <f>IF($D176="","",IF(COUNTIF('Config'!$E$8:$E$15,$D176)&gt;0,"Entrada",IF(COUNTIF('Config'!$G$8:$G$23,$D176)&gt;0,"Saída","Verificar")))</f>
        <v>Saída</v>
      </c>
    </row>
    <row r="177" spans="2:8" ht="16.5" customHeight="1">
      <c r="B177" s="63">
        <v>46160</v>
      </c>
      <c r="C177" s="64" t="s">
        <v>173</v>
      </c>
      <c r="D177" s="64" t="s">
        <v>46</v>
      </c>
      <c r="E177" s="64" t="s">
        <v>54</v>
      </c>
      <c r="F177" s="65">
        <v>63.19</v>
      </c>
      <c r="G177" s="66" t="str">
        <f>IF($D177="","",IF(COUNTIF('Config'!$E$8:$E$15,$D177)&gt;0,"Entrada",IF(COUNTIF('Config'!$G$8:$G$23,$D177)&gt;0,"Saída","Verificar")))</f>
        <v>Saída</v>
      </c>
    </row>
    <row r="178" spans="2:8" ht="16.5" customHeight="1">
      <c r="B178" s="63">
        <v>46161</v>
      </c>
      <c r="C178" s="64" t="s">
        <v>165</v>
      </c>
      <c r="D178" s="64" t="s">
        <v>39</v>
      </c>
      <c r="E178" s="64" t="s">
        <v>55</v>
      </c>
      <c r="F178" s="65">
        <v>38.51</v>
      </c>
      <c r="G178" s="66" t="str">
        <f>IF($D178="","",IF(COUNTIF('Config'!$E$8:$E$15,$D178)&gt;0,"Entrada",IF(COUNTIF('Config'!$G$8:$G$23,$D178)&gt;0,"Saída","Verificar")))</f>
        <v>Saída</v>
      </c>
    </row>
    <row r="179" spans="2:8" ht="16.5" customHeight="1">
      <c r="B179" s="63">
        <v>46161</v>
      </c>
      <c r="C179" s="64" t="s">
        <v>174</v>
      </c>
      <c r="D179" s="64" t="s">
        <v>52</v>
      </c>
      <c r="E179" s="64" t="s">
        <v>57</v>
      </c>
      <c r="F179" s="65">
        <v>61.34</v>
      </c>
      <c r="G179" s="66" t="str">
        <f>IF($D179="","",IF(COUNTIF('Config'!$E$8:$E$15,$D179)&gt;0,"Entrada",IF(COUNTIF('Config'!$G$8:$G$23,$D179)&gt;0,"Saída","Verificar")))</f>
        <v>Saída</v>
      </c>
    </row>
    <row r="180" spans="2:8" ht="16.5" customHeight="1">
      <c r="B180" s="63">
        <v>46162</v>
      </c>
      <c r="C180" s="64" t="s">
        <v>179</v>
      </c>
      <c r="D180" s="64" t="s">
        <v>38</v>
      </c>
      <c r="E180" s="64" t="s">
        <v>54</v>
      </c>
      <c r="F180" s="65">
        <v>112</v>
      </c>
      <c r="G180" s="66" t="str">
        <f>IF($D180="","",IF(COUNTIF('Config'!$E$8:$E$15,$D180)&gt;0,"Entrada",IF(COUNTIF('Config'!$G$8:$G$23,$D180)&gt;0,"Saída","Verificar")))</f>
        <v>Saída</v>
      </c>
    </row>
    <row r="181" spans="2:8" ht="16.5" customHeight="1">
      <c r="B181" s="63">
        <v>46162</v>
      </c>
      <c r="C181" s="64" t="s">
        <v>164</v>
      </c>
      <c r="D181" s="64" t="s">
        <v>43</v>
      </c>
      <c r="E181" s="64" t="s">
        <v>56</v>
      </c>
      <c r="F181" s="65">
        <v>90.67</v>
      </c>
      <c r="G181" s="66" t="str">
        <f>IF($D181="","",IF(COUNTIF('Config'!$E$8:$E$15,$D181)&gt;0,"Entrada",IF(COUNTIF('Config'!$G$8:$G$23,$D181)&gt;0,"Saída","Verificar")))</f>
        <v>Saída</v>
      </c>
    </row>
    <row r="182" spans="2:8" ht="16.5" customHeight="1">
      <c r="B182" s="63">
        <v>46163</v>
      </c>
      <c r="C182" s="64" t="s">
        <v>175</v>
      </c>
      <c r="D182" s="64" t="s">
        <v>41</v>
      </c>
      <c r="E182" s="64" t="s">
        <v>55</v>
      </c>
      <c r="F182" s="65">
        <v>32.59</v>
      </c>
      <c r="G182" s="66" t="str">
        <f>IF($D182="","",IF(COUNTIF('Config'!$E$8:$E$15,$D182)&gt;0,"Entrada",IF(COUNTIF('Config'!$G$8:$G$23,$D182)&gt;0,"Saída","Verificar")))</f>
        <v>Saída</v>
      </c>
    </row>
    <row r="183" spans="2:8" ht="16.5" customHeight="1">
      <c r="B183" s="63">
        <v>46164</v>
      </c>
      <c r="C183" s="64" t="s">
        <v>180</v>
      </c>
      <c r="D183" s="64" t="s">
        <v>44</v>
      </c>
      <c r="E183" s="64" t="s">
        <v>56</v>
      </c>
      <c r="F183" s="65">
        <v>166.23</v>
      </c>
      <c r="G183" s="66" t="str">
        <f>IF($D183="","",IF(COUNTIF('Config'!$E$8:$E$15,$D183)&gt;0,"Entrada",IF(COUNTIF('Config'!$G$8:$G$23,$D183)&gt;0,"Saída","Verificar")))</f>
        <v>Saída</v>
      </c>
    </row>
    <row r="184" spans="2:8" ht="16.5" customHeight="1">
      <c r="B184" s="63">
        <v>46166</v>
      </c>
      <c r="C184" s="64" t="s">
        <v>187</v>
      </c>
      <c r="D184" s="64" t="s">
        <v>43</v>
      </c>
      <c r="E184" s="64" t="s">
        <v>56</v>
      </c>
      <c r="F184" s="65">
        <v>320</v>
      </c>
      <c r="G184" s="66" t="str">
        <f>IF($D184="","",IF(COUNTIF('Config'!$E$8:$E$15,$D184)&gt;0,"Entrada",IF(COUNTIF('Config'!$G$8:$G$23,$D184)&gt;0,"Saída","Verificar")))</f>
        <v>Saída</v>
      </c>
    </row>
    <row r="185" spans="2:8" ht="16.5" customHeight="1">
      <c r="B185" s="63">
        <v>46167</v>
      </c>
      <c r="C185" s="64" t="s">
        <v>176</v>
      </c>
      <c r="D185" s="64" t="s">
        <v>48</v>
      </c>
      <c r="E185" s="64" t="s">
        <v>54</v>
      </c>
      <c r="F185" s="65">
        <v>50</v>
      </c>
      <c r="G185" s="66" t="str">
        <f>IF($D185="","",IF(COUNTIF('Config'!$E$8:$E$15,$D185)&gt;0,"Entrada",IF(COUNTIF('Config'!$G$8:$G$23,$D185)&gt;0,"Saída","Verificar")))</f>
        <v>Saída</v>
      </c>
    </row>
    <row r="186" spans="2:8" ht="16.5" customHeight="1">
      <c r="B186" s="63">
        <v>46168</v>
      </c>
      <c r="C186" s="64" t="s">
        <v>162</v>
      </c>
      <c r="D186" s="64" t="s">
        <v>40</v>
      </c>
      <c r="E186" s="64" t="s">
        <v>56</v>
      </c>
      <c r="F186" s="65">
        <v>20.25</v>
      </c>
      <c r="G186" s="66" t="str">
        <f>IF($D186="","",IF(COUNTIF('Config'!$E$8:$E$15,$D186)&gt;0,"Entrada",IF(COUNTIF('Config'!$G$8:$G$23,$D186)&gt;0,"Saída","Verificar")))</f>
        <v>Saída</v>
      </c>
    </row>
    <row r="187" spans="2:8" ht="16.5" customHeight="1">
      <c r="B187" s="63">
        <v>46170</v>
      </c>
      <c r="C187" s="64" t="s">
        <v>177</v>
      </c>
      <c r="D187" s="64" t="s">
        <v>31</v>
      </c>
      <c r="E187" s="64" t="s">
        <v>59</v>
      </c>
      <c r="F187" s="65">
        <v>53.22</v>
      </c>
      <c r="G187" s="66" t="str">
        <f>IF($D187="","",IF(COUNTIF('Config'!$E$8:$E$15,$D187)&gt;0,"Entrada",IF(COUNTIF('Config'!$G$8:$G$23,$D187)&gt;0,"Saída","Verificar")))</f>
        <v>Entrada</v>
      </c>
    </row>
    <row r="188" spans="2:8" ht="16.5" customHeight="1">
      <c r="B188" s="63">
        <v>46176</v>
      </c>
      <c r="C188" s="64" t="s">
        <v>150</v>
      </c>
      <c r="D188" s="64" t="s">
        <v>46</v>
      </c>
      <c r="E188" s="64" t="s">
        <v>60</v>
      </c>
      <c r="F188" s="65">
        <v>119.9</v>
      </c>
      <c r="G188" s="66" t="str">
        <f>IF($D188="","",IF(COUNTIF('Config'!$E$8:$E$15,$D188)&gt;0,"Entrada",IF(COUNTIF('Config'!$G$8:$G$23,$D188)&gt;0,"Saída","Verificar")))</f>
        <v>Saída</v>
      </c>
    </row>
    <row r="189" spans="2:8" ht="16.5" customHeight="1">
      <c r="B189" s="63">
        <v>46176</v>
      </c>
      <c r="C189" s="64" t="s">
        <v>151</v>
      </c>
      <c r="D189" s="64" t="s">
        <v>39</v>
      </c>
      <c r="E189" s="64" t="s">
        <v>56</v>
      </c>
      <c r="F189" s="65">
        <v>194.94</v>
      </c>
      <c r="G189" s="66" t="str">
        <f>IF($D189="","",IF(COUNTIF('Config'!$E$8:$E$15,$D189)&gt;0,"Entrada",IF(COUNTIF('Config'!$G$8:$G$23,$D189)&gt;0,"Saída","Verificar")))</f>
        <v>Saída</v>
      </c>
    </row>
    <row r="190" spans="2:8" ht="16.5" customHeight="1">
      <c r="B190" s="63">
        <v>46177</v>
      </c>
      <c r="C190" s="64" t="s">
        <v>152</v>
      </c>
      <c r="D190" s="64" t="s">
        <v>40</v>
      </c>
      <c r="E190" s="64" t="s">
        <v>56</v>
      </c>
      <c r="F190" s="65">
        <v>174.45</v>
      </c>
      <c r="G190" s="66" t="str">
        <f>IF($D190="","",IF(COUNTIF('Config'!$E$8:$E$15,$D190)&gt;0,"Entrada",IF(COUNTIF('Config'!$G$8:$G$23,$D190)&gt;0,"Saída","Verificar")))</f>
        <v>Saída</v>
      </c>
    </row>
    <row r="191" spans="2:8" ht="16.5" customHeight="1">
      <c r="B191" s="63">
        <v>46178</v>
      </c>
      <c r="C191" s="64" t="s">
        <v>153</v>
      </c>
      <c r="D191" s="64" t="s">
        <v>28</v>
      </c>
      <c r="E191" s="64" t="s">
        <v>59</v>
      </c>
      <c r="F191" s="65">
        <v>4500</v>
      </c>
      <c r="G191" s="66" t="str">
        <f>IF($D191="","",IF(COUNTIF('Config'!$E$8:$E$15,$D191)&gt;0,"Entrada",IF(COUNTIF('Config'!$G$8:$G$23,$D191)&gt;0,"Saída","Verificar")))</f>
        <v>Entrada</v>
      </c>
    </row>
    <row r="192" spans="2:8" ht="16.5" customHeight="1">
      <c r="B192" s="63">
        <v>46179</v>
      </c>
      <c r="C192" s="64" t="s">
        <v>154</v>
      </c>
      <c r="D192" s="64" t="s">
        <v>50</v>
      </c>
      <c r="E192" s="64" t="s">
        <v>54</v>
      </c>
      <c r="F192" s="65">
        <v>300</v>
      </c>
      <c r="G192" s="66" t="str">
        <f>IF($D192="","",IF(COUNTIF('Config'!$E$8:$E$15,$D192)&gt;0,"Entrada",IF(COUNTIF('Config'!$G$8:$G$23,$D192)&gt;0,"Saída","Verificar")))</f>
        <v>Saída</v>
      </c>
      <c r="H192" s="64" t="s">
        <v>155</v>
      </c>
    </row>
    <row r="193" spans="2:8" ht="16.5" customHeight="1">
      <c r="B193" s="63">
        <v>46179</v>
      </c>
      <c r="C193" s="64" t="s">
        <v>156</v>
      </c>
      <c r="D193" s="64" t="s">
        <v>50</v>
      </c>
      <c r="E193" s="64" t="s">
        <v>54</v>
      </c>
      <c r="F193" s="65">
        <v>150</v>
      </c>
      <c r="G193" s="66" t="str">
        <f>IF($D193="","",IF(COUNTIF('Config'!$E$8:$E$15,$D193)&gt;0,"Entrada",IF(COUNTIF('Config'!$G$8:$G$23,$D193)&gt;0,"Saída","Verificar")))</f>
        <v>Saída</v>
      </c>
      <c r="H193" s="64" t="s">
        <v>157</v>
      </c>
    </row>
    <row r="194" spans="2:8" ht="16.5" customHeight="1">
      <c r="B194" s="63">
        <v>46179</v>
      </c>
      <c r="C194" s="64" t="s">
        <v>183</v>
      </c>
      <c r="D194" s="64" t="s">
        <v>50</v>
      </c>
      <c r="E194" s="64" t="s">
        <v>54</v>
      </c>
      <c r="F194" s="65">
        <v>150</v>
      </c>
      <c r="G194" s="66" t="str">
        <f>IF($D194="","",IF(COUNTIF('Config'!$E$8:$E$15,$D194)&gt;0,"Entrada",IF(COUNTIF('Config'!$G$8:$G$23,$D194)&gt;0,"Saída","Verificar")))</f>
        <v>Saída</v>
      </c>
      <c r="H194" s="64" t="s">
        <v>184</v>
      </c>
    </row>
    <row r="195" spans="2:8" ht="16.5" customHeight="1">
      <c r="B195" s="63">
        <v>46179</v>
      </c>
      <c r="C195" s="64" t="s">
        <v>158</v>
      </c>
      <c r="D195" s="64" t="s">
        <v>45</v>
      </c>
      <c r="E195" s="64" t="s">
        <v>56</v>
      </c>
      <c r="F195" s="65">
        <v>9.9</v>
      </c>
      <c r="G195" s="66" t="str">
        <f>IF($D195="","",IF(COUNTIF('Config'!$E$8:$E$15,$D195)&gt;0,"Entrada",IF(COUNTIF('Config'!$G$8:$G$23,$D195)&gt;0,"Saída","Verificar")))</f>
        <v>Saída</v>
      </c>
    </row>
    <row r="196" spans="2:8" ht="16.5" customHeight="1">
      <c r="B196" s="63">
        <v>46179</v>
      </c>
      <c r="C196" s="64" t="s">
        <v>159</v>
      </c>
      <c r="D196" s="64" t="s">
        <v>45</v>
      </c>
      <c r="E196" s="64" t="s">
        <v>56</v>
      </c>
      <c r="F196" s="65">
        <v>55.9</v>
      </c>
      <c r="G196" s="66" t="str">
        <f>IF($D196="","",IF(COUNTIF('Config'!$E$8:$E$15,$D196)&gt;0,"Entrada",IF(COUNTIF('Config'!$G$8:$G$23,$D196)&gt;0,"Saída","Verificar")))</f>
        <v>Saída</v>
      </c>
    </row>
    <row r="197" spans="2:8" ht="16.5" customHeight="1">
      <c r="B197" s="63">
        <v>46179</v>
      </c>
      <c r="C197" s="64" t="s">
        <v>160</v>
      </c>
      <c r="D197" s="64" t="s">
        <v>39</v>
      </c>
      <c r="E197" s="64" t="s">
        <v>54</v>
      </c>
      <c r="F197" s="65">
        <v>29.18</v>
      </c>
      <c r="G197" s="66" t="str">
        <f>IF($D197="","",IF(COUNTIF('Config'!$E$8:$E$15,$D197)&gt;0,"Entrada",IF(COUNTIF('Config'!$G$8:$G$23,$D197)&gt;0,"Saída","Verificar")))</f>
        <v>Saída</v>
      </c>
    </row>
    <row r="198" spans="2:8" ht="16.5" customHeight="1">
      <c r="B198" s="63">
        <v>46179</v>
      </c>
      <c r="C198" s="64" t="s">
        <v>161</v>
      </c>
      <c r="D198" s="64" t="s">
        <v>45</v>
      </c>
      <c r="E198" s="64" t="s">
        <v>56</v>
      </c>
      <c r="F198" s="65">
        <v>21.9</v>
      </c>
      <c r="G198" s="66" t="str">
        <f>IF($D198="","",IF(COUNTIF('Config'!$E$8:$E$15,$D198)&gt;0,"Entrada",IF(COUNTIF('Config'!$G$8:$G$23,$D198)&gt;0,"Saída","Verificar")))</f>
        <v>Saída</v>
      </c>
    </row>
    <row r="199" spans="2:8" ht="16.5" customHeight="1">
      <c r="B199" s="63">
        <v>46180</v>
      </c>
      <c r="C199" s="64" t="s">
        <v>162</v>
      </c>
      <c r="D199" s="64" t="s">
        <v>40</v>
      </c>
      <c r="E199" s="64" t="s">
        <v>56</v>
      </c>
      <c r="F199" s="65">
        <v>38.72</v>
      </c>
      <c r="G199" s="66" t="str">
        <f>IF($D199="","",IF(COUNTIF('Config'!$E$8:$E$15,$D199)&gt;0,"Entrada",IF(COUNTIF('Config'!$G$8:$G$23,$D199)&gt;0,"Saída","Verificar")))</f>
        <v>Saída</v>
      </c>
    </row>
    <row r="200" spans="2:8" ht="16.5" customHeight="1">
      <c r="B200" s="63">
        <v>46181</v>
      </c>
      <c r="C200" s="64" t="s">
        <v>163</v>
      </c>
      <c r="D200" s="64" t="s">
        <v>38</v>
      </c>
      <c r="E200" s="64" t="s">
        <v>60</v>
      </c>
      <c r="F200" s="65">
        <v>119.9</v>
      </c>
      <c r="G200" s="66" t="str">
        <f>IF($D200="","",IF(COUNTIF('Config'!$E$8:$E$15,$D200)&gt;0,"Entrada",IF(COUNTIF('Config'!$G$8:$G$23,$D200)&gt;0,"Saída","Verificar")))</f>
        <v>Saída</v>
      </c>
    </row>
    <row r="201" spans="2:8" ht="16.5" customHeight="1">
      <c r="B201" s="63">
        <v>46181</v>
      </c>
      <c r="C201" s="64" t="s">
        <v>164</v>
      </c>
      <c r="D201" s="64" t="s">
        <v>43</v>
      </c>
      <c r="E201" s="64" t="s">
        <v>56</v>
      </c>
      <c r="F201" s="65">
        <v>83.81999999999999</v>
      </c>
      <c r="G201" s="66" t="str">
        <f>IF($D201="","",IF(COUNTIF('Config'!$E$8:$E$15,$D201)&gt;0,"Entrada",IF(COUNTIF('Config'!$G$8:$G$23,$D201)&gt;0,"Saída","Verificar")))</f>
        <v>Saída</v>
      </c>
    </row>
    <row r="202" spans="2:8" ht="16.5" customHeight="1">
      <c r="B202" s="63">
        <v>46182</v>
      </c>
      <c r="C202" s="64" t="s">
        <v>165</v>
      </c>
      <c r="D202" s="64" t="s">
        <v>39</v>
      </c>
      <c r="E202" s="64" t="s">
        <v>55</v>
      </c>
      <c r="F202" s="65">
        <v>40.81</v>
      </c>
      <c r="G202" s="66" t="str">
        <f>IF($D202="","",IF(COUNTIF('Config'!$E$8:$E$15,$D202)&gt;0,"Entrada",IF(COUNTIF('Config'!$G$8:$G$23,$D202)&gt;0,"Saída","Verificar")))</f>
        <v>Saída</v>
      </c>
    </row>
    <row r="203" spans="2:8" ht="16.5" customHeight="1">
      <c r="B203" s="63">
        <v>46183</v>
      </c>
      <c r="C203" s="64" t="s">
        <v>166</v>
      </c>
      <c r="D203" s="64" t="s">
        <v>37</v>
      </c>
      <c r="E203" s="64" t="s">
        <v>58</v>
      </c>
      <c r="F203" s="65">
        <v>950</v>
      </c>
      <c r="G203" s="66" t="str">
        <f>IF($D203="","",IF(COUNTIF('Config'!$E$8:$E$15,$D203)&gt;0,"Entrada",IF(COUNTIF('Config'!$G$8:$G$23,$D203)&gt;0,"Saída","Verificar")))</f>
        <v>Saída</v>
      </c>
    </row>
    <row r="204" spans="2:8" ht="16.5" customHeight="1">
      <c r="B204" s="63">
        <v>46183</v>
      </c>
      <c r="C204" s="64" t="s">
        <v>167</v>
      </c>
      <c r="D204" s="64" t="s">
        <v>37</v>
      </c>
      <c r="E204" s="64" t="s">
        <v>58</v>
      </c>
      <c r="F204" s="65">
        <v>150</v>
      </c>
      <c r="G204" s="66" t="str">
        <f>IF($D204="","",IF(COUNTIF('Config'!$E$8:$E$15,$D204)&gt;0,"Entrada",IF(COUNTIF('Config'!$G$8:$G$23,$D204)&gt;0,"Saída","Verificar")))</f>
        <v>Saída</v>
      </c>
    </row>
    <row r="205" spans="2:8" ht="16.5" customHeight="1">
      <c r="B205" s="63">
        <v>46183</v>
      </c>
      <c r="C205" s="64" t="s">
        <v>168</v>
      </c>
      <c r="D205" s="64" t="s">
        <v>41</v>
      </c>
      <c r="E205" s="64" t="s">
        <v>60</v>
      </c>
      <c r="F205" s="65">
        <v>180</v>
      </c>
      <c r="G205" s="66" t="str">
        <f>IF($D205="","",IF(COUNTIF('Config'!$E$8:$E$15,$D205)&gt;0,"Entrada",IF(COUNTIF('Config'!$G$8:$G$23,$D205)&gt;0,"Saída","Verificar")))</f>
        <v>Saída</v>
      </c>
    </row>
    <row r="206" spans="2:8" ht="16.5" customHeight="1">
      <c r="B206" s="63">
        <v>46183</v>
      </c>
      <c r="C206" s="64" t="s">
        <v>151</v>
      </c>
      <c r="D206" s="64" t="s">
        <v>39</v>
      </c>
      <c r="E206" s="64" t="s">
        <v>56</v>
      </c>
      <c r="F206" s="65">
        <v>135.97</v>
      </c>
      <c r="G206" s="66" t="str">
        <f>IF($D206="","",IF(COUNTIF('Config'!$E$8:$E$15,$D206)&gt;0,"Entrada",IF(COUNTIF('Config'!$G$8:$G$23,$D206)&gt;0,"Saída","Verificar")))</f>
        <v>Saída</v>
      </c>
    </row>
    <row r="207" spans="2:8" ht="16.5" customHeight="1">
      <c r="B207" s="63">
        <v>46185</v>
      </c>
      <c r="C207" s="64" t="s">
        <v>169</v>
      </c>
      <c r="D207" s="64" t="s">
        <v>38</v>
      </c>
      <c r="E207" s="64" t="s">
        <v>60</v>
      </c>
      <c r="F207" s="65">
        <v>73.83</v>
      </c>
      <c r="G207" s="66" t="str">
        <f>IF($D207="","",IF(COUNTIF('Config'!$E$8:$E$15,$D207)&gt;0,"Entrada",IF(COUNTIF('Config'!$G$8:$G$23,$D207)&gt;0,"Saída","Verificar")))</f>
        <v>Saída</v>
      </c>
    </row>
    <row r="208" spans="2:8" ht="16.5" customHeight="1">
      <c r="B208" s="63">
        <v>46186</v>
      </c>
      <c r="C208" s="64" t="s">
        <v>170</v>
      </c>
      <c r="D208" s="64" t="s">
        <v>43</v>
      </c>
      <c r="E208" s="64" t="s">
        <v>55</v>
      </c>
      <c r="F208" s="65">
        <v>70.81999999999999</v>
      </c>
      <c r="G208" s="66" t="str">
        <f>IF($D208="","",IF(COUNTIF('Config'!$E$8:$E$15,$D208)&gt;0,"Entrada",IF(COUNTIF('Config'!$G$8:$G$23,$D208)&gt;0,"Saída","Verificar")))</f>
        <v>Saída</v>
      </c>
    </row>
    <row r="209" spans="2:7" ht="16.5" customHeight="1">
      <c r="B209" s="63">
        <v>46187</v>
      </c>
      <c r="C209" s="64" t="s">
        <v>160</v>
      </c>
      <c r="D209" s="64" t="s">
        <v>39</v>
      </c>
      <c r="E209" s="64" t="s">
        <v>54</v>
      </c>
      <c r="F209" s="65">
        <v>52.75</v>
      </c>
      <c r="G209" s="66" t="str">
        <f>IF($D209="","",IF(COUNTIF('Config'!$E$8:$E$15,$D209)&gt;0,"Entrada",IF(COUNTIF('Config'!$G$8:$G$23,$D209)&gt;0,"Saída","Verificar")))</f>
        <v>Saída</v>
      </c>
    </row>
    <row r="210" spans="2:7" ht="16.5" customHeight="1">
      <c r="B210" s="63">
        <v>46188</v>
      </c>
      <c r="C210" s="64" t="s">
        <v>171</v>
      </c>
      <c r="D210" s="64" t="s">
        <v>38</v>
      </c>
      <c r="E210" s="64" t="s">
        <v>60</v>
      </c>
      <c r="F210" s="65">
        <v>164.69</v>
      </c>
      <c r="G210" s="66" t="str">
        <f>IF($D210="","",IF(COUNTIF('Config'!$E$8:$E$15,$D210)&gt;0,"Entrada",IF(COUNTIF('Config'!$G$8:$G$23,$D210)&gt;0,"Saída","Verificar")))</f>
        <v>Saída</v>
      </c>
    </row>
    <row r="211" spans="2:7" ht="16.5" customHeight="1">
      <c r="B211" s="63">
        <v>46188</v>
      </c>
      <c r="C211" s="64" t="s">
        <v>172</v>
      </c>
      <c r="D211" s="64" t="s">
        <v>42</v>
      </c>
      <c r="E211" s="64" t="s">
        <v>56</v>
      </c>
      <c r="F211" s="65">
        <v>149</v>
      </c>
      <c r="G211" s="66" t="str">
        <f>IF($D211="","",IF(COUNTIF('Config'!$E$8:$E$15,$D211)&gt;0,"Entrada",IF(COUNTIF('Config'!$G$8:$G$23,$D211)&gt;0,"Saída","Verificar")))</f>
        <v>Saída</v>
      </c>
    </row>
    <row r="212" spans="2:7" ht="16.5" customHeight="1">
      <c r="B212" s="63">
        <v>46189</v>
      </c>
      <c r="C212" s="64" t="s">
        <v>162</v>
      </c>
      <c r="D212" s="64" t="s">
        <v>40</v>
      </c>
      <c r="E212" s="64" t="s">
        <v>56</v>
      </c>
      <c r="F212" s="65">
        <v>37.24</v>
      </c>
      <c r="G212" s="66" t="str">
        <f>IF($D212="","",IF(COUNTIF('Config'!$E$8:$E$15,$D212)&gt;0,"Entrada",IF(COUNTIF('Config'!$G$8:$G$23,$D212)&gt;0,"Saída","Verificar")))</f>
        <v>Saída</v>
      </c>
    </row>
    <row r="213" spans="2:7" ht="16.5" customHeight="1">
      <c r="B213" s="63">
        <v>46190</v>
      </c>
      <c r="C213" s="64" t="s">
        <v>151</v>
      </c>
      <c r="D213" s="64" t="s">
        <v>39</v>
      </c>
      <c r="E213" s="64" t="s">
        <v>56</v>
      </c>
      <c r="F213" s="65">
        <v>176.29</v>
      </c>
      <c r="G213" s="66" t="str">
        <f>IF($D213="","",IF(COUNTIF('Config'!$E$8:$E$15,$D213)&gt;0,"Entrada",IF(COUNTIF('Config'!$G$8:$G$23,$D213)&gt;0,"Saída","Verificar")))</f>
        <v>Saída</v>
      </c>
    </row>
    <row r="214" spans="2:7" ht="16.5" customHeight="1">
      <c r="B214" s="63">
        <v>46191</v>
      </c>
      <c r="C214" s="64" t="s">
        <v>173</v>
      </c>
      <c r="D214" s="64" t="s">
        <v>46</v>
      </c>
      <c r="E214" s="64" t="s">
        <v>54</v>
      </c>
      <c r="F214" s="65">
        <v>85.87</v>
      </c>
      <c r="G214" s="66" t="str">
        <f>IF($D214="","",IF(COUNTIF('Config'!$E$8:$E$15,$D214)&gt;0,"Entrada",IF(COUNTIF('Config'!$G$8:$G$23,$D214)&gt;0,"Saída","Verificar")))</f>
        <v>Saída</v>
      </c>
    </row>
    <row r="215" spans="2:7" ht="16.5" customHeight="1">
      <c r="B215" s="63">
        <v>46192</v>
      </c>
      <c r="C215" s="64" t="s">
        <v>165</v>
      </c>
      <c r="D215" s="64" t="s">
        <v>39</v>
      </c>
      <c r="E215" s="64" t="s">
        <v>55</v>
      </c>
      <c r="F215" s="65">
        <v>58.6</v>
      </c>
      <c r="G215" s="66" t="str">
        <f>IF($D215="","",IF(COUNTIF('Config'!$E$8:$E$15,$D215)&gt;0,"Entrada",IF(COUNTIF('Config'!$G$8:$G$23,$D215)&gt;0,"Saída","Verificar")))</f>
        <v>Saída</v>
      </c>
    </row>
    <row r="216" spans="2:7" ht="16.5" customHeight="1">
      <c r="B216" s="63">
        <v>46192</v>
      </c>
      <c r="C216" s="64" t="s">
        <v>174</v>
      </c>
      <c r="D216" s="64" t="s">
        <v>52</v>
      </c>
      <c r="E216" s="64" t="s">
        <v>57</v>
      </c>
      <c r="F216" s="65">
        <v>49.36</v>
      </c>
      <c r="G216" s="66" t="str">
        <f>IF($D216="","",IF(COUNTIF('Config'!$E$8:$E$15,$D216)&gt;0,"Entrada",IF(COUNTIF('Config'!$G$8:$G$23,$D216)&gt;0,"Saída","Verificar")))</f>
        <v>Saída</v>
      </c>
    </row>
    <row r="217" spans="2:7" ht="16.5" customHeight="1">
      <c r="B217" s="63">
        <v>46193</v>
      </c>
      <c r="C217" s="64" t="s">
        <v>164</v>
      </c>
      <c r="D217" s="64" t="s">
        <v>43</v>
      </c>
      <c r="E217" s="64" t="s">
        <v>56</v>
      </c>
      <c r="F217" s="65">
        <v>54.21</v>
      </c>
      <c r="G217" s="66" t="str">
        <f>IF($D217="","",IF(COUNTIF('Config'!$E$8:$E$15,$D217)&gt;0,"Entrada",IF(COUNTIF('Config'!$G$8:$G$23,$D217)&gt;0,"Saída","Verificar")))</f>
        <v>Saída</v>
      </c>
    </row>
    <row r="218" spans="2:7" ht="16.5" customHeight="1">
      <c r="B218" s="63">
        <v>46193</v>
      </c>
      <c r="C218" s="64" t="s">
        <v>182</v>
      </c>
      <c r="D218" s="64" t="s">
        <v>32</v>
      </c>
      <c r="E218" s="64" t="s">
        <v>54</v>
      </c>
      <c r="F218" s="65">
        <v>360.13</v>
      </c>
      <c r="G218" s="66" t="str">
        <f>IF($D218="","",IF(COUNTIF('Config'!$E$8:$E$15,$D218)&gt;0,"Entrada",IF(COUNTIF('Config'!$G$8:$G$23,$D218)&gt;0,"Saída","Verificar")))</f>
        <v>Entrada</v>
      </c>
    </row>
    <row r="219" spans="2:7" ht="16.5" customHeight="1">
      <c r="B219" s="63">
        <v>46194</v>
      </c>
      <c r="C219" s="64" t="s">
        <v>175</v>
      </c>
      <c r="D219" s="64" t="s">
        <v>41</v>
      </c>
      <c r="E219" s="64" t="s">
        <v>55</v>
      </c>
      <c r="F219" s="65">
        <v>78.08</v>
      </c>
      <c r="G219" s="66" t="str">
        <f>IF($D219="","",IF(COUNTIF('Config'!$E$8:$E$15,$D219)&gt;0,"Entrada",IF(COUNTIF('Config'!$G$8:$G$23,$D219)&gt;0,"Saída","Verificar")))</f>
        <v>Saída</v>
      </c>
    </row>
    <row r="220" spans="2:7" ht="16.5" customHeight="1">
      <c r="B220" s="63">
        <v>46198</v>
      </c>
      <c r="C220" s="64" t="s">
        <v>176</v>
      </c>
      <c r="D220" s="64" t="s">
        <v>48</v>
      </c>
      <c r="E220" s="64" t="s">
        <v>54</v>
      </c>
      <c r="F220" s="65">
        <v>50</v>
      </c>
      <c r="G220" s="66" t="str">
        <f>IF($D220="","",IF(COUNTIF('Config'!$E$8:$E$15,$D220)&gt;0,"Entrada",IF(COUNTIF('Config'!$G$8:$G$23,$D220)&gt;0,"Saída","Verificar")))</f>
        <v>Saída</v>
      </c>
    </row>
    <row r="221" spans="2:7" ht="16.5" customHeight="1">
      <c r="B221" s="63">
        <v>46199</v>
      </c>
      <c r="C221" s="64" t="s">
        <v>162</v>
      </c>
      <c r="D221" s="64" t="s">
        <v>40</v>
      </c>
      <c r="E221" s="64" t="s">
        <v>56</v>
      </c>
      <c r="F221" s="65">
        <v>26.33</v>
      </c>
      <c r="G221" s="66" t="str">
        <f>IF($D221="","",IF(COUNTIF('Config'!$E$8:$E$15,$D221)&gt;0,"Entrada",IF(COUNTIF('Config'!$G$8:$G$23,$D221)&gt;0,"Saída","Verificar")))</f>
        <v>Saída</v>
      </c>
    </row>
    <row r="222" spans="2:7" ht="16.5" customHeight="1">
      <c r="B222" s="63">
        <v>46201</v>
      </c>
      <c r="C222" s="64" t="s">
        <v>177</v>
      </c>
      <c r="D222" s="64" t="s">
        <v>31</v>
      </c>
      <c r="E222" s="64" t="s">
        <v>59</v>
      </c>
      <c r="F222" s="65">
        <v>41.87</v>
      </c>
      <c r="G222" s="66" t="str">
        <f>IF($D222="","",IF(COUNTIF('Config'!$E$8:$E$15,$D222)&gt;0,"Entrada",IF(COUNTIF('Config'!$G$8:$G$23,$D222)&gt;0,"Saída","Verificar")))</f>
        <v>Entrada</v>
      </c>
    </row>
    <row r="223" spans="2:7" ht="16.5" customHeight="1">
      <c r="B223" s="63">
        <v>46206</v>
      </c>
      <c r="C223" s="64" t="s">
        <v>150</v>
      </c>
      <c r="D223" s="64" t="s">
        <v>46</v>
      </c>
      <c r="E223" s="64" t="s">
        <v>60</v>
      </c>
      <c r="F223" s="65">
        <v>119.9</v>
      </c>
      <c r="G223" s="66" t="str">
        <f>IF($D223="","",IF(COUNTIF('Config'!$E$8:$E$15,$D223)&gt;0,"Entrada",IF(COUNTIF('Config'!$G$8:$G$23,$D223)&gt;0,"Saída","Verificar")))</f>
        <v>Saída</v>
      </c>
    </row>
    <row r="224" spans="2:7" ht="16.5" customHeight="1">
      <c r="B224" s="63">
        <v>46206</v>
      </c>
      <c r="C224" s="64" t="s">
        <v>151</v>
      </c>
      <c r="D224" s="64" t="s">
        <v>39</v>
      </c>
      <c r="E224" s="64" t="s">
        <v>56</v>
      </c>
      <c r="F224" s="65">
        <v>161.61</v>
      </c>
      <c r="G224" s="66" t="str">
        <f>IF($D224="","",IF(COUNTIF('Config'!$E$8:$E$15,$D224)&gt;0,"Entrada",IF(COUNTIF('Config'!$G$8:$G$23,$D224)&gt;0,"Saída","Verificar")))</f>
        <v>Saída</v>
      </c>
    </row>
    <row r="225" spans="2:8" ht="16.5" customHeight="1">
      <c r="B225" s="63">
        <v>46207</v>
      </c>
      <c r="C225" s="64" t="s">
        <v>152</v>
      </c>
      <c r="D225" s="64" t="s">
        <v>40</v>
      </c>
      <c r="E225" s="64" t="s">
        <v>56</v>
      </c>
      <c r="F225" s="65">
        <v>183.49</v>
      </c>
      <c r="G225" s="66" t="str">
        <f>IF($D225="","",IF(COUNTIF('Config'!$E$8:$E$15,$D225)&gt;0,"Entrada",IF(COUNTIF('Config'!$G$8:$G$23,$D225)&gt;0,"Saída","Verificar")))</f>
        <v>Saída</v>
      </c>
    </row>
    <row r="226" spans="2:8" ht="16.5" customHeight="1">
      <c r="B226" s="63">
        <v>46208</v>
      </c>
      <c r="C226" s="64" t="s">
        <v>153</v>
      </c>
      <c r="D226" s="64" t="s">
        <v>28</v>
      </c>
      <c r="E226" s="64" t="s">
        <v>59</v>
      </c>
      <c r="F226" s="65">
        <v>4500</v>
      </c>
      <c r="G226" s="66" t="str">
        <f>IF($D226="","",IF(COUNTIF('Config'!$E$8:$E$15,$D226)&gt;0,"Entrada",IF(COUNTIF('Config'!$G$8:$G$23,$D226)&gt;0,"Saída","Verificar")))</f>
        <v>Entrada</v>
      </c>
    </row>
    <row r="227" spans="2:8" ht="16.5" customHeight="1">
      <c r="B227" s="63">
        <v>46209</v>
      </c>
      <c r="C227" s="64" t="s">
        <v>154</v>
      </c>
      <c r="D227" s="64" t="s">
        <v>50</v>
      </c>
      <c r="E227" s="64" t="s">
        <v>54</v>
      </c>
      <c r="F227" s="65">
        <v>300</v>
      </c>
      <c r="G227" s="66" t="str">
        <f>IF($D227="","",IF(COUNTIF('Config'!$E$8:$E$15,$D227)&gt;0,"Entrada",IF(COUNTIF('Config'!$G$8:$G$23,$D227)&gt;0,"Saída","Verificar")))</f>
        <v>Saída</v>
      </c>
      <c r="H227" s="64" t="s">
        <v>155</v>
      </c>
    </row>
    <row r="228" spans="2:8" ht="16.5" customHeight="1">
      <c r="B228" s="63">
        <v>46209</v>
      </c>
      <c r="C228" s="64" t="s">
        <v>156</v>
      </c>
      <c r="D228" s="64" t="s">
        <v>50</v>
      </c>
      <c r="E228" s="64" t="s">
        <v>54</v>
      </c>
      <c r="F228" s="65">
        <v>150</v>
      </c>
      <c r="G228" s="66" t="str">
        <f>IF($D228="","",IF(COUNTIF('Config'!$E$8:$E$15,$D228)&gt;0,"Entrada",IF(COUNTIF('Config'!$G$8:$G$23,$D228)&gt;0,"Saída","Verificar")))</f>
        <v>Saída</v>
      </c>
      <c r="H228" s="64" t="s">
        <v>157</v>
      </c>
    </row>
    <row r="229" spans="2:8" ht="16.5" customHeight="1">
      <c r="B229" s="63">
        <v>46209</v>
      </c>
      <c r="C229" s="64" t="s">
        <v>183</v>
      </c>
      <c r="D229" s="64" t="s">
        <v>50</v>
      </c>
      <c r="E229" s="64" t="s">
        <v>54</v>
      </c>
      <c r="F229" s="65">
        <v>150</v>
      </c>
      <c r="G229" s="66" t="str">
        <f>IF($D229="","",IF(COUNTIF('Config'!$E$8:$E$15,$D229)&gt;0,"Entrada",IF(COUNTIF('Config'!$G$8:$G$23,$D229)&gt;0,"Saída","Verificar")))</f>
        <v>Saída</v>
      </c>
      <c r="H229" s="64" t="s">
        <v>184</v>
      </c>
    </row>
    <row r="230" spans="2:8" ht="16.5" customHeight="1">
      <c r="B230" s="63">
        <v>46209</v>
      </c>
      <c r="C230" s="64" t="s">
        <v>158</v>
      </c>
      <c r="D230" s="64" t="s">
        <v>45</v>
      </c>
      <c r="E230" s="64" t="s">
        <v>56</v>
      </c>
      <c r="F230" s="65">
        <v>9.9</v>
      </c>
      <c r="G230" s="66" t="str">
        <f>IF($D230="","",IF(COUNTIF('Config'!$E$8:$E$15,$D230)&gt;0,"Entrada",IF(COUNTIF('Config'!$G$8:$G$23,$D230)&gt;0,"Saída","Verificar")))</f>
        <v>Saída</v>
      </c>
    </row>
    <row r="231" spans="2:8" ht="16.5" customHeight="1">
      <c r="B231" s="63">
        <v>46209</v>
      </c>
      <c r="C231" s="64" t="s">
        <v>159</v>
      </c>
      <c r="D231" s="64" t="s">
        <v>45</v>
      </c>
      <c r="E231" s="64" t="s">
        <v>56</v>
      </c>
      <c r="F231" s="65">
        <v>55.9</v>
      </c>
      <c r="G231" s="66" t="str">
        <f>IF($D231="","",IF(COUNTIF('Config'!$E$8:$E$15,$D231)&gt;0,"Entrada",IF(COUNTIF('Config'!$G$8:$G$23,$D231)&gt;0,"Saída","Verificar")))</f>
        <v>Saída</v>
      </c>
    </row>
    <row r="232" spans="2:8" ht="16.5" customHeight="1">
      <c r="B232" s="63">
        <v>46209</v>
      </c>
      <c r="C232" s="64" t="s">
        <v>160</v>
      </c>
      <c r="D232" s="64" t="s">
        <v>39</v>
      </c>
      <c r="E232" s="64" t="s">
        <v>54</v>
      </c>
      <c r="F232" s="65">
        <v>52.22</v>
      </c>
      <c r="G232" s="66" t="str">
        <f>IF($D232="","",IF(COUNTIF('Config'!$E$8:$E$15,$D232)&gt;0,"Entrada",IF(COUNTIF('Config'!$G$8:$G$23,$D232)&gt;0,"Saída","Verificar")))</f>
        <v>Saída</v>
      </c>
    </row>
    <row r="233" spans="2:8" ht="16.5" customHeight="1">
      <c r="B233" s="63">
        <v>46209</v>
      </c>
      <c r="C233" s="64" t="s">
        <v>161</v>
      </c>
      <c r="D233" s="64" t="s">
        <v>45</v>
      </c>
      <c r="E233" s="64" t="s">
        <v>56</v>
      </c>
      <c r="F233" s="65">
        <v>21.9</v>
      </c>
      <c r="G233" s="66" t="str">
        <f>IF($D233="","",IF(COUNTIF('Config'!$E$8:$E$15,$D233)&gt;0,"Entrada",IF(COUNTIF('Config'!$G$8:$G$23,$D233)&gt;0,"Saída","Verificar")))</f>
        <v>Saída</v>
      </c>
    </row>
    <row r="234" spans="2:8" ht="16.5" customHeight="1">
      <c r="B234" s="63">
        <v>46210</v>
      </c>
      <c r="C234" s="64" t="s">
        <v>162</v>
      </c>
      <c r="D234" s="64" t="s">
        <v>40</v>
      </c>
      <c r="E234" s="64" t="s">
        <v>56</v>
      </c>
      <c r="F234" s="65">
        <v>30.27</v>
      </c>
      <c r="G234" s="66" t="str">
        <f>IF($D234="","",IF(COUNTIF('Config'!$E$8:$E$15,$D234)&gt;0,"Entrada",IF(COUNTIF('Config'!$G$8:$G$23,$D234)&gt;0,"Saída","Verificar")))</f>
        <v>Saída</v>
      </c>
    </row>
    <row r="235" spans="2:8" ht="16.5" customHeight="1">
      <c r="B235" s="63">
        <v>46211</v>
      </c>
      <c r="C235" s="64" t="s">
        <v>163</v>
      </c>
      <c r="D235" s="64" t="s">
        <v>38</v>
      </c>
      <c r="E235" s="64" t="s">
        <v>60</v>
      </c>
      <c r="F235" s="65">
        <v>119.9</v>
      </c>
      <c r="G235" s="66" t="str">
        <f>IF($D235="","",IF(COUNTIF('Config'!$E$8:$E$15,$D235)&gt;0,"Entrada",IF(COUNTIF('Config'!$G$8:$G$23,$D235)&gt;0,"Saída","Verificar")))</f>
        <v>Saída</v>
      </c>
    </row>
    <row r="236" spans="2:8" ht="16.5" customHeight="1">
      <c r="B236" s="63">
        <v>46211</v>
      </c>
      <c r="C236" s="64" t="s">
        <v>164</v>
      </c>
      <c r="D236" s="64" t="s">
        <v>43</v>
      </c>
      <c r="E236" s="64" t="s">
        <v>56</v>
      </c>
      <c r="F236" s="65">
        <v>67.26000000000001</v>
      </c>
      <c r="G236" s="66" t="str">
        <f>IF($D236="","",IF(COUNTIF('Config'!$E$8:$E$15,$D236)&gt;0,"Entrada",IF(COUNTIF('Config'!$G$8:$G$23,$D236)&gt;0,"Saída","Verificar")))</f>
        <v>Saída</v>
      </c>
    </row>
    <row r="237" spans="2:8" ht="16.5" customHeight="1">
      <c r="B237" s="63">
        <v>46212</v>
      </c>
      <c r="C237" s="64" t="s">
        <v>165</v>
      </c>
      <c r="D237" s="64" t="s">
        <v>39</v>
      </c>
      <c r="E237" s="64" t="s">
        <v>55</v>
      </c>
      <c r="F237" s="65">
        <v>51.81</v>
      </c>
      <c r="G237" s="66" t="str">
        <f>IF($D237="","",IF(COUNTIF('Config'!$E$8:$E$15,$D237)&gt;0,"Entrada",IF(COUNTIF('Config'!$G$8:$G$23,$D237)&gt;0,"Saída","Verificar")))</f>
        <v>Saída</v>
      </c>
    </row>
    <row r="238" spans="2:8" ht="16.5" customHeight="1">
      <c r="B238" s="63">
        <v>46213</v>
      </c>
      <c r="C238" s="64" t="s">
        <v>166</v>
      </c>
      <c r="D238" s="64" t="s">
        <v>37</v>
      </c>
      <c r="E238" s="64" t="s">
        <v>58</v>
      </c>
      <c r="F238" s="65">
        <v>950</v>
      </c>
      <c r="G238" s="66" t="str">
        <f>IF($D238="","",IF(COUNTIF('Config'!$E$8:$E$15,$D238)&gt;0,"Entrada",IF(COUNTIF('Config'!$G$8:$G$23,$D238)&gt;0,"Saída","Verificar")))</f>
        <v>Saída</v>
      </c>
    </row>
    <row r="239" spans="2:8" ht="16.5" customHeight="1">
      <c r="B239" s="63">
        <v>46213</v>
      </c>
      <c r="C239" s="64" t="s">
        <v>167</v>
      </c>
      <c r="D239" s="64" t="s">
        <v>37</v>
      </c>
      <c r="E239" s="64" t="s">
        <v>58</v>
      </c>
      <c r="F239" s="65">
        <v>150</v>
      </c>
      <c r="G239" s="66" t="str">
        <f>IF($D239="","",IF(COUNTIF('Config'!$E$8:$E$15,$D239)&gt;0,"Entrada",IF(COUNTIF('Config'!$G$8:$G$23,$D239)&gt;0,"Saída","Verificar")))</f>
        <v>Saída</v>
      </c>
    </row>
    <row r="240" spans="2:8" ht="16.5" customHeight="1">
      <c r="B240" s="63">
        <v>46213</v>
      </c>
      <c r="C240" s="64" t="s">
        <v>168</v>
      </c>
      <c r="D240" s="64" t="s">
        <v>41</v>
      </c>
      <c r="E240" s="64" t="s">
        <v>60</v>
      </c>
      <c r="F240" s="65">
        <v>180</v>
      </c>
      <c r="G240" s="66" t="str">
        <f>IF($D240="","",IF(COUNTIF('Config'!$E$8:$E$15,$D240)&gt;0,"Entrada",IF(COUNTIF('Config'!$G$8:$G$23,$D240)&gt;0,"Saída","Verificar")))</f>
        <v>Saída</v>
      </c>
    </row>
    <row r="241" spans="2:7" ht="16.5" customHeight="1">
      <c r="B241" s="63">
        <v>46213</v>
      </c>
      <c r="C241" s="64" t="s">
        <v>151</v>
      </c>
      <c r="D241" s="64" t="s">
        <v>39</v>
      </c>
      <c r="E241" s="64" t="s">
        <v>56</v>
      </c>
      <c r="F241" s="65">
        <v>134.93</v>
      </c>
      <c r="G241" s="66" t="str">
        <f>IF($D241="","",IF(COUNTIF('Config'!$E$8:$E$15,$D241)&gt;0,"Entrada",IF(COUNTIF('Config'!$G$8:$G$23,$D241)&gt;0,"Saída","Verificar")))</f>
        <v>Saída</v>
      </c>
    </row>
    <row r="242" spans="2:7" ht="16.5" customHeight="1">
      <c r="B242" s="63">
        <v>46215</v>
      </c>
      <c r="C242" s="64" t="s">
        <v>169</v>
      </c>
      <c r="D242" s="64" t="s">
        <v>38</v>
      </c>
      <c r="E242" s="64" t="s">
        <v>60</v>
      </c>
      <c r="F242" s="65">
        <v>57.05</v>
      </c>
      <c r="G242" s="66" t="str">
        <f>IF($D242="","",IF(COUNTIF('Config'!$E$8:$E$15,$D242)&gt;0,"Entrada",IF(COUNTIF('Config'!$G$8:$G$23,$D242)&gt;0,"Saída","Verificar")))</f>
        <v>Saída</v>
      </c>
    </row>
    <row r="243" spans="2:7" ht="16.5" customHeight="1">
      <c r="B243" s="63">
        <v>46216</v>
      </c>
      <c r="C243" s="64" t="s">
        <v>170</v>
      </c>
      <c r="D243" s="64" t="s">
        <v>43</v>
      </c>
      <c r="E243" s="64" t="s">
        <v>55</v>
      </c>
      <c r="F243" s="65">
        <v>58.65</v>
      </c>
      <c r="G243" s="66" t="str">
        <f>IF($D243="","",IF(COUNTIF('Config'!$E$8:$E$15,$D243)&gt;0,"Entrada",IF(COUNTIF('Config'!$G$8:$G$23,$D243)&gt;0,"Saída","Verificar")))</f>
        <v>Saída</v>
      </c>
    </row>
    <row r="244" spans="2:7" ht="16.5" customHeight="1">
      <c r="B244" s="63">
        <v>46217</v>
      </c>
      <c r="C244" s="64" t="s">
        <v>160</v>
      </c>
      <c r="D244" s="64" t="s">
        <v>39</v>
      </c>
      <c r="E244" s="64" t="s">
        <v>54</v>
      </c>
      <c r="F244" s="65">
        <v>35.65</v>
      </c>
      <c r="G244" s="66" t="str">
        <f>IF($D244="","",IF(COUNTIF('Config'!$E$8:$E$15,$D244)&gt;0,"Entrada",IF(COUNTIF('Config'!$G$8:$G$23,$D244)&gt;0,"Saída","Verificar")))</f>
        <v>Saída</v>
      </c>
    </row>
    <row r="245" spans="2:7" ht="16.5" customHeight="1">
      <c r="B245" s="63">
        <v>46218</v>
      </c>
      <c r="C245" s="64" t="s">
        <v>171</v>
      </c>
      <c r="D245" s="64" t="s">
        <v>38</v>
      </c>
      <c r="E245" s="64" t="s">
        <v>60</v>
      </c>
      <c r="F245" s="65">
        <v>120.03</v>
      </c>
      <c r="G245" s="66" t="str">
        <f>IF($D245="","",IF(COUNTIF('Config'!$E$8:$E$15,$D245)&gt;0,"Entrada",IF(COUNTIF('Config'!$G$8:$G$23,$D245)&gt;0,"Saída","Verificar")))</f>
        <v>Saída</v>
      </c>
    </row>
    <row r="246" spans="2:7" ht="16.5" customHeight="1">
      <c r="B246" s="63">
        <v>46218</v>
      </c>
      <c r="C246" s="64" t="s">
        <v>172</v>
      </c>
      <c r="D246" s="64" t="s">
        <v>42</v>
      </c>
      <c r="E246" s="64" t="s">
        <v>56</v>
      </c>
      <c r="F246" s="65">
        <v>149</v>
      </c>
      <c r="G246" s="66" t="str">
        <f>IF($D246="","",IF(COUNTIF('Config'!$E$8:$E$15,$D246)&gt;0,"Entrada",IF(COUNTIF('Config'!$G$8:$G$23,$D246)&gt;0,"Saída","Verificar")))</f>
        <v>Saída</v>
      </c>
    </row>
    <row r="247" spans="2:7" ht="16.5" customHeight="1">
      <c r="B247" s="63">
        <v>46219</v>
      </c>
      <c r="C247" s="64" t="s">
        <v>162</v>
      </c>
      <c r="D247" s="64" t="s">
        <v>40</v>
      </c>
      <c r="E247" s="64" t="s">
        <v>56</v>
      </c>
      <c r="F247" s="65">
        <v>35.4</v>
      </c>
      <c r="G247" s="66" t="str">
        <f>IF($D247="","",IF(COUNTIF('Config'!$E$8:$E$15,$D247)&gt;0,"Entrada",IF(COUNTIF('Config'!$G$8:$G$23,$D247)&gt;0,"Saída","Verificar")))</f>
        <v>Saída</v>
      </c>
    </row>
    <row r="248" spans="2:7" ht="16.5" customHeight="1">
      <c r="B248" s="63">
        <v>46219</v>
      </c>
      <c r="C248" s="64" t="s">
        <v>181</v>
      </c>
      <c r="D248" s="64" t="s">
        <v>41</v>
      </c>
      <c r="E248" s="64" t="s">
        <v>54</v>
      </c>
      <c r="F248" s="65">
        <v>250</v>
      </c>
      <c r="G248" s="66" t="str">
        <f>IF($D248="","",IF(COUNTIF('Config'!$E$8:$E$15,$D248)&gt;0,"Entrada",IF(COUNTIF('Config'!$G$8:$G$23,$D248)&gt;0,"Saída","Verificar")))</f>
        <v>Saída</v>
      </c>
    </row>
    <row r="249" spans="2:7" ht="16.5" customHeight="1">
      <c r="B249" s="63">
        <v>46220</v>
      </c>
      <c r="C249" s="64" t="s">
        <v>151</v>
      </c>
      <c r="D249" s="64" t="s">
        <v>39</v>
      </c>
      <c r="E249" s="64" t="s">
        <v>56</v>
      </c>
      <c r="F249" s="65">
        <v>191.08</v>
      </c>
      <c r="G249" s="66" t="str">
        <f>IF($D249="","",IF(COUNTIF('Config'!$E$8:$E$15,$D249)&gt;0,"Entrada",IF(COUNTIF('Config'!$G$8:$G$23,$D249)&gt;0,"Saída","Verificar")))</f>
        <v>Saída</v>
      </c>
    </row>
    <row r="250" spans="2:7" ht="16.5" customHeight="1">
      <c r="B250" s="63">
        <v>46221</v>
      </c>
      <c r="C250" s="64" t="s">
        <v>173</v>
      </c>
      <c r="D250" s="64" t="s">
        <v>46</v>
      </c>
      <c r="E250" s="64" t="s">
        <v>54</v>
      </c>
      <c r="F250" s="65">
        <v>63.93</v>
      </c>
      <c r="G250" s="66" t="str">
        <f>IF($D250="","",IF(COUNTIF('Config'!$E$8:$E$15,$D250)&gt;0,"Entrada",IF(COUNTIF('Config'!$G$8:$G$23,$D250)&gt;0,"Saída","Verificar")))</f>
        <v>Saída</v>
      </c>
    </row>
    <row r="251" spans="2:7" ht="16.5" customHeight="1">
      <c r="B251" s="63">
        <v>46221</v>
      </c>
      <c r="C251" s="64" t="s">
        <v>188</v>
      </c>
      <c r="D251" s="64" t="s">
        <v>43</v>
      </c>
      <c r="E251" s="64" t="s">
        <v>56</v>
      </c>
      <c r="F251" s="65">
        <v>1260</v>
      </c>
      <c r="G251" s="66" t="str">
        <f>IF($D251="","",IF(COUNTIF('Config'!$E$8:$E$15,$D251)&gt;0,"Entrada",IF(COUNTIF('Config'!$G$8:$G$23,$D251)&gt;0,"Saída","Verificar")))</f>
        <v>Saída</v>
      </c>
    </row>
    <row r="252" spans="2:7" ht="16.5" customHeight="1">
      <c r="B252" s="63">
        <v>46222</v>
      </c>
      <c r="C252" s="64" t="s">
        <v>165</v>
      </c>
      <c r="D252" s="64" t="s">
        <v>39</v>
      </c>
      <c r="E252" s="64" t="s">
        <v>55</v>
      </c>
      <c r="F252" s="65">
        <v>40.66</v>
      </c>
      <c r="G252" s="66" t="str">
        <f>IF($D252="","",IF(COUNTIF('Config'!$E$8:$E$15,$D252)&gt;0,"Entrada",IF(COUNTIF('Config'!$G$8:$G$23,$D252)&gt;0,"Saída","Verificar")))</f>
        <v>Saída</v>
      </c>
    </row>
    <row r="253" spans="2:7" ht="16.5" customHeight="1">
      <c r="B253" s="63">
        <v>46222</v>
      </c>
      <c r="C253" s="64" t="s">
        <v>174</v>
      </c>
      <c r="D253" s="64" t="s">
        <v>52</v>
      </c>
      <c r="E253" s="64" t="s">
        <v>57</v>
      </c>
      <c r="F253" s="65">
        <v>102.69</v>
      </c>
      <c r="G253" s="66" t="str">
        <f>IF($D253="","",IF(COUNTIF('Config'!$E$8:$E$15,$D253)&gt;0,"Entrada",IF(COUNTIF('Config'!$G$8:$G$23,$D253)&gt;0,"Saída","Verificar")))</f>
        <v>Saída</v>
      </c>
    </row>
    <row r="254" spans="2:7" ht="16.5" customHeight="1">
      <c r="B254" s="63">
        <v>46223</v>
      </c>
      <c r="C254" s="64" t="s">
        <v>164</v>
      </c>
      <c r="D254" s="64" t="s">
        <v>43</v>
      </c>
      <c r="E254" s="64" t="s">
        <v>56</v>
      </c>
      <c r="F254" s="65">
        <v>88.42</v>
      </c>
      <c r="G254" s="66" t="str">
        <f>IF($D254="","",IF(COUNTIF('Config'!$E$8:$E$15,$D254)&gt;0,"Entrada",IF(COUNTIF('Config'!$G$8:$G$23,$D254)&gt;0,"Saída","Verificar")))</f>
        <v>Saída</v>
      </c>
    </row>
    <row r="255" spans="2:7" ht="16.5" customHeight="1">
      <c r="B255" s="63">
        <v>46224</v>
      </c>
      <c r="C255" s="64" t="s">
        <v>175</v>
      </c>
      <c r="D255" s="64" t="s">
        <v>41</v>
      </c>
      <c r="E255" s="64" t="s">
        <v>55</v>
      </c>
      <c r="F255" s="65">
        <v>61.7</v>
      </c>
      <c r="G255" s="66" t="str">
        <f>IF($D255="","",IF(COUNTIF('Config'!$E$8:$E$15,$D255)&gt;0,"Entrada",IF(COUNTIF('Config'!$G$8:$G$23,$D255)&gt;0,"Saída","Verificar")))</f>
        <v>Saída</v>
      </c>
    </row>
    <row r="256" spans="2:7" ht="16.5" customHeight="1">
      <c r="B256" s="63">
        <v>46225</v>
      </c>
      <c r="C256" s="64" t="s">
        <v>180</v>
      </c>
      <c r="D256" s="64" t="s">
        <v>44</v>
      </c>
      <c r="E256" s="64" t="s">
        <v>56</v>
      </c>
      <c r="F256" s="65">
        <v>201.36</v>
      </c>
      <c r="G256" s="66" t="str">
        <f>IF($D256="","",IF(COUNTIF('Config'!$E$8:$E$15,$D256)&gt;0,"Entrada",IF(COUNTIF('Config'!$G$8:$G$23,$D256)&gt;0,"Saída","Verificar")))</f>
        <v>Saída</v>
      </c>
    </row>
    <row r="257" spans="2:8" ht="16.5" customHeight="1">
      <c r="B257" s="63">
        <v>46228</v>
      </c>
      <c r="C257" s="64" t="s">
        <v>176</v>
      </c>
      <c r="D257" s="64" t="s">
        <v>48</v>
      </c>
      <c r="E257" s="64" t="s">
        <v>54</v>
      </c>
      <c r="F257" s="65">
        <v>50</v>
      </c>
      <c r="G257" s="66" t="str">
        <f>IF($D257="","",IF(COUNTIF('Config'!$E$8:$E$15,$D257)&gt;0,"Entrada",IF(COUNTIF('Config'!$G$8:$G$23,$D257)&gt;0,"Saída","Verificar")))</f>
        <v>Saída</v>
      </c>
    </row>
    <row r="258" spans="2:8" ht="16.5" customHeight="1">
      <c r="B258" s="63">
        <v>46229</v>
      </c>
      <c r="C258" s="64" t="s">
        <v>162</v>
      </c>
      <c r="D258" s="64" t="s">
        <v>40</v>
      </c>
      <c r="E258" s="64" t="s">
        <v>56</v>
      </c>
      <c r="F258" s="65">
        <v>38.54</v>
      </c>
      <c r="G258" s="66" t="str">
        <f>IF($D258="","",IF(COUNTIF('Config'!$E$8:$E$15,$D258)&gt;0,"Entrada",IF(COUNTIF('Config'!$G$8:$G$23,$D258)&gt;0,"Saída","Verificar")))</f>
        <v>Saída</v>
      </c>
    </row>
    <row r="259" spans="2:8" ht="16.5" customHeight="1">
      <c r="B259" s="63">
        <v>46231</v>
      </c>
      <c r="C259" s="64" t="s">
        <v>177</v>
      </c>
      <c r="D259" s="64" t="s">
        <v>31</v>
      </c>
      <c r="E259" s="64" t="s">
        <v>59</v>
      </c>
      <c r="F259" s="65">
        <v>60.59</v>
      </c>
      <c r="G259" s="66" t="str">
        <f>IF($D259="","",IF(COUNTIF('Config'!$E$8:$E$15,$D259)&gt;0,"Entrada",IF(COUNTIF('Config'!$G$8:$G$23,$D259)&gt;0,"Saída","Verificar")))</f>
        <v>Entrada</v>
      </c>
    </row>
    <row r="260" spans="2:8" ht="16.5" customHeight="1">
      <c r="B260" s="63">
        <v>46237</v>
      </c>
      <c r="C260" s="64" t="s">
        <v>150</v>
      </c>
      <c r="D260" s="64" t="s">
        <v>46</v>
      </c>
      <c r="E260" s="64" t="s">
        <v>60</v>
      </c>
      <c r="F260" s="65">
        <v>119.9</v>
      </c>
      <c r="G260" s="66" t="str">
        <f>IF($D260="","",IF(COUNTIF('Config'!$E$8:$E$15,$D260)&gt;0,"Entrada",IF(COUNTIF('Config'!$G$8:$G$23,$D260)&gt;0,"Saída","Verificar")))</f>
        <v>Saída</v>
      </c>
    </row>
    <row r="261" spans="2:8" ht="16.5" customHeight="1">
      <c r="B261" s="63">
        <v>46237</v>
      </c>
      <c r="C261" s="64" t="s">
        <v>151</v>
      </c>
      <c r="D261" s="64" t="s">
        <v>39</v>
      </c>
      <c r="E261" s="64" t="s">
        <v>56</v>
      </c>
      <c r="F261" s="65">
        <v>154.78</v>
      </c>
      <c r="G261" s="66" t="str">
        <f>IF($D261="","",IF(COUNTIF('Config'!$E$8:$E$15,$D261)&gt;0,"Entrada",IF(COUNTIF('Config'!$G$8:$G$23,$D261)&gt;0,"Saída","Verificar")))</f>
        <v>Saída</v>
      </c>
    </row>
    <row r="262" spans="2:8" ht="16.5" customHeight="1">
      <c r="B262" s="63">
        <v>46238</v>
      </c>
      <c r="C262" s="64" t="s">
        <v>152</v>
      </c>
      <c r="D262" s="64" t="s">
        <v>40</v>
      </c>
      <c r="E262" s="64" t="s">
        <v>56</v>
      </c>
      <c r="F262" s="65">
        <v>201.06</v>
      </c>
      <c r="G262" s="66" t="str">
        <f>IF($D262="","",IF(COUNTIF('Config'!$E$8:$E$15,$D262)&gt;0,"Entrada",IF(COUNTIF('Config'!$G$8:$G$23,$D262)&gt;0,"Saída","Verificar")))</f>
        <v>Saída</v>
      </c>
    </row>
    <row r="263" spans="2:8" ht="16.5" customHeight="1">
      <c r="B263" s="63">
        <v>46239</v>
      </c>
      <c r="C263" s="64" t="s">
        <v>153</v>
      </c>
      <c r="D263" s="64" t="s">
        <v>28</v>
      </c>
      <c r="E263" s="64" t="s">
        <v>59</v>
      </c>
      <c r="F263" s="65">
        <v>4500</v>
      </c>
      <c r="G263" s="66" t="str">
        <f>IF($D263="","",IF(COUNTIF('Config'!$E$8:$E$15,$D263)&gt;0,"Entrada",IF(COUNTIF('Config'!$G$8:$G$23,$D263)&gt;0,"Saída","Verificar")))</f>
        <v>Entrada</v>
      </c>
    </row>
    <row r="264" spans="2:8" ht="16.5" customHeight="1">
      <c r="B264" s="63">
        <v>46240</v>
      </c>
      <c r="C264" s="64" t="s">
        <v>154</v>
      </c>
      <c r="D264" s="64" t="s">
        <v>50</v>
      </c>
      <c r="E264" s="64" t="s">
        <v>54</v>
      </c>
      <c r="F264" s="65">
        <v>300</v>
      </c>
      <c r="G264" s="66" t="str">
        <f>IF($D264="","",IF(COUNTIF('Config'!$E$8:$E$15,$D264)&gt;0,"Entrada",IF(COUNTIF('Config'!$G$8:$G$23,$D264)&gt;0,"Saída","Verificar")))</f>
        <v>Saída</v>
      </c>
      <c r="H264" s="64" t="s">
        <v>155</v>
      </c>
    </row>
    <row r="265" spans="2:8" ht="16.5" customHeight="1">
      <c r="B265" s="63">
        <v>46240</v>
      </c>
      <c r="C265" s="64" t="s">
        <v>156</v>
      </c>
      <c r="D265" s="64" t="s">
        <v>50</v>
      </c>
      <c r="E265" s="64" t="s">
        <v>54</v>
      </c>
      <c r="F265" s="65">
        <v>150</v>
      </c>
      <c r="G265" s="66" t="str">
        <f>IF($D265="","",IF(COUNTIF('Config'!$E$8:$E$15,$D265)&gt;0,"Entrada",IF(COUNTIF('Config'!$G$8:$G$23,$D265)&gt;0,"Saída","Verificar")))</f>
        <v>Saída</v>
      </c>
      <c r="H265" s="64" t="s">
        <v>157</v>
      </c>
    </row>
    <row r="266" spans="2:8" ht="16.5" customHeight="1">
      <c r="B266" s="63">
        <v>46240</v>
      </c>
      <c r="C266" s="64" t="s">
        <v>183</v>
      </c>
      <c r="D266" s="64" t="s">
        <v>50</v>
      </c>
      <c r="E266" s="64" t="s">
        <v>54</v>
      </c>
      <c r="F266" s="65">
        <v>150</v>
      </c>
      <c r="G266" s="66" t="str">
        <f>IF($D266="","",IF(COUNTIF('Config'!$E$8:$E$15,$D266)&gt;0,"Entrada",IF(COUNTIF('Config'!$G$8:$G$23,$D266)&gt;0,"Saída","Verificar")))</f>
        <v>Saída</v>
      </c>
      <c r="H266" s="64" t="s">
        <v>184</v>
      </c>
    </row>
    <row r="267" spans="2:8" ht="16.5" customHeight="1">
      <c r="B267" s="63">
        <v>46240</v>
      </c>
      <c r="C267" s="64" t="s">
        <v>158</v>
      </c>
      <c r="D267" s="64" t="s">
        <v>45</v>
      </c>
      <c r="E267" s="64" t="s">
        <v>56</v>
      </c>
      <c r="F267" s="65">
        <v>9.9</v>
      </c>
      <c r="G267" s="66" t="str">
        <f>IF($D267="","",IF(COUNTIF('Config'!$E$8:$E$15,$D267)&gt;0,"Entrada",IF(COUNTIF('Config'!$G$8:$G$23,$D267)&gt;0,"Saída","Verificar")))</f>
        <v>Saída</v>
      </c>
    </row>
    <row r="268" spans="2:8" ht="16.5" customHeight="1">
      <c r="B268" s="63">
        <v>46240</v>
      </c>
      <c r="C268" s="64" t="s">
        <v>159</v>
      </c>
      <c r="D268" s="64" t="s">
        <v>45</v>
      </c>
      <c r="E268" s="64" t="s">
        <v>56</v>
      </c>
      <c r="F268" s="65">
        <v>55.9</v>
      </c>
      <c r="G268" s="66" t="str">
        <f>IF($D268="","",IF(COUNTIF('Config'!$E$8:$E$15,$D268)&gt;0,"Entrada",IF(COUNTIF('Config'!$G$8:$G$23,$D268)&gt;0,"Saída","Verificar")))</f>
        <v>Saída</v>
      </c>
    </row>
    <row r="269" spans="2:8" ht="16.5" customHeight="1">
      <c r="B269" s="63">
        <v>46240</v>
      </c>
      <c r="C269" s="64" t="s">
        <v>160</v>
      </c>
      <c r="D269" s="64" t="s">
        <v>39</v>
      </c>
      <c r="E269" s="64" t="s">
        <v>54</v>
      </c>
      <c r="F269" s="65">
        <v>28.42</v>
      </c>
      <c r="G269" s="66" t="str">
        <f>IF($D269="","",IF(COUNTIF('Config'!$E$8:$E$15,$D269)&gt;0,"Entrada",IF(COUNTIF('Config'!$G$8:$G$23,$D269)&gt;0,"Saída","Verificar")))</f>
        <v>Saída</v>
      </c>
    </row>
    <row r="270" spans="2:8" ht="16.5" customHeight="1">
      <c r="B270" s="63">
        <v>46240</v>
      </c>
      <c r="C270" s="64" t="s">
        <v>161</v>
      </c>
      <c r="D270" s="64" t="s">
        <v>45</v>
      </c>
      <c r="E270" s="64" t="s">
        <v>56</v>
      </c>
      <c r="F270" s="65">
        <v>21.9</v>
      </c>
      <c r="G270" s="66" t="str">
        <f>IF($D270="","",IF(COUNTIF('Config'!$E$8:$E$15,$D270)&gt;0,"Entrada",IF(COUNTIF('Config'!$G$8:$G$23,$D270)&gt;0,"Saída","Verificar")))</f>
        <v>Saída</v>
      </c>
    </row>
    <row r="271" spans="2:8" ht="16.5" customHeight="1">
      <c r="B271" s="63">
        <v>46241</v>
      </c>
      <c r="C271" s="64" t="s">
        <v>162</v>
      </c>
      <c r="D271" s="64" t="s">
        <v>40</v>
      </c>
      <c r="E271" s="64" t="s">
        <v>56</v>
      </c>
      <c r="F271" s="65">
        <v>38.5</v>
      </c>
      <c r="G271" s="66" t="str">
        <f>IF($D271="","",IF(COUNTIF('Config'!$E$8:$E$15,$D271)&gt;0,"Entrada",IF(COUNTIF('Config'!$G$8:$G$23,$D271)&gt;0,"Saída","Verificar")))</f>
        <v>Saída</v>
      </c>
    </row>
    <row r="272" spans="2:8" ht="16.5" customHeight="1">
      <c r="B272" s="63">
        <v>46242</v>
      </c>
      <c r="C272" s="64" t="s">
        <v>163</v>
      </c>
      <c r="D272" s="64" t="s">
        <v>38</v>
      </c>
      <c r="E272" s="64" t="s">
        <v>60</v>
      </c>
      <c r="F272" s="65">
        <v>119.9</v>
      </c>
      <c r="G272" s="66" t="str">
        <f>IF($D272="","",IF(COUNTIF('Config'!$E$8:$E$15,$D272)&gt;0,"Entrada",IF(COUNTIF('Config'!$G$8:$G$23,$D272)&gt;0,"Saída","Verificar")))</f>
        <v>Saída</v>
      </c>
    </row>
    <row r="273" spans="2:7" ht="16.5" customHeight="1">
      <c r="B273" s="63">
        <v>46242</v>
      </c>
      <c r="C273" s="64" t="s">
        <v>164</v>
      </c>
      <c r="D273" s="64" t="s">
        <v>43</v>
      </c>
      <c r="E273" s="64" t="s">
        <v>56</v>
      </c>
      <c r="F273" s="65">
        <v>80.70999999999999</v>
      </c>
      <c r="G273" s="66" t="str">
        <f>IF($D273="","",IF(COUNTIF('Config'!$E$8:$E$15,$D273)&gt;0,"Entrada",IF(COUNTIF('Config'!$G$8:$G$23,$D273)&gt;0,"Saída","Verificar")))</f>
        <v>Saída</v>
      </c>
    </row>
    <row r="274" spans="2:7" ht="16.5" customHeight="1">
      <c r="B274" s="63">
        <v>46243</v>
      </c>
      <c r="C274" s="64" t="s">
        <v>165</v>
      </c>
      <c r="D274" s="64" t="s">
        <v>39</v>
      </c>
      <c r="E274" s="64" t="s">
        <v>55</v>
      </c>
      <c r="F274" s="65">
        <v>45.71</v>
      </c>
      <c r="G274" s="66" t="str">
        <f>IF($D274="","",IF(COUNTIF('Config'!$E$8:$E$15,$D274)&gt;0,"Entrada",IF(COUNTIF('Config'!$G$8:$G$23,$D274)&gt;0,"Saída","Verificar")))</f>
        <v>Saída</v>
      </c>
    </row>
    <row r="275" spans="2:7" ht="16.5" customHeight="1">
      <c r="B275" s="63">
        <v>46243</v>
      </c>
      <c r="C275" s="64" t="s">
        <v>189</v>
      </c>
      <c r="D275" s="64" t="s">
        <v>48</v>
      </c>
      <c r="E275" s="64" t="s">
        <v>56</v>
      </c>
      <c r="F275" s="65">
        <v>111.6</v>
      </c>
      <c r="G275" s="66" t="str">
        <f>IF($D275="","",IF(COUNTIF('Config'!$E$8:$E$15,$D275)&gt;0,"Entrada",IF(COUNTIF('Config'!$G$8:$G$23,$D275)&gt;0,"Saída","Verificar")))</f>
        <v>Saída</v>
      </c>
    </row>
    <row r="276" spans="2:7" ht="16.5" customHeight="1">
      <c r="B276" s="63">
        <v>46244</v>
      </c>
      <c r="C276" s="64" t="s">
        <v>166</v>
      </c>
      <c r="D276" s="64" t="s">
        <v>37</v>
      </c>
      <c r="E276" s="64" t="s">
        <v>58</v>
      </c>
      <c r="F276" s="65">
        <v>950</v>
      </c>
      <c r="G276" s="66" t="str">
        <f>IF($D276="","",IF(COUNTIF('Config'!$E$8:$E$15,$D276)&gt;0,"Entrada",IF(COUNTIF('Config'!$G$8:$G$23,$D276)&gt;0,"Saída","Verificar")))</f>
        <v>Saída</v>
      </c>
    </row>
    <row r="277" spans="2:7" ht="16.5" customHeight="1">
      <c r="B277" s="63">
        <v>46244</v>
      </c>
      <c r="C277" s="64" t="s">
        <v>167</v>
      </c>
      <c r="D277" s="64" t="s">
        <v>37</v>
      </c>
      <c r="E277" s="64" t="s">
        <v>58</v>
      </c>
      <c r="F277" s="65">
        <v>150</v>
      </c>
      <c r="G277" s="66" t="str">
        <f>IF($D277="","",IF(COUNTIF('Config'!$E$8:$E$15,$D277)&gt;0,"Entrada",IF(COUNTIF('Config'!$G$8:$G$23,$D277)&gt;0,"Saída","Verificar")))</f>
        <v>Saída</v>
      </c>
    </row>
    <row r="278" spans="2:7" ht="16.5" customHeight="1">
      <c r="B278" s="63">
        <v>46244</v>
      </c>
      <c r="C278" s="64" t="s">
        <v>168</v>
      </c>
      <c r="D278" s="64" t="s">
        <v>41</v>
      </c>
      <c r="E278" s="64" t="s">
        <v>60</v>
      </c>
      <c r="F278" s="65">
        <v>180</v>
      </c>
      <c r="G278" s="66" t="str">
        <f>IF($D278="","",IF(COUNTIF('Config'!$E$8:$E$15,$D278)&gt;0,"Entrada",IF(COUNTIF('Config'!$G$8:$G$23,$D278)&gt;0,"Saída","Verificar")))</f>
        <v>Saída</v>
      </c>
    </row>
    <row r="279" spans="2:7" ht="16.5" customHeight="1">
      <c r="B279" s="63">
        <v>46244</v>
      </c>
      <c r="C279" s="64" t="s">
        <v>151</v>
      </c>
      <c r="D279" s="64" t="s">
        <v>39</v>
      </c>
      <c r="E279" s="64" t="s">
        <v>56</v>
      </c>
      <c r="F279" s="65">
        <v>174.64</v>
      </c>
      <c r="G279" s="66" t="str">
        <f>IF($D279="","",IF(COUNTIF('Config'!$E$8:$E$15,$D279)&gt;0,"Entrada",IF(COUNTIF('Config'!$G$8:$G$23,$D279)&gt;0,"Saída","Verificar")))</f>
        <v>Saída</v>
      </c>
    </row>
    <row r="280" spans="2:7" ht="16.5" customHeight="1">
      <c r="B280" s="63">
        <v>46246</v>
      </c>
      <c r="C280" s="64" t="s">
        <v>169</v>
      </c>
      <c r="D280" s="64" t="s">
        <v>38</v>
      </c>
      <c r="E280" s="64" t="s">
        <v>60</v>
      </c>
      <c r="F280" s="65">
        <v>61.08</v>
      </c>
      <c r="G280" s="66" t="str">
        <f>IF($D280="","",IF(COUNTIF('Config'!$E$8:$E$15,$D280)&gt;0,"Entrada",IF(COUNTIF('Config'!$G$8:$G$23,$D280)&gt;0,"Saída","Verificar")))</f>
        <v>Saída</v>
      </c>
    </row>
    <row r="281" spans="2:7" ht="16.5" customHeight="1">
      <c r="B281" s="63">
        <v>46246</v>
      </c>
      <c r="C281" s="64" t="s">
        <v>190</v>
      </c>
      <c r="D281" s="64" t="s">
        <v>40</v>
      </c>
      <c r="E281" s="64" t="s">
        <v>56</v>
      </c>
      <c r="F281" s="65">
        <v>420</v>
      </c>
      <c r="G281" s="66" t="str">
        <f>IF($D281="","",IF(COUNTIF('Config'!$E$8:$E$15,$D281)&gt;0,"Entrada",IF(COUNTIF('Config'!$G$8:$G$23,$D281)&gt;0,"Saída","Verificar")))</f>
        <v>Saída</v>
      </c>
    </row>
    <row r="282" spans="2:7" ht="16.5" customHeight="1">
      <c r="B282" s="63">
        <v>46247</v>
      </c>
      <c r="C282" s="64" t="s">
        <v>170</v>
      </c>
      <c r="D282" s="64" t="s">
        <v>43</v>
      </c>
      <c r="E282" s="64" t="s">
        <v>55</v>
      </c>
      <c r="F282" s="65">
        <v>44.69</v>
      </c>
      <c r="G282" s="66" t="str">
        <f>IF($D282="","",IF(COUNTIF('Config'!$E$8:$E$15,$D282)&gt;0,"Entrada",IF(COUNTIF('Config'!$G$8:$G$23,$D282)&gt;0,"Saída","Verificar")))</f>
        <v>Saída</v>
      </c>
    </row>
    <row r="283" spans="2:7" ht="16.5" customHeight="1">
      <c r="B283" s="63">
        <v>46248</v>
      </c>
      <c r="C283" s="64" t="s">
        <v>160</v>
      </c>
      <c r="D283" s="64" t="s">
        <v>39</v>
      </c>
      <c r="E283" s="64" t="s">
        <v>54</v>
      </c>
      <c r="F283" s="65">
        <v>47.96</v>
      </c>
      <c r="G283" s="66" t="str">
        <f>IF($D283="","",IF(COUNTIF('Config'!$E$8:$E$15,$D283)&gt;0,"Entrada",IF(COUNTIF('Config'!$G$8:$G$23,$D283)&gt;0,"Saída","Verificar")))</f>
        <v>Saída</v>
      </c>
    </row>
    <row r="284" spans="2:7" ht="16.5" customHeight="1">
      <c r="B284" s="63">
        <v>46249</v>
      </c>
      <c r="C284" s="64" t="s">
        <v>171</v>
      </c>
      <c r="D284" s="64" t="s">
        <v>38</v>
      </c>
      <c r="E284" s="64" t="s">
        <v>60</v>
      </c>
      <c r="F284" s="65">
        <v>126.03</v>
      </c>
      <c r="G284" s="66" t="str">
        <f>IF($D284="","",IF(COUNTIF('Config'!$E$8:$E$15,$D284)&gt;0,"Entrada",IF(COUNTIF('Config'!$G$8:$G$23,$D284)&gt;0,"Saída","Verificar")))</f>
        <v>Saída</v>
      </c>
    </row>
    <row r="285" spans="2:7" ht="16.5" customHeight="1">
      <c r="B285" s="63">
        <v>46249</v>
      </c>
      <c r="C285" s="64" t="s">
        <v>172</v>
      </c>
      <c r="D285" s="64" t="s">
        <v>42</v>
      </c>
      <c r="E285" s="64" t="s">
        <v>56</v>
      </c>
      <c r="F285" s="65">
        <v>149</v>
      </c>
      <c r="G285" s="66" t="str">
        <f>IF($D285="","",IF(COUNTIF('Config'!$E$8:$E$15,$D285)&gt;0,"Entrada",IF(COUNTIF('Config'!$G$8:$G$23,$D285)&gt;0,"Saída","Verificar")))</f>
        <v>Saída</v>
      </c>
    </row>
    <row r="286" spans="2:7" ht="16.5" customHeight="1">
      <c r="B286" s="63">
        <v>46250</v>
      </c>
      <c r="C286" s="64" t="s">
        <v>162</v>
      </c>
      <c r="D286" s="64" t="s">
        <v>40</v>
      </c>
      <c r="E286" s="64" t="s">
        <v>56</v>
      </c>
      <c r="F286" s="65">
        <v>38.41</v>
      </c>
      <c r="G286" s="66" t="str">
        <f>IF($D286="","",IF(COUNTIF('Config'!$E$8:$E$15,$D286)&gt;0,"Entrada",IF(COUNTIF('Config'!$G$8:$G$23,$D286)&gt;0,"Saída","Verificar")))</f>
        <v>Saída</v>
      </c>
    </row>
    <row r="287" spans="2:7" ht="16.5" customHeight="1">
      <c r="B287" s="63">
        <v>46251</v>
      </c>
      <c r="C287" s="64" t="s">
        <v>151</v>
      </c>
      <c r="D287" s="64" t="s">
        <v>39</v>
      </c>
      <c r="E287" s="64" t="s">
        <v>56</v>
      </c>
      <c r="F287" s="65">
        <v>200.88</v>
      </c>
      <c r="G287" s="66" t="str">
        <f>IF($D287="","",IF(COUNTIF('Config'!$E$8:$E$15,$D287)&gt;0,"Entrada",IF(COUNTIF('Config'!$G$8:$G$23,$D287)&gt;0,"Saída","Verificar")))</f>
        <v>Saída</v>
      </c>
    </row>
    <row r="288" spans="2:7" ht="16.5" customHeight="1">
      <c r="B288" s="63">
        <v>46252</v>
      </c>
      <c r="C288" s="64" t="s">
        <v>173</v>
      </c>
      <c r="D288" s="64" t="s">
        <v>46</v>
      </c>
      <c r="E288" s="64" t="s">
        <v>54</v>
      </c>
      <c r="F288" s="65">
        <v>53.54</v>
      </c>
      <c r="G288" s="66" t="str">
        <f>IF($D288="","",IF(COUNTIF('Config'!$E$8:$E$15,$D288)&gt;0,"Entrada",IF(COUNTIF('Config'!$G$8:$G$23,$D288)&gt;0,"Saída","Verificar")))</f>
        <v>Saída</v>
      </c>
    </row>
    <row r="289" spans="2:8" ht="16.5" customHeight="1">
      <c r="B289" s="63">
        <v>46253</v>
      </c>
      <c r="C289" s="64" t="s">
        <v>165</v>
      </c>
      <c r="D289" s="64" t="s">
        <v>39</v>
      </c>
      <c r="E289" s="64" t="s">
        <v>55</v>
      </c>
      <c r="F289" s="65">
        <v>65.58</v>
      </c>
      <c r="G289" s="66" t="str">
        <f>IF($D289="","",IF(COUNTIF('Config'!$E$8:$E$15,$D289)&gt;0,"Entrada",IF(COUNTIF('Config'!$G$8:$G$23,$D289)&gt;0,"Saída","Verificar")))</f>
        <v>Saída</v>
      </c>
    </row>
    <row r="290" spans="2:8" ht="16.5" customHeight="1">
      <c r="B290" s="63">
        <v>46253</v>
      </c>
      <c r="C290" s="64" t="s">
        <v>174</v>
      </c>
      <c r="D290" s="64" t="s">
        <v>52</v>
      </c>
      <c r="E290" s="64" t="s">
        <v>57</v>
      </c>
      <c r="F290" s="65">
        <v>103.09</v>
      </c>
      <c r="G290" s="66" t="str">
        <f>IF($D290="","",IF(COUNTIF('Config'!$E$8:$E$15,$D290)&gt;0,"Entrada",IF(COUNTIF('Config'!$G$8:$G$23,$D290)&gt;0,"Saída","Verificar")))</f>
        <v>Saída</v>
      </c>
    </row>
    <row r="291" spans="2:8" ht="16.5" customHeight="1">
      <c r="B291" s="63">
        <v>46254</v>
      </c>
      <c r="C291" s="64" t="s">
        <v>179</v>
      </c>
      <c r="D291" s="64" t="s">
        <v>38</v>
      </c>
      <c r="E291" s="64" t="s">
        <v>54</v>
      </c>
      <c r="F291" s="65">
        <v>112</v>
      </c>
      <c r="G291" s="66" t="str">
        <f>IF($D291="","",IF(COUNTIF('Config'!$E$8:$E$15,$D291)&gt;0,"Entrada",IF(COUNTIF('Config'!$G$8:$G$23,$D291)&gt;0,"Saída","Verificar")))</f>
        <v>Saída</v>
      </c>
    </row>
    <row r="292" spans="2:8" ht="16.5" customHeight="1">
      <c r="B292" s="63">
        <v>46254</v>
      </c>
      <c r="C292" s="64" t="s">
        <v>164</v>
      </c>
      <c r="D292" s="64" t="s">
        <v>43</v>
      </c>
      <c r="E292" s="64" t="s">
        <v>56</v>
      </c>
      <c r="F292" s="65">
        <v>67.83</v>
      </c>
      <c r="G292" s="66" t="str">
        <f>IF($D292="","",IF(COUNTIF('Config'!$E$8:$E$15,$D292)&gt;0,"Entrada",IF(COUNTIF('Config'!$G$8:$G$23,$D292)&gt;0,"Saída","Verificar")))</f>
        <v>Saída</v>
      </c>
    </row>
    <row r="293" spans="2:8" ht="16.5" customHeight="1">
      <c r="B293" s="63">
        <v>46255</v>
      </c>
      <c r="C293" s="64" t="s">
        <v>175</v>
      </c>
      <c r="D293" s="64" t="s">
        <v>41</v>
      </c>
      <c r="E293" s="64" t="s">
        <v>55</v>
      </c>
      <c r="F293" s="65">
        <v>41.77</v>
      </c>
      <c r="G293" s="66" t="str">
        <f>IF($D293="","",IF(COUNTIF('Config'!$E$8:$E$15,$D293)&gt;0,"Entrada",IF(COUNTIF('Config'!$G$8:$G$23,$D293)&gt;0,"Saída","Verificar")))</f>
        <v>Saída</v>
      </c>
    </row>
    <row r="294" spans="2:8" ht="16.5" customHeight="1">
      <c r="B294" s="63">
        <v>46259</v>
      </c>
      <c r="C294" s="64" t="s">
        <v>176</v>
      </c>
      <c r="D294" s="64" t="s">
        <v>48</v>
      </c>
      <c r="E294" s="64" t="s">
        <v>54</v>
      </c>
      <c r="F294" s="65">
        <v>50</v>
      </c>
      <c r="G294" s="66" t="str">
        <f>IF($D294="","",IF(COUNTIF('Config'!$E$8:$E$15,$D294)&gt;0,"Entrada",IF(COUNTIF('Config'!$G$8:$G$23,$D294)&gt;0,"Saída","Verificar")))</f>
        <v>Saída</v>
      </c>
    </row>
    <row r="295" spans="2:8" ht="16.5" customHeight="1">
      <c r="B295" s="63">
        <v>46260</v>
      </c>
      <c r="C295" s="64" t="s">
        <v>162</v>
      </c>
      <c r="D295" s="64" t="s">
        <v>40</v>
      </c>
      <c r="E295" s="64" t="s">
        <v>56</v>
      </c>
      <c r="F295" s="65">
        <v>31.32</v>
      </c>
      <c r="G295" s="66" t="str">
        <f>IF($D295="","",IF(COUNTIF('Config'!$E$8:$E$15,$D295)&gt;0,"Entrada",IF(COUNTIF('Config'!$G$8:$G$23,$D295)&gt;0,"Saída","Verificar")))</f>
        <v>Saída</v>
      </c>
    </row>
    <row r="296" spans="2:8" ht="16.5" customHeight="1">
      <c r="B296" s="63">
        <v>46262</v>
      </c>
      <c r="C296" s="64" t="s">
        <v>177</v>
      </c>
      <c r="D296" s="64" t="s">
        <v>31</v>
      </c>
      <c r="E296" s="64" t="s">
        <v>59</v>
      </c>
      <c r="F296" s="65">
        <v>44.92</v>
      </c>
      <c r="G296" s="66" t="str">
        <f>IF($D296="","",IF(COUNTIF('Config'!$E$8:$E$15,$D296)&gt;0,"Entrada",IF(COUNTIF('Config'!$G$8:$G$23,$D296)&gt;0,"Saída","Verificar")))</f>
        <v>Entrada</v>
      </c>
    </row>
    <row r="297" spans="2:8" ht="16.5" customHeight="1">
      <c r="B297" s="63">
        <v>46268</v>
      </c>
      <c r="C297" s="64" t="s">
        <v>150</v>
      </c>
      <c r="D297" s="64" t="s">
        <v>46</v>
      </c>
      <c r="E297" s="64" t="s">
        <v>60</v>
      </c>
      <c r="F297" s="65">
        <v>119.9</v>
      </c>
      <c r="G297" s="66" t="str">
        <f>IF($D297="","",IF(COUNTIF('Config'!$E$8:$E$15,$D297)&gt;0,"Entrada",IF(COUNTIF('Config'!$G$8:$G$23,$D297)&gt;0,"Saída","Verificar")))</f>
        <v>Saída</v>
      </c>
    </row>
    <row r="298" spans="2:8" ht="16.5" customHeight="1">
      <c r="B298" s="63">
        <v>46268</v>
      </c>
      <c r="C298" s="64" t="s">
        <v>151</v>
      </c>
      <c r="D298" s="64" t="s">
        <v>39</v>
      </c>
      <c r="E298" s="64" t="s">
        <v>56</v>
      </c>
      <c r="F298" s="65">
        <v>134.95</v>
      </c>
      <c r="G298" s="66" t="str">
        <f>IF($D298="","",IF(COUNTIF('Config'!$E$8:$E$15,$D298)&gt;0,"Entrada",IF(COUNTIF('Config'!$G$8:$G$23,$D298)&gt;0,"Saída","Verificar")))</f>
        <v>Saída</v>
      </c>
    </row>
    <row r="299" spans="2:8" ht="16.5" customHeight="1">
      <c r="B299" s="63">
        <v>46269</v>
      </c>
      <c r="C299" s="64" t="s">
        <v>152</v>
      </c>
      <c r="D299" s="64" t="s">
        <v>40</v>
      </c>
      <c r="E299" s="64" t="s">
        <v>56</v>
      </c>
      <c r="F299" s="65">
        <v>190.48</v>
      </c>
      <c r="G299" s="66" t="str">
        <f>IF($D299="","",IF(COUNTIF('Config'!$E$8:$E$15,$D299)&gt;0,"Entrada",IF(COUNTIF('Config'!$G$8:$G$23,$D299)&gt;0,"Saída","Verificar")))</f>
        <v>Saída</v>
      </c>
    </row>
    <row r="300" spans="2:8" ht="16.5" customHeight="1">
      <c r="B300" s="63">
        <v>46270</v>
      </c>
      <c r="C300" s="64" t="s">
        <v>153</v>
      </c>
      <c r="D300" s="64" t="s">
        <v>28</v>
      </c>
      <c r="E300" s="64" t="s">
        <v>59</v>
      </c>
      <c r="F300" s="65">
        <v>4500</v>
      </c>
      <c r="G300" s="66" t="str">
        <f>IF($D300="","",IF(COUNTIF('Config'!$E$8:$E$15,$D300)&gt;0,"Entrada",IF(COUNTIF('Config'!$G$8:$G$23,$D300)&gt;0,"Saída","Verificar")))</f>
        <v>Entrada</v>
      </c>
    </row>
    <row r="301" spans="2:8" ht="16.5" customHeight="1">
      <c r="B301" s="63">
        <v>46271</v>
      </c>
      <c r="C301" s="64" t="s">
        <v>154</v>
      </c>
      <c r="D301" s="64" t="s">
        <v>50</v>
      </c>
      <c r="E301" s="64" t="s">
        <v>54</v>
      </c>
      <c r="F301" s="65">
        <v>300</v>
      </c>
      <c r="G301" s="66" t="str">
        <f>IF($D301="","",IF(COUNTIF('Config'!$E$8:$E$15,$D301)&gt;0,"Entrada",IF(COUNTIF('Config'!$G$8:$G$23,$D301)&gt;0,"Saída","Verificar")))</f>
        <v>Saída</v>
      </c>
      <c r="H301" s="64" t="s">
        <v>155</v>
      </c>
    </row>
    <row r="302" spans="2:8" ht="16.5" customHeight="1">
      <c r="B302" s="63">
        <v>46271</v>
      </c>
      <c r="C302" s="64" t="s">
        <v>156</v>
      </c>
      <c r="D302" s="64" t="s">
        <v>50</v>
      </c>
      <c r="E302" s="64" t="s">
        <v>54</v>
      </c>
      <c r="F302" s="65">
        <v>150</v>
      </c>
      <c r="G302" s="66" t="str">
        <f>IF($D302="","",IF(COUNTIF('Config'!$E$8:$E$15,$D302)&gt;0,"Entrada",IF(COUNTIF('Config'!$G$8:$G$23,$D302)&gt;0,"Saída","Verificar")))</f>
        <v>Saída</v>
      </c>
      <c r="H302" s="64" t="s">
        <v>157</v>
      </c>
    </row>
    <row r="303" spans="2:8" ht="16.5" customHeight="1">
      <c r="B303" s="63">
        <v>46271</v>
      </c>
      <c r="C303" s="64" t="s">
        <v>183</v>
      </c>
      <c r="D303" s="64" t="s">
        <v>50</v>
      </c>
      <c r="E303" s="64" t="s">
        <v>54</v>
      </c>
      <c r="F303" s="65">
        <v>150</v>
      </c>
      <c r="G303" s="66" t="str">
        <f>IF($D303="","",IF(COUNTIF('Config'!$E$8:$E$15,$D303)&gt;0,"Entrada",IF(COUNTIF('Config'!$G$8:$G$23,$D303)&gt;0,"Saída","Verificar")))</f>
        <v>Saída</v>
      </c>
      <c r="H303" s="64" t="s">
        <v>184</v>
      </c>
    </row>
    <row r="304" spans="2:8" ht="16.5" customHeight="1">
      <c r="B304" s="63">
        <v>46271</v>
      </c>
      <c r="C304" s="64" t="s">
        <v>158</v>
      </c>
      <c r="D304" s="64" t="s">
        <v>45</v>
      </c>
      <c r="E304" s="64" t="s">
        <v>56</v>
      </c>
      <c r="F304" s="65">
        <v>9.9</v>
      </c>
      <c r="G304" s="66" t="str">
        <f>IF($D304="","",IF(COUNTIF('Config'!$E$8:$E$15,$D304)&gt;0,"Entrada",IF(COUNTIF('Config'!$G$8:$G$23,$D304)&gt;0,"Saída","Verificar")))</f>
        <v>Saída</v>
      </c>
    </row>
    <row r="305" spans="2:7" ht="16.5" customHeight="1">
      <c r="B305" s="63">
        <v>46271</v>
      </c>
      <c r="C305" s="64" t="s">
        <v>159</v>
      </c>
      <c r="D305" s="64" t="s">
        <v>45</v>
      </c>
      <c r="E305" s="64" t="s">
        <v>56</v>
      </c>
      <c r="F305" s="65">
        <v>55.9</v>
      </c>
      <c r="G305" s="66" t="str">
        <f>IF($D305="","",IF(COUNTIF('Config'!$E$8:$E$15,$D305)&gt;0,"Entrada",IF(COUNTIF('Config'!$G$8:$G$23,$D305)&gt;0,"Saída","Verificar")))</f>
        <v>Saída</v>
      </c>
    </row>
    <row r="306" spans="2:7" ht="16.5" customHeight="1">
      <c r="B306" s="63">
        <v>46271</v>
      </c>
      <c r="C306" s="64" t="s">
        <v>160</v>
      </c>
      <c r="D306" s="64" t="s">
        <v>39</v>
      </c>
      <c r="E306" s="64" t="s">
        <v>54</v>
      </c>
      <c r="F306" s="65">
        <v>43.86</v>
      </c>
      <c r="G306" s="66" t="str">
        <f>IF($D306="","",IF(COUNTIF('Config'!$E$8:$E$15,$D306)&gt;0,"Entrada",IF(COUNTIF('Config'!$G$8:$G$23,$D306)&gt;0,"Saída","Verificar")))</f>
        <v>Saída</v>
      </c>
    </row>
    <row r="307" spans="2:7" ht="16.5" customHeight="1">
      <c r="B307" s="63">
        <v>46271</v>
      </c>
      <c r="C307" s="64" t="s">
        <v>161</v>
      </c>
      <c r="D307" s="64" t="s">
        <v>45</v>
      </c>
      <c r="E307" s="64" t="s">
        <v>56</v>
      </c>
      <c r="F307" s="65">
        <v>21.9</v>
      </c>
      <c r="G307" s="66" t="str">
        <f>IF($D307="","",IF(COUNTIF('Config'!$E$8:$E$15,$D307)&gt;0,"Entrada",IF(COUNTIF('Config'!$G$8:$G$23,$D307)&gt;0,"Saída","Verificar")))</f>
        <v>Saída</v>
      </c>
    </row>
    <row r="308" spans="2:7" ht="16.5" customHeight="1">
      <c r="B308" s="63">
        <v>46272</v>
      </c>
      <c r="C308" s="64" t="s">
        <v>162</v>
      </c>
      <c r="D308" s="64" t="s">
        <v>40</v>
      </c>
      <c r="E308" s="64" t="s">
        <v>56</v>
      </c>
      <c r="F308" s="65">
        <v>29.51</v>
      </c>
      <c r="G308" s="66" t="str">
        <f>IF($D308="","",IF(COUNTIF('Config'!$E$8:$E$15,$D308)&gt;0,"Entrada",IF(COUNTIF('Config'!$G$8:$G$23,$D308)&gt;0,"Saída","Verificar")))</f>
        <v>Saída</v>
      </c>
    </row>
    <row r="309" spans="2:7" ht="16.5" customHeight="1">
      <c r="B309" s="63">
        <v>46273</v>
      </c>
      <c r="C309" s="64" t="s">
        <v>163</v>
      </c>
      <c r="D309" s="64" t="s">
        <v>38</v>
      </c>
      <c r="E309" s="64" t="s">
        <v>60</v>
      </c>
      <c r="F309" s="65">
        <v>119.9</v>
      </c>
      <c r="G309" s="66" t="str">
        <f>IF($D309="","",IF(COUNTIF('Config'!$E$8:$E$15,$D309)&gt;0,"Entrada",IF(COUNTIF('Config'!$G$8:$G$23,$D309)&gt;0,"Saída","Verificar")))</f>
        <v>Saída</v>
      </c>
    </row>
    <row r="310" spans="2:7" ht="16.5" customHeight="1">
      <c r="B310" s="63">
        <v>46273</v>
      </c>
      <c r="C310" s="64" t="s">
        <v>164</v>
      </c>
      <c r="D310" s="64" t="s">
        <v>43</v>
      </c>
      <c r="E310" s="64" t="s">
        <v>56</v>
      </c>
      <c r="F310" s="65">
        <v>80.45999999999999</v>
      </c>
      <c r="G310" s="66" t="str">
        <f>IF($D310="","",IF(COUNTIF('Config'!$E$8:$E$15,$D310)&gt;0,"Entrada",IF(COUNTIF('Config'!$G$8:$G$23,$D310)&gt;0,"Saída","Verificar")))</f>
        <v>Saída</v>
      </c>
    </row>
    <row r="311" spans="2:7" ht="16.5" customHeight="1">
      <c r="B311" s="63">
        <v>46274</v>
      </c>
      <c r="C311" s="64" t="s">
        <v>165</v>
      </c>
      <c r="D311" s="64" t="s">
        <v>39</v>
      </c>
      <c r="E311" s="64" t="s">
        <v>55</v>
      </c>
      <c r="F311" s="65">
        <v>49.28</v>
      </c>
      <c r="G311" s="66" t="str">
        <f>IF($D311="","",IF(COUNTIF('Config'!$E$8:$E$15,$D311)&gt;0,"Entrada",IF(COUNTIF('Config'!$G$8:$G$23,$D311)&gt;0,"Saída","Verificar")))</f>
        <v>Saída</v>
      </c>
    </row>
    <row r="312" spans="2:7" ht="16.5" customHeight="1">
      <c r="B312" s="63">
        <v>46275</v>
      </c>
      <c r="C312" s="64" t="s">
        <v>166</v>
      </c>
      <c r="D312" s="64" t="s">
        <v>37</v>
      </c>
      <c r="E312" s="64" t="s">
        <v>58</v>
      </c>
      <c r="F312" s="65">
        <v>950</v>
      </c>
      <c r="G312" s="66" t="str">
        <f>IF($D312="","",IF(COUNTIF('Config'!$E$8:$E$15,$D312)&gt;0,"Entrada",IF(COUNTIF('Config'!$G$8:$G$23,$D312)&gt;0,"Saída","Verificar")))</f>
        <v>Saída</v>
      </c>
    </row>
    <row r="313" spans="2:7" ht="16.5" customHeight="1">
      <c r="B313" s="63">
        <v>46275</v>
      </c>
      <c r="C313" s="64" t="s">
        <v>167</v>
      </c>
      <c r="D313" s="64" t="s">
        <v>37</v>
      </c>
      <c r="E313" s="64" t="s">
        <v>58</v>
      </c>
      <c r="F313" s="65">
        <v>150</v>
      </c>
      <c r="G313" s="66" t="str">
        <f>IF($D313="","",IF(COUNTIF('Config'!$E$8:$E$15,$D313)&gt;0,"Entrada",IF(COUNTIF('Config'!$G$8:$G$23,$D313)&gt;0,"Saída","Verificar")))</f>
        <v>Saída</v>
      </c>
    </row>
    <row r="314" spans="2:7" ht="16.5" customHeight="1">
      <c r="B314" s="63">
        <v>46275</v>
      </c>
      <c r="C314" s="64" t="s">
        <v>168</v>
      </c>
      <c r="D314" s="64" t="s">
        <v>41</v>
      </c>
      <c r="E314" s="64" t="s">
        <v>60</v>
      </c>
      <c r="F314" s="65">
        <v>180</v>
      </c>
      <c r="G314" s="66" t="str">
        <f>IF($D314="","",IF(COUNTIF('Config'!$E$8:$E$15,$D314)&gt;0,"Entrada",IF(COUNTIF('Config'!$G$8:$G$23,$D314)&gt;0,"Saída","Verificar")))</f>
        <v>Saída</v>
      </c>
    </row>
    <row r="315" spans="2:7" ht="16.5" customHeight="1">
      <c r="B315" s="63">
        <v>46275</v>
      </c>
      <c r="C315" s="64" t="s">
        <v>151</v>
      </c>
      <c r="D315" s="64" t="s">
        <v>39</v>
      </c>
      <c r="E315" s="64" t="s">
        <v>56</v>
      </c>
      <c r="F315" s="65">
        <v>128.36</v>
      </c>
      <c r="G315" s="66" t="str">
        <f>IF($D315="","",IF(COUNTIF('Config'!$E$8:$E$15,$D315)&gt;0,"Entrada",IF(COUNTIF('Config'!$G$8:$G$23,$D315)&gt;0,"Saída","Verificar")))</f>
        <v>Saída</v>
      </c>
    </row>
    <row r="316" spans="2:7" ht="16.5" customHeight="1">
      <c r="B316" s="63">
        <v>46277</v>
      </c>
      <c r="C316" s="64" t="s">
        <v>169</v>
      </c>
      <c r="D316" s="64" t="s">
        <v>38</v>
      </c>
      <c r="E316" s="64" t="s">
        <v>60</v>
      </c>
      <c r="F316" s="65">
        <v>60.93</v>
      </c>
      <c r="G316" s="66" t="str">
        <f>IF($D316="","",IF(COUNTIF('Config'!$E$8:$E$15,$D316)&gt;0,"Entrada",IF(COUNTIF('Config'!$G$8:$G$23,$D316)&gt;0,"Saída","Verificar")))</f>
        <v>Saída</v>
      </c>
    </row>
    <row r="317" spans="2:7" ht="16.5" customHeight="1">
      <c r="B317" s="63">
        <v>46278</v>
      </c>
      <c r="C317" s="64" t="s">
        <v>170</v>
      </c>
      <c r="D317" s="64" t="s">
        <v>43</v>
      </c>
      <c r="E317" s="64" t="s">
        <v>55</v>
      </c>
      <c r="F317" s="65">
        <v>50.57</v>
      </c>
      <c r="G317" s="66" t="str">
        <f>IF($D317="","",IF(COUNTIF('Config'!$E$8:$E$15,$D317)&gt;0,"Entrada",IF(COUNTIF('Config'!$G$8:$G$23,$D317)&gt;0,"Saída","Verificar")))</f>
        <v>Saída</v>
      </c>
    </row>
    <row r="318" spans="2:7" ht="16.5" customHeight="1">
      <c r="B318" s="63">
        <v>46279</v>
      </c>
      <c r="C318" s="64" t="s">
        <v>160</v>
      </c>
      <c r="D318" s="64" t="s">
        <v>39</v>
      </c>
      <c r="E318" s="64" t="s">
        <v>54</v>
      </c>
      <c r="F318" s="65">
        <v>37.84</v>
      </c>
      <c r="G318" s="66" t="str">
        <f>IF($D318="","",IF(COUNTIF('Config'!$E$8:$E$15,$D318)&gt;0,"Entrada",IF(COUNTIF('Config'!$G$8:$G$23,$D318)&gt;0,"Saída","Verificar")))</f>
        <v>Saída</v>
      </c>
    </row>
    <row r="319" spans="2:7" ht="16.5" customHeight="1">
      <c r="B319" s="63">
        <v>46280</v>
      </c>
      <c r="C319" s="64" t="s">
        <v>171</v>
      </c>
      <c r="D319" s="64" t="s">
        <v>38</v>
      </c>
      <c r="E319" s="64" t="s">
        <v>60</v>
      </c>
      <c r="F319" s="65">
        <v>109.08</v>
      </c>
      <c r="G319" s="66" t="str">
        <f>IF($D319="","",IF(COUNTIF('Config'!$E$8:$E$15,$D319)&gt;0,"Entrada",IF(COUNTIF('Config'!$G$8:$G$23,$D319)&gt;0,"Saída","Verificar")))</f>
        <v>Saída</v>
      </c>
    </row>
    <row r="320" spans="2:7" ht="16.5" customHeight="1">
      <c r="B320" s="63">
        <v>46280</v>
      </c>
      <c r="C320" s="64" t="s">
        <v>172</v>
      </c>
      <c r="D320" s="64" t="s">
        <v>42</v>
      </c>
      <c r="E320" s="64" t="s">
        <v>56</v>
      </c>
      <c r="F320" s="65">
        <v>149</v>
      </c>
      <c r="G320" s="66" t="str">
        <f>IF($D320="","",IF(COUNTIF('Config'!$E$8:$E$15,$D320)&gt;0,"Entrada",IF(COUNTIF('Config'!$G$8:$G$23,$D320)&gt;0,"Saída","Verificar")))</f>
        <v>Saída</v>
      </c>
    </row>
    <row r="321" spans="2:7" ht="16.5" customHeight="1">
      <c r="B321" s="63">
        <v>46281</v>
      </c>
      <c r="C321" s="64" t="s">
        <v>162</v>
      </c>
      <c r="D321" s="64" t="s">
        <v>40</v>
      </c>
      <c r="E321" s="64" t="s">
        <v>56</v>
      </c>
      <c r="F321" s="65">
        <v>18.39</v>
      </c>
      <c r="G321" s="66" t="str">
        <f>IF($D321="","",IF(COUNTIF('Config'!$E$8:$E$15,$D321)&gt;0,"Entrada",IF(COUNTIF('Config'!$G$8:$G$23,$D321)&gt;0,"Saída","Verificar")))</f>
        <v>Saída</v>
      </c>
    </row>
    <row r="322" spans="2:7" ht="16.5" customHeight="1">
      <c r="B322" s="63">
        <v>46282</v>
      </c>
      <c r="C322" s="64" t="s">
        <v>151</v>
      </c>
      <c r="D322" s="64" t="s">
        <v>39</v>
      </c>
      <c r="E322" s="64" t="s">
        <v>56</v>
      </c>
      <c r="F322" s="65">
        <v>185.43</v>
      </c>
      <c r="G322" s="66" t="str">
        <f>IF($D322="","",IF(COUNTIF('Config'!$E$8:$E$15,$D322)&gt;0,"Entrada",IF(COUNTIF('Config'!$G$8:$G$23,$D322)&gt;0,"Saída","Verificar")))</f>
        <v>Saída</v>
      </c>
    </row>
    <row r="323" spans="2:7" ht="16.5" customHeight="1">
      <c r="B323" s="63">
        <v>46283</v>
      </c>
      <c r="C323" s="64" t="s">
        <v>173</v>
      </c>
      <c r="D323" s="64" t="s">
        <v>46</v>
      </c>
      <c r="E323" s="64" t="s">
        <v>54</v>
      </c>
      <c r="F323" s="65">
        <v>55.21</v>
      </c>
      <c r="G323" s="66" t="str">
        <f>IF($D323="","",IF(COUNTIF('Config'!$E$8:$E$15,$D323)&gt;0,"Entrada",IF(COUNTIF('Config'!$G$8:$G$23,$D323)&gt;0,"Saída","Verificar")))</f>
        <v>Saída</v>
      </c>
    </row>
    <row r="324" spans="2:7" ht="16.5" customHeight="1">
      <c r="B324" s="63">
        <v>46284</v>
      </c>
      <c r="C324" s="64" t="s">
        <v>165</v>
      </c>
      <c r="D324" s="64" t="s">
        <v>39</v>
      </c>
      <c r="E324" s="64" t="s">
        <v>55</v>
      </c>
      <c r="F324" s="65">
        <v>47.55</v>
      </c>
      <c r="G324" s="66" t="str">
        <f>IF($D324="","",IF(COUNTIF('Config'!$E$8:$E$15,$D324)&gt;0,"Entrada",IF(COUNTIF('Config'!$G$8:$G$23,$D324)&gt;0,"Saída","Verificar")))</f>
        <v>Saída</v>
      </c>
    </row>
    <row r="325" spans="2:7" ht="16.5" customHeight="1">
      <c r="B325" s="63">
        <v>46284</v>
      </c>
      <c r="C325" s="64" t="s">
        <v>174</v>
      </c>
      <c r="D325" s="64" t="s">
        <v>52</v>
      </c>
      <c r="E325" s="64" t="s">
        <v>57</v>
      </c>
      <c r="F325" s="65">
        <v>53.46</v>
      </c>
      <c r="G325" s="66" t="str">
        <f>IF($D325="","",IF(COUNTIF('Config'!$E$8:$E$15,$D325)&gt;0,"Entrada",IF(COUNTIF('Config'!$G$8:$G$23,$D325)&gt;0,"Saída","Verificar")))</f>
        <v>Saída</v>
      </c>
    </row>
    <row r="326" spans="2:7" ht="16.5" customHeight="1">
      <c r="B326" s="63">
        <v>46285</v>
      </c>
      <c r="C326" s="64" t="s">
        <v>164</v>
      </c>
      <c r="D326" s="64" t="s">
        <v>43</v>
      </c>
      <c r="E326" s="64" t="s">
        <v>56</v>
      </c>
      <c r="F326" s="65">
        <v>70.64</v>
      </c>
      <c r="G326" s="66" t="str">
        <f>IF($D326="","",IF(COUNTIF('Config'!$E$8:$E$15,$D326)&gt;0,"Entrada",IF(COUNTIF('Config'!$G$8:$G$23,$D326)&gt;0,"Saída","Verificar")))</f>
        <v>Saída</v>
      </c>
    </row>
    <row r="327" spans="2:7" ht="16.5" customHeight="1">
      <c r="B327" s="63">
        <v>46286</v>
      </c>
      <c r="C327" s="64" t="s">
        <v>175</v>
      </c>
      <c r="D327" s="64" t="s">
        <v>41</v>
      </c>
      <c r="E327" s="64" t="s">
        <v>55</v>
      </c>
      <c r="F327" s="65">
        <v>75.84999999999999</v>
      </c>
      <c r="G327" s="66" t="str">
        <f>IF($D327="","",IF(COUNTIF('Config'!$E$8:$E$15,$D327)&gt;0,"Entrada",IF(COUNTIF('Config'!$G$8:$G$23,$D327)&gt;0,"Saída","Verificar")))</f>
        <v>Saída</v>
      </c>
    </row>
    <row r="328" spans="2:7" ht="16.5" customHeight="1">
      <c r="B328" s="63">
        <v>46287</v>
      </c>
      <c r="C328" s="64" t="s">
        <v>180</v>
      </c>
      <c r="D328" s="64" t="s">
        <v>44</v>
      </c>
      <c r="E328" s="64" t="s">
        <v>56</v>
      </c>
      <c r="F328" s="65">
        <v>138.36</v>
      </c>
      <c r="G328" s="66" t="str">
        <f>IF($D328="","",IF(COUNTIF('Config'!$E$8:$E$15,$D328)&gt;0,"Entrada",IF(COUNTIF('Config'!$G$8:$G$23,$D328)&gt;0,"Saída","Verificar")))</f>
        <v>Saída</v>
      </c>
    </row>
    <row r="329" spans="2:7" ht="16.5" customHeight="1">
      <c r="B329" s="63">
        <v>46290</v>
      </c>
      <c r="C329" s="64" t="s">
        <v>176</v>
      </c>
      <c r="D329" s="64" t="s">
        <v>48</v>
      </c>
      <c r="E329" s="64" t="s">
        <v>54</v>
      </c>
      <c r="F329" s="65">
        <v>50</v>
      </c>
      <c r="G329" s="66" t="str">
        <f>IF($D329="","",IF(COUNTIF('Config'!$E$8:$E$15,$D329)&gt;0,"Entrada",IF(COUNTIF('Config'!$G$8:$G$23,$D329)&gt;0,"Saída","Verificar")))</f>
        <v>Saída</v>
      </c>
    </row>
    <row r="330" spans="2:7" ht="16.5" customHeight="1">
      <c r="B330" s="63">
        <v>46291</v>
      </c>
      <c r="C330" s="64" t="s">
        <v>162</v>
      </c>
      <c r="D330" s="64" t="s">
        <v>40</v>
      </c>
      <c r="E330" s="64" t="s">
        <v>56</v>
      </c>
      <c r="F330" s="65">
        <v>26.13</v>
      </c>
      <c r="G330" s="66" t="str">
        <f>IF($D330="","",IF(COUNTIF('Config'!$E$8:$E$15,$D330)&gt;0,"Entrada",IF(COUNTIF('Config'!$G$8:$G$23,$D330)&gt;0,"Saída","Verificar")))</f>
        <v>Saída</v>
      </c>
    </row>
    <row r="331" spans="2:7" ht="16.5" customHeight="1">
      <c r="B331" s="63">
        <v>46293</v>
      </c>
      <c r="C331" s="64" t="s">
        <v>177</v>
      </c>
      <c r="D331" s="64" t="s">
        <v>31</v>
      </c>
      <c r="E331" s="64" t="s">
        <v>59</v>
      </c>
      <c r="F331" s="65">
        <v>52.89</v>
      </c>
      <c r="G331" s="66" t="str">
        <f>IF($D331="","",IF(COUNTIF('Config'!$E$8:$E$15,$D331)&gt;0,"Entrada",IF(COUNTIF('Config'!$G$8:$G$23,$D331)&gt;0,"Saída","Verificar")))</f>
        <v>Entrada</v>
      </c>
    </row>
    <row r="332" spans="2:7" ht="16.5" customHeight="1">
      <c r="G332" s="66">
        <f>IF($D332="","",IF(COUNTIF('Config'!$E$8:$E$15,$D332)&gt;0,"Entrada",IF(COUNTIF('Config'!$G$8:$G$23,$D332)&gt;0,"Saída","Verificar")))</f>
        <v/>
      </c>
    </row>
    <row r="333" spans="2:7" ht="16.5" customHeight="1">
      <c r="G333" s="66">
        <f>IF($D333="","",IF(COUNTIF('Config'!$E$8:$E$15,$D333)&gt;0,"Entrada",IF(COUNTIF('Config'!$G$8:$G$23,$D333)&gt;0,"Saída","Verificar")))</f>
        <v/>
      </c>
    </row>
    <row r="334" spans="2:7" ht="16.5" customHeight="1">
      <c r="G334" s="66">
        <f>IF($D334="","",IF(COUNTIF('Config'!$E$8:$E$15,$D334)&gt;0,"Entrada",IF(COUNTIF('Config'!$G$8:$G$23,$D334)&gt;0,"Saída","Verificar")))</f>
        <v/>
      </c>
    </row>
    <row r="335" spans="2:7" ht="16.5" customHeight="1">
      <c r="G335" s="66">
        <f>IF($D335="","",IF(COUNTIF('Config'!$E$8:$E$15,$D335)&gt;0,"Entrada",IF(COUNTIF('Config'!$G$8:$G$23,$D335)&gt;0,"Saída","Verificar")))</f>
        <v/>
      </c>
    </row>
    <row r="336" spans="2:7" ht="16.5" customHeight="1">
      <c r="G336" s="66">
        <f>IF($D336="","",IF(COUNTIF('Config'!$E$8:$E$15,$D336)&gt;0,"Entrada",IF(COUNTIF('Config'!$G$8:$G$23,$D336)&gt;0,"Saída","Verificar")))</f>
        <v/>
      </c>
    </row>
    <row r="337" spans="7:7" ht="16.5" customHeight="1">
      <c r="G337" s="66">
        <f>IF($D337="","",IF(COUNTIF('Config'!$E$8:$E$15,$D337)&gt;0,"Entrada",IF(COUNTIF('Config'!$G$8:$G$23,$D337)&gt;0,"Saída","Verificar")))</f>
        <v/>
      </c>
    </row>
    <row r="338" spans="7:7" ht="16.5" customHeight="1">
      <c r="G338" s="66">
        <f>IF($D338="","",IF(COUNTIF('Config'!$E$8:$E$15,$D338)&gt;0,"Entrada",IF(COUNTIF('Config'!$G$8:$G$23,$D338)&gt;0,"Saída","Verificar")))</f>
        <v/>
      </c>
    </row>
    <row r="339" spans="7:7" ht="16.5" customHeight="1">
      <c r="G339" s="66">
        <f>IF($D339="","",IF(COUNTIF('Config'!$E$8:$E$15,$D339)&gt;0,"Entrada",IF(COUNTIF('Config'!$G$8:$G$23,$D339)&gt;0,"Saída","Verificar")))</f>
        <v/>
      </c>
    </row>
    <row r="340" spans="7:7" ht="16.5" customHeight="1">
      <c r="G340" s="66">
        <f>IF($D340="","",IF(COUNTIF('Config'!$E$8:$E$15,$D340)&gt;0,"Entrada",IF(COUNTIF('Config'!$G$8:$G$23,$D340)&gt;0,"Saída","Verificar")))</f>
        <v/>
      </c>
    </row>
    <row r="341" spans="7:7" ht="16.5" customHeight="1">
      <c r="G341" s="66">
        <f>IF($D341="","",IF(COUNTIF('Config'!$E$8:$E$15,$D341)&gt;0,"Entrada",IF(COUNTIF('Config'!$G$8:$G$23,$D341)&gt;0,"Saída","Verificar")))</f>
        <v/>
      </c>
    </row>
    <row r="342" spans="7:7" ht="16.5" customHeight="1">
      <c r="G342" s="66">
        <f>IF($D342="","",IF(COUNTIF('Config'!$E$8:$E$15,$D342)&gt;0,"Entrada",IF(COUNTIF('Config'!$G$8:$G$23,$D342)&gt;0,"Saída","Verificar")))</f>
        <v/>
      </c>
    </row>
    <row r="343" spans="7:7" ht="16.5" customHeight="1">
      <c r="G343" s="66">
        <f>IF($D343="","",IF(COUNTIF('Config'!$E$8:$E$15,$D343)&gt;0,"Entrada",IF(COUNTIF('Config'!$G$8:$G$23,$D343)&gt;0,"Saída","Verificar")))</f>
        <v/>
      </c>
    </row>
    <row r="344" spans="7:7" ht="16.5" customHeight="1">
      <c r="G344" s="66">
        <f>IF($D344="","",IF(COUNTIF('Config'!$E$8:$E$15,$D344)&gt;0,"Entrada",IF(COUNTIF('Config'!$G$8:$G$23,$D344)&gt;0,"Saída","Verificar")))</f>
        <v/>
      </c>
    </row>
    <row r="345" spans="7:7" ht="16.5" customHeight="1">
      <c r="G345" s="66">
        <f>IF($D345="","",IF(COUNTIF('Config'!$E$8:$E$15,$D345)&gt;0,"Entrada",IF(COUNTIF('Config'!$G$8:$G$23,$D345)&gt;0,"Saída","Verificar")))</f>
        <v/>
      </c>
    </row>
    <row r="346" spans="7:7" ht="16.5" customHeight="1">
      <c r="G346" s="66">
        <f>IF($D346="","",IF(COUNTIF('Config'!$E$8:$E$15,$D346)&gt;0,"Entrada",IF(COUNTIF('Config'!$G$8:$G$23,$D346)&gt;0,"Saída","Verificar")))</f>
        <v/>
      </c>
    </row>
    <row r="347" spans="7:7" ht="16.5" customHeight="1">
      <c r="G347" s="66">
        <f>IF($D347="","",IF(COUNTIF('Config'!$E$8:$E$15,$D347)&gt;0,"Entrada",IF(COUNTIF('Config'!$G$8:$G$23,$D347)&gt;0,"Saída","Verificar")))</f>
        <v/>
      </c>
    </row>
    <row r="348" spans="7:7" ht="16.5" customHeight="1">
      <c r="G348" s="66">
        <f>IF($D348="","",IF(COUNTIF('Config'!$E$8:$E$15,$D348)&gt;0,"Entrada",IF(COUNTIF('Config'!$G$8:$G$23,$D348)&gt;0,"Saída","Verificar")))</f>
        <v/>
      </c>
    </row>
    <row r="349" spans="7:7" ht="16.5" customHeight="1">
      <c r="G349" s="66">
        <f>IF($D349="","",IF(COUNTIF('Config'!$E$8:$E$15,$D349)&gt;0,"Entrada",IF(COUNTIF('Config'!$G$8:$G$23,$D349)&gt;0,"Saída","Verificar")))</f>
        <v/>
      </c>
    </row>
    <row r="350" spans="7:7" ht="16.5" customHeight="1">
      <c r="G350" s="66">
        <f>IF($D350="","",IF(COUNTIF('Config'!$E$8:$E$15,$D350)&gt;0,"Entrada",IF(COUNTIF('Config'!$G$8:$G$23,$D350)&gt;0,"Saída","Verificar")))</f>
        <v/>
      </c>
    </row>
    <row r="351" spans="7:7" ht="16.5" customHeight="1">
      <c r="G351" s="66">
        <f>IF($D351="","",IF(COUNTIF('Config'!$E$8:$E$15,$D351)&gt;0,"Entrada",IF(COUNTIF('Config'!$G$8:$G$23,$D351)&gt;0,"Saída","Verificar")))</f>
        <v/>
      </c>
    </row>
    <row r="352" spans="7:7" ht="16.5" customHeight="1">
      <c r="G352" s="66">
        <f>IF($D352="","",IF(COUNTIF('Config'!$E$8:$E$15,$D352)&gt;0,"Entrada",IF(COUNTIF('Config'!$G$8:$G$23,$D352)&gt;0,"Saída","Verificar")))</f>
        <v/>
      </c>
    </row>
    <row r="353" spans="7:7" ht="16.5" customHeight="1">
      <c r="G353" s="66">
        <f>IF($D353="","",IF(COUNTIF('Config'!$E$8:$E$15,$D353)&gt;0,"Entrada",IF(COUNTIF('Config'!$G$8:$G$23,$D353)&gt;0,"Saída","Verificar")))</f>
        <v/>
      </c>
    </row>
    <row r="354" spans="7:7" ht="16.5" customHeight="1">
      <c r="G354" s="66">
        <f>IF($D354="","",IF(COUNTIF('Config'!$E$8:$E$15,$D354)&gt;0,"Entrada",IF(COUNTIF('Config'!$G$8:$G$23,$D354)&gt;0,"Saída","Verificar")))</f>
        <v/>
      </c>
    </row>
    <row r="355" spans="7:7" ht="16.5" customHeight="1">
      <c r="G355" s="66">
        <f>IF($D355="","",IF(COUNTIF('Config'!$E$8:$E$15,$D355)&gt;0,"Entrada",IF(COUNTIF('Config'!$G$8:$G$23,$D355)&gt;0,"Saída","Verificar")))</f>
        <v/>
      </c>
    </row>
    <row r="356" spans="7:7" ht="16.5" customHeight="1">
      <c r="G356" s="66">
        <f>IF($D356="","",IF(COUNTIF('Config'!$E$8:$E$15,$D356)&gt;0,"Entrada",IF(COUNTIF('Config'!$G$8:$G$23,$D356)&gt;0,"Saída","Verificar")))</f>
        <v/>
      </c>
    </row>
    <row r="357" spans="7:7" ht="16.5" customHeight="1">
      <c r="G357" s="66">
        <f>IF($D357="","",IF(COUNTIF('Config'!$E$8:$E$15,$D357)&gt;0,"Entrada",IF(COUNTIF('Config'!$G$8:$G$23,$D357)&gt;0,"Saída","Verificar")))</f>
        <v/>
      </c>
    </row>
    <row r="358" spans="7:7" ht="16.5" customHeight="1">
      <c r="G358" s="66">
        <f>IF($D358="","",IF(COUNTIF('Config'!$E$8:$E$15,$D358)&gt;0,"Entrada",IF(COUNTIF('Config'!$G$8:$G$23,$D358)&gt;0,"Saída","Verificar")))</f>
        <v/>
      </c>
    </row>
    <row r="359" spans="7:7" ht="16.5" customHeight="1">
      <c r="G359" s="66">
        <f>IF($D359="","",IF(COUNTIF('Config'!$E$8:$E$15,$D359)&gt;0,"Entrada",IF(COUNTIF('Config'!$G$8:$G$23,$D359)&gt;0,"Saída","Verificar")))</f>
        <v/>
      </c>
    </row>
    <row r="360" spans="7:7" ht="16.5" customHeight="1">
      <c r="G360" s="66">
        <f>IF($D360="","",IF(COUNTIF('Config'!$E$8:$E$15,$D360)&gt;0,"Entrada",IF(COUNTIF('Config'!$G$8:$G$23,$D360)&gt;0,"Saída","Verificar")))</f>
        <v/>
      </c>
    </row>
    <row r="361" spans="7:7" ht="16.5" customHeight="1">
      <c r="G361" s="66">
        <f>IF($D361="","",IF(COUNTIF('Config'!$E$8:$E$15,$D361)&gt;0,"Entrada",IF(COUNTIF('Config'!$G$8:$G$23,$D361)&gt;0,"Saída","Verificar")))</f>
        <v/>
      </c>
    </row>
    <row r="362" spans="7:7" ht="16.5" customHeight="1">
      <c r="G362" s="66">
        <f>IF($D362="","",IF(COUNTIF('Config'!$E$8:$E$15,$D362)&gt;0,"Entrada",IF(COUNTIF('Config'!$G$8:$G$23,$D362)&gt;0,"Saída","Verificar")))</f>
        <v/>
      </c>
    </row>
    <row r="363" spans="7:7" ht="16.5" customHeight="1">
      <c r="G363" s="66">
        <f>IF($D363="","",IF(COUNTIF('Config'!$E$8:$E$15,$D363)&gt;0,"Entrada",IF(COUNTIF('Config'!$G$8:$G$23,$D363)&gt;0,"Saída","Verificar")))</f>
        <v/>
      </c>
    </row>
    <row r="364" spans="7:7" ht="16.5" customHeight="1">
      <c r="G364" s="66">
        <f>IF($D364="","",IF(COUNTIF('Config'!$E$8:$E$15,$D364)&gt;0,"Entrada",IF(COUNTIF('Config'!$G$8:$G$23,$D364)&gt;0,"Saída","Verificar")))</f>
        <v/>
      </c>
    </row>
    <row r="365" spans="7:7" ht="16.5" customHeight="1">
      <c r="G365" s="66">
        <f>IF($D365="","",IF(COUNTIF('Config'!$E$8:$E$15,$D365)&gt;0,"Entrada",IF(COUNTIF('Config'!$G$8:$G$23,$D365)&gt;0,"Saída","Verificar")))</f>
        <v/>
      </c>
    </row>
    <row r="366" spans="7:7" ht="16.5" customHeight="1">
      <c r="G366" s="66">
        <f>IF($D366="","",IF(COUNTIF('Config'!$E$8:$E$15,$D366)&gt;0,"Entrada",IF(COUNTIF('Config'!$G$8:$G$23,$D366)&gt;0,"Saída","Verificar")))</f>
        <v/>
      </c>
    </row>
    <row r="367" spans="7:7" ht="16.5" customHeight="1">
      <c r="G367" s="66">
        <f>IF($D367="","",IF(COUNTIF('Config'!$E$8:$E$15,$D367)&gt;0,"Entrada",IF(COUNTIF('Config'!$G$8:$G$23,$D367)&gt;0,"Saída","Verificar")))</f>
        <v/>
      </c>
    </row>
    <row r="368" spans="7:7" ht="16.5" customHeight="1">
      <c r="G368" s="66">
        <f>IF($D368="","",IF(COUNTIF('Config'!$E$8:$E$15,$D368)&gt;0,"Entrada",IF(COUNTIF('Config'!$G$8:$G$23,$D368)&gt;0,"Saída","Verificar")))</f>
        <v/>
      </c>
    </row>
    <row r="369" spans="7:7" ht="16.5" customHeight="1">
      <c r="G369" s="66">
        <f>IF($D369="","",IF(COUNTIF('Config'!$E$8:$E$15,$D369)&gt;0,"Entrada",IF(COUNTIF('Config'!$G$8:$G$23,$D369)&gt;0,"Saída","Verificar")))</f>
        <v/>
      </c>
    </row>
    <row r="370" spans="7:7" ht="16.5" customHeight="1">
      <c r="G370" s="66">
        <f>IF($D370="","",IF(COUNTIF('Config'!$E$8:$E$15,$D370)&gt;0,"Entrada",IF(COUNTIF('Config'!$G$8:$G$23,$D370)&gt;0,"Saída","Verificar")))</f>
        <v/>
      </c>
    </row>
    <row r="371" spans="7:7" ht="16.5" customHeight="1">
      <c r="G371" s="66">
        <f>IF($D371="","",IF(COUNTIF('Config'!$E$8:$E$15,$D371)&gt;0,"Entrada",IF(COUNTIF('Config'!$G$8:$G$23,$D371)&gt;0,"Saída","Verificar")))</f>
        <v/>
      </c>
    </row>
    <row r="372" spans="7:7" ht="16.5" customHeight="1">
      <c r="G372" s="66">
        <f>IF($D372="","",IF(COUNTIF('Config'!$E$8:$E$15,$D372)&gt;0,"Entrada",IF(COUNTIF('Config'!$G$8:$G$23,$D372)&gt;0,"Saída","Verificar")))</f>
        <v/>
      </c>
    </row>
    <row r="373" spans="7:7" ht="16.5" customHeight="1">
      <c r="G373" s="66">
        <f>IF($D373="","",IF(COUNTIF('Config'!$E$8:$E$15,$D373)&gt;0,"Entrada",IF(COUNTIF('Config'!$G$8:$G$23,$D373)&gt;0,"Saída","Verificar")))</f>
        <v/>
      </c>
    </row>
    <row r="374" spans="7:7" ht="16.5" customHeight="1">
      <c r="G374" s="66">
        <f>IF($D374="","",IF(COUNTIF('Config'!$E$8:$E$15,$D374)&gt;0,"Entrada",IF(COUNTIF('Config'!$G$8:$G$23,$D374)&gt;0,"Saída","Verificar")))</f>
        <v/>
      </c>
    </row>
    <row r="375" spans="7:7" ht="16.5" customHeight="1">
      <c r="G375" s="66">
        <f>IF($D375="","",IF(COUNTIF('Config'!$E$8:$E$15,$D375)&gt;0,"Entrada",IF(COUNTIF('Config'!$G$8:$G$23,$D375)&gt;0,"Saída","Verificar")))</f>
        <v/>
      </c>
    </row>
    <row r="376" spans="7:7" ht="16.5" customHeight="1">
      <c r="G376" s="66">
        <f>IF($D376="","",IF(COUNTIF('Config'!$E$8:$E$15,$D376)&gt;0,"Entrada",IF(COUNTIF('Config'!$G$8:$G$23,$D376)&gt;0,"Saída","Verificar")))</f>
        <v/>
      </c>
    </row>
    <row r="377" spans="7:7" ht="16.5" customHeight="1">
      <c r="G377" s="66">
        <f>IF($D377="","",IF(COUNTIF('Config'!$E$8:$E$15,$D377)&gt;0,"Entrada",IF(COUNTIF('Config'!$G$8:$G$23,$D377)&gt;0,"Saída","Verificar")))</f>
        <v/>
      </c>
    </row>
    <row r="378" spans="7:7" ht="16.5" customHeight="1">
      <c r="G378" s="66">
        <f>IF($D378="","",IF(COUNTIF('Config'!$E$8:$E$15,$D378)&gt;0,"Entrada",IF(COUNTIF('Config'!$G$8:$G$23,$D378)&gt;0,"Saída","Verificar")))</f>
        <v/>
      </c>
    </row>
    <row r="379" spans="7:7" ht="16.5" customHeight="1">
      <c r="G379" s="66">
        <f>IF($D379="","",IF(COUNTIF('Config'!$E$8:$E$15,$D379)&gt;0,"Entrada",IF(COUNTIF('Config'!$G$8:$G$23,$D379)&gt;0,"Saída","Verificar")))</f>
        <v/>
      </c>
    </row>
    <row r="380" spans="7:7" ht="16.5" customHeight="1">
      <c r="G380" s="66">
        <f>IF($D380="","",IF(COUNTIF('Config'!$E$8:$E$15,$D380)&gt;0,"Entrada",IF(COUNTIF('Config'!$G$8:$G$23,$D380)&gt;0,"Saída","Verificar")))</f>
        <v/>
      </c>
    </row>
    <row r="381" spans="7:7" ht="16.5" customHeight="1">
      <c r="G381" s="66">
        <f>IF($D381="","",IF(COUNTIF('Config'!$E$8:$E$15,$D381)&gt;0,"Entrada",IF(COUNTIF('Config'!$G$8:$G$23,$D381)&gt;0,"Saída","Verificar")))</f>
        <v/>
      </c>
    </row>
    <row r="382" spans="7:7" ht="16.5" customHeight="1">
      <c r="G382" s="66">
        <f>IF($D382="","",IF(COUNTIF('Config'!$E$8:$E$15,$D382)&gt;0,"Entrada",IF(COUNTIF('Config'!$G$8:$G$23,$D382)&gt;0,"Saída","Verificar")))</f>
        <v/>
      </c>
    </row>
    <row r="383" spans="7:7" ht="16.5" customHeight="1">
      <c r="G383" s="66">
        <f>IF($D383="","",IF(COUNTIF('Config'!$E$8:$E$15,$D383)&gt;0,"Entrada",IF(COUNTIF('Config'!$G$8:$G$23,$D383)&gt;0,"Saída","Verificar")))</f>
        <v/>
      </c>
    </row>
    <row r="384" spans="7:7" ht="16.5" customHeight="1">
      <c r="G384" s="66">
        <f>IF($D384="","",IF(COUNTIF('Config'!$E$8:$E$15,$D384)&gt;0,"Entrada",IF(COUNTIF('Config'!$G$8:$G$23,$D384)&gt;0,"Saída","Verificar")))</f>
        <v/>
      </c>
    </row>
    <row r="385" spans="7:7" ht="16.5" customHeight="1">
      <c r="G385" s="66">
        <f>IF($D385="","",IF(COUNTIF('Config'!$E$8:$E$15,$D385)&gt;0,"Entrada",IF(COUNTIF('Config'!$G$8:$G$23,$D385)&gt;0,"Saída","Verificar")))</f>
        <v/>
      </c>
    </row>
    <row r="386" spans="7:7" ht="16.5" customHeight="1">
      <c r="G386" s="66">
        <f>IF($D386="","",IF(COUNTIF('Config'!$E$8:$E$15,$D386)&gt;0,"Entrada",IF(COUNTIF('Config'!$G$8:$G$23,$D386)&gt;0,"Saída","Verificar")))</f>
        <v/>
      </c>
    </row>
    <row r="387" spans="7:7" ht="16.5" customHeight="1">
      <c r="G387" s="66">
        <f>IF($D387="","",IF(COUNTIF('Config'!$E$8:$E$15,$D387)&gt;0,"Entrada",IF(COUNTIF('Config'!$G$8:$G$23,$D387)&gt;0,"Saída","Verificar")))</f>
        <v/>
      </c>
    </row>
    <row r="388" spans="7:7" ht="16.5" customHeight="1">
      <c r="G388" s="66">
        <f>IF($D388="","",IF(COUNTIF('Config'!$E$8:$E$15,$D388)&gt;0,"Entrada",IF(COUNTIF('Config'!$G$8:$G$23,$D388)&gt;0,"Saída","Verificar")))</f>
        <v/>
      </c>
    </row>
    <row r="389" spans="7:7" ht="16.5" customHeight="1">
      <c r="G389" s="66">
        <f>IF($D389="","",IF(COUNTIF('Config'!$E$8:$E$15,$D389)&gt;0,"Entrada",IF(COUNTIF('Config'!$G$8:$G$23,$D389)&gt;0,"Saída","Verificar")))</f>
        <v/>
      </c>
    </row>
    <row r="390" spans="7:7" ht="16.5" customHeight="1">
      <c r="G390" s="66">
        <f>IF($D390="","",IF(COUNTIF('Config'!$E$8:$E$15,$D390)&gt;0,"Entrada",IF(COUNTIF('Config'!$G$8:$G$23,$D390)&gt;0,"Saída","Verificar")))</f>
        <v/>
      </c>
    </row>
    <row r="391" spans="7:7" ht="16.5" customHeight="1">
      <c r="G391" s="66">
        <f>IF($D391="","",IF(COUNTIF('Config'!$E$8:$E$15,$D391)&gt;0,"Entrada",IF(COUNTIF('Config'!$G$8:$G$23,$D391)&gt;0,"Saída","Verificar")))</f>
        <v/>
      </c>
    </row>
    <row r="392" spans="7:7" ht="16.5" customHeight="1">
      <c r="G392" s="66">
        <f>IF($D392="","",IF(COUNTIF('Config'!$E$8:$E$15,$D392)&gt;0,"Entrada",IF(COUNTIF('Config'!$G$8:$G$23,$D392)&gt;0,"Saída","Verificar")))</f>
        <v/>
      </c>
    </row>
    <row r="393" spans="7:7" ht="16.5" customHeight="1">
      <c r="G393" s="66">
        <f>IF($D393="","",IF(COUNTIF('Config'!$E$8:$E$15,$D393)&gt;0,"Entrada",IF(COUNTIF('Config'!$G$8:$G$23,$D393)&gt;0,"Saída","Verificar")))</f>
        <v/>
      </c>
    </row>
    <row r="394" spans="7:7" ht="16.5" customHeight="1">
      <c r="G394" s="66">
        <f>IF($D394="","",IF(COUNTIF('Config'!$E$8:$E$15,$D394)&gt;0,"Entrada",IF(COUNTIF('Config'!$G$8:$G$23,$D394)&gt;0,"Saída","Verificar")))</f>
        <v/>
      </c>
    </row>
    <row r="395" spans="7:7" ht="16.5" customHeight="1">
      <c r="G395" s="66">
        <f>IF($D395="","",IF(COUNTIF('Config'!$E$8:$E$15,$D395)&gt;0,"Entrada",IF(COUNTIF('Config'!$G$8:$G$23,$D395)&gt;0,"Saída","Verificar")))</f>
        <v/>
      </c>
    </row>
    <row r="396" spans="7:7" ht="16.5" customHeight="1">
      <c r="G396" s="66">
        <f>IF($D396="","",IF(COUNTIF('Config'!$E$8:$E$15,$D396)&gt;0,"Entrada",IF(COUNTIF('Config'!$G$8:$G$23,$D396)&gt;0,"Saída","Verificar")))</f>
        <v/>
      </c>
    </row>
    <row r="397" spans="7:7" ht="16.5" customHeight="1">
      <c r="G397" s="66">
        <f>IF($D397="","",IF(COUNTIF('Config'!$E$8:$E$15,$D397)&gt;0,"Entrada",IF(COUNTIF('Config'!$G$8:$G$23,$D397)&gt;0,"Saída","Verificar")))</f>
        <v/>
      </c>
    </row>
    <row r="398" spans="7:7" ht="16.5" customHeight="1">
      <c r="G398" s="66">
        <f>IF($D398="","",IF(COUNTIF('Config'!$E$8:$E$15,$D398)&gt;0,"Entrada",IF(COUNTIF('Config'!$G$8:$G$23,$D398)&gt;0,"Saída","Verificar")))</f>
        <v/>
      </c>
    </row>
    <row r="399" spans="7:7" ht="16.5" customHeight="1">
      <c r="G399" s="66">
        <f>IF($D399="","",IF(COUNTIF('Config'!$E$8:$E$15,$D399)&gt;0,"Entrada",IF(COUNTIF('Config'!$G$8:$G$23,$D399)&gt;0,"Saída","Verificar")))</f>
        <v/>
      </c>
    </row>
    <row r="400" spans="7:7" ht="16.5" customHeight="1">
      <c r="G400" s="66">
        <f>IF($D400="","",IF(COUNTIF('Config'!$E$8:$E$15,$D400)&gt;0,"Entrada",IF(COUNTIF('Config'!$G$8:$G$23,$D400)&gt;0,"Saída","Verificar")))</f>
        <v/>
      </c>
    </row>
    <row r="401" spans="7:7" ht="16.5" customHeight="1">
      <c r="G401" s="66">
        <f>IF($D401="","",IF(COUNTIF('Config'!$E$8:$E$15,$D401)&gt;0,"Entrada",IF(COUNTIF('Config'!$G$8:$G$23,$D401)&gt;0,"Saída","Verificar")))</f>
        <v/>
      </c>
    </row>
    <row r="402" spans="7:7" ht="16.5" customHeight="1">
      <c r="G402" s="66">
        <f>IF($D402="","",IF(COUNTIF('Config'!$E$8:$E$15,$D402)&gt;0,"Entrada",IF(COUNTIF('Config'!$G$8:$G$23,$D402)&gt;0,"Saída","Verificar")))</f>
        <v/>
      </c>
    </row>
    <row r="403" spans="7:7" ht="16.5" customHeight="1">
      <c r="G403" s="66">
        <f>IF($D403="","",IF(COUNTIF('Config'!$E$8:$E$15,$D403)&gt;0,"Entrada",IF(COUNTIF('Config'!$G$8:$G$23,$D403)&gt;0,"Saída","Verificar")))</f>
        <v/>
      </c>
    </row>
    <row r="404" spans="7:7" ht="16.5" customHeight="1">
      <c r="G404" s="66">
        <f>IF($D404="","",IF(COUNTIF('Config'!$E$8:$E$15,$D404)&gt;0,"Entrada",IF(COUNTIF('Config'!$G$8:$G$23,$D404)&gt;0,"Saída","Verificar")))</f>
        <v/>
      </c>
    </row>
    <row r="405" spans="7:7" ht="16.5" customHeight="1">
      <c r="G405" s="66">
        <f>IF($D405="","",IF(COUNTIF('Config'!$E$8:$E$15,$D405)&gt;0,"Entrada",IF(COUNTIF('Config'!$G$8:$G$23,$D405)&gt;0,"Saída","Verificar")))</f>
        <v/>
      </c>
    </row>
    <row r="406" spans="7:7" ht="16.5" customHeight="1">
      <c r="G406" s="66">
        <f>IF($D406="","",IF(COUNTIF('Config'!$E$8:$E$15,$D406)&gt;0,"Entrada",IF(COUNTIF('Config'!$G$8:$G$23,$D406)&gt;0,"Saída","Verificar")))</f>
        <v/>
      </c>
    </row>
    <row r="407" spans="7:7" ht="16.5" customHeight="1">
      <c r="G407" s="66">
        <f>IF($D407="","",IF(COUNTIF('Config'!$E$8:$E$15,$D407)&gt;0,"Entrada",IF(COUNTIF('Config'!$G$8:$G$23,$D407)&gt;0,"Saída","Verificar")))</f>
        <v/>
      </c>
    </row>
    <row r="408" spans="7:7" ht="16.5" customHeight="1">
      <c r="G408" s="66">
        <f>IF($D408="","",IF(COUNTIF('Config'!$E$8:$E$15,$D408)&gt;0,"Entrada",IF(COUNTIF('Config'!$G$8:$G$23,$D408)&gt;0,"Saída","Verificar")))</f>
        <v/>
      </c>
    </row>
    <row r="409" spans="7:7" ht="16.5" customHeight="1">
      <c r="G409" s="66">
        <f>IF($D409="","",IF(COUNTIF('Config'!$E$8:$E$15,$D409)&gt;0,"Entrada",IF(COUNTIF('Config'!$G$8:$G$23,$D409)&gt;0,"Saída","Verificar")))</f>
        <v/>
      </c>
    </row>
    <row r="410" spans="7:7" ht="16.5" customHeight="1">
      <c r="G410" s="66">
        <f>IF($D410="","",IF(COUNTIF('Config'!$E$8:$E$15,$D410)&gt;0,"Entrada",IF(COUNTIF('Config'!$G$8:$G$23,$D410)&gt;0,"Saída","Verificar")))</f>
        <v/>
      </c>
    </row>
    <row r="411" spans="7:7" ht="16.5" customHeight="1">
      <c r="G411" s="66">
        <f>IF($D411="","",IF(COUNTIF('Config'!$E$8:$E$15,$D411)&gt;0,"Entrada",IF(COUNTIF('Config'!$G$8:$G$23,$D411)&gt;0,"Saída","Verificar")))</f>
        <v/>
      </c>
    </row>
    <row r="412" spans="7:7" ht="16.5" customHeight="1">
      <c r="G412" s="66">
        <f>IF($D412="","",IF(COUNTIF('Config'!$E$8:$E$15,$D412)&gt;0,"Entrada",IF(COUNTIF('Config'!$G$8:$G$23,$D412)&gt;0,"Saída","Verificar")))</f>
        <v/>
      </c>
    </row>
    <row r="413" spans="7:7" ht="16.5" customHeight="1">
      <c r="G413" s="66">
        <f>IF($D413="","",IF(COUNTIF('Config'!$E$8:$E$15,$D413)&gt;0,"Entrada",IF(COUNTIF('Config'!$G$8:$G$23,$D413)&gt;0,"Saída","Verificar")))</f>
        <v/>
      </c>
    </row>
    <row r="414" spans="7:7" ht="16.5" customHeight="1">
      <c r="G414" s="66">
        <f>IF($D414="","",IF(COUNTIF('Config'!$E$8:$E$15,$D414)&gt;0,"Entrada",IF(COUNTIF('Config'!$G$8:$G$23,$D414)&gt;0,"Saída","Verificar")))</f>
        <v/>
      </c>
    </row>
    <row r="415" spans="7:7" ht="16.5" customHeight="1">
      <c r="G415" s="66">
        <f>IF($D415="","",IF(COUNTIF('Config'!$E$8:$E$15,$D415)&gt;0,"Entrada",IF(COUNTIF('Config'!$G$8:$G$23,$D415)&gt;0,"Saída","Verificar")))</f>
        <v/>
      </c>
    </row>
    <row r="416" spans="7:7" ht="16.5" customHeight="1">
      <c r="G416" s="66">
        <f>IF($D416="","",IF(COUNTIF('Config'!$E$8:$E$15,$D416)&gt;0,"Entrada",IF(COUNTIF('Config'!$G$8:$G$23,$D416)&gt;0,"Saída","Verificar")))</f>
        <v/>
      </c>
    </row>
    <row r="417" spans="7:7" ht="16.5" customHeight="1">
      <c r="G417" s="66">
        <f>IF($D417="","",IF(COUNTIF('Config'!$E$8:$E$15,$D417)&gt;0,"Entrada",IF(COUNTIF('Config'!$G$8:$G$23,$D417)&gt;0,"Saída","Verificar")))</f>
        <v/>
      </c>
    </row>
    <row r="418" spans="7:7" ht="16.5" customHeight="1">
      <c r="G418" s="66">
        <f>IF($D418="","",IF(COUNTIF('Config'!$E$8:$E$15,$D418)&gt;0,"Entrada",IF(COUNTIF('Config'!$G$8:$G$23,$D418)&gt;0,"Saída","Verificar")))</f>
        <v/>
      </c>
    </row>
    <row r="419" spans="7:7" ht="16.5" customHeight="1">
      <c r="G419" s="66">
        <f>IF($D419="","",IF(COUNTIF('Config'!$E$8:$E$15,$D419)&gt;0,"Entrada",IF(COUNTIF('Config'!$G$8:$G$23,$D419)&gt;0,"Saída","Verificar")))</f>
        <v/>
      </c>
    </row>
    <row r="420" spans="7:7" ht="16.5" customHeight="1">
      <c r="G420" s="66">
        <f>IF($D420="","",IF(COUNTIF('Config'!$E$8:$E$15,$D420)&gt;0,"Entrada",IF(COUNTIF('Config'!$G$8:$G$23,$D420)&gt;0,"Saída","Verificar")))</f>
        <v/>
      </c>
    </row>
    <row r="421" spans="7:7" ht="16.5" customHeight="1">
      <c r="G421" s="66">
        <f>IF($D421="","",IF(COUNTIF('Config'!$E$8:$E$15,$D421)&gt;0,"Entrada",IF(COUNTIF('Config'!$G$8:$G$23,$D421)&gt;0,"Saída","Verificar")))</f>
        <v/>
      </c>
    </row>
    <row r="422" spans="7:7" ht="16.5" customHeight="1">
      <c r="G422" s="66">
        <f>IF($D422="","",IF(COUNTIF('Config'!$E$8:$E$15,$D422)&gt;0,"Entrada",IF(COUNTIF('Config'!$G$8:$G$23,$D422)&gt;0,"Saída","Verificar")))</f>
        <v/>
      </c>
    </row>
    <row r="423" spans="7:7" ht="16.5" customHeight="1">
      <c r="G423" s="66">
        <f>IF($D423="","",IF(COUNTIF('Config'!$E$8:$E$15,$D423)&gt;0,"Entrada",IF(COUNTIF('Config'!$G$8:$G$23,$D423)&gt;0,"Saída","Verificar")))</f>
        <v/>
      </c>
    </row>
    <row r="424" spans="7:7" ht="16.5" customHeight="1">
      <c r="G424" s="66">
        <f>IF($D424="","",IF(COUNTIF('Config'!$E$8:$E$15,$D424)&gt;0,"Entrada",IF(COUNTIF('Config'!$G$8:$G$23,$D424)&gt;0,"Saída","Verificar")))</f>
        <v/>
      </c>
    </row>
    <row r="425" spans="7:7" ht="16.5" customHeight="1">
      <c r="G425" s="66">
        <f>IF($D425="","",IF(COUNTIF('Config'!$E$8:$E$15,$D425)&gt;0,"Entrada",IF(COUNTIF('Config'!$G$8:$G$23,$D425)&gt;0,"Saída","Verificar")))</f>
        <v/>
      </c>
    </row>
    <row r="426" spans="7:7" ht="16.5" customHeight="1">
      <c r="G426" s="66">
        <f>IF($D426="","",IF(COUNTIF('Config'!$E$8:$E$15,$D426)&gt;0,"Entrada",IF(COUNTIF('Config'!$G$8:$G$23,$D426)&gt;0,"Saída","Verificar")))</f>
        <v/>
      </c>
    </row>
    <row r="427" spans="7:7" ht="16.5" customHeight="1">
      <c r="G427" s="66">
        <f>IF($D427="","",IF(COUNTIF('Config'!$E$8:$E$15,$D427)&gt;0,"Entrada",IF(COUNTIF('Config'!$G$8:$G$23,$D427)&gt;0,"Saída","Verificar")))</f>
        <v/>
      </c>
    </row>
    <row r="428" spans="7:7" ht="16.5" customHeight="1">
      <c r="G428" s="66">
        <f>IF($D428="","",IF(COUNTIF('Config'!$E$8:$E$15,$D428)&gt;0,"Entrada",IF(COUNTIF('Config'!$G$8:$G$23,$D428)&gt;0,"Saída","Verificar")))</f>
        <v/>
      </c>
    </row>
    <row r="429" spans="7:7" ht="16.5" customHeight="1">
      <c r="G429" s="66">
        <f>IF($D429="","",IF(COUNTIF('Config'!$E$8:$E$15,$D429)&gt;0,"Entrada",IF(COUNTIF('Config'!$G$8:$G$23,$D429)&gt;0,"Saída","Verificar")))</f>
        <v/>
      </c>
    </row>
    <row r="430" spans="7:7" ht="16.5" customHeight="1">
      <c r="G430" s="66">
        <f>IF($D430="","",IF(COUNTIF('Config'!$E$8:$E$15,$D430)&gt;0,"Entrada",IF(COUNTIF('Config'!$G$8:$G$23,$D430)&gt;0,"Saída","Verificar")))</f>
        <v/>
      </c>
    </row>
    <row r="431" spans="7:7" ht="16.5" customHeight="1">
      <c r="G431" s="66">
        <f>IF($D431="","",IF(COUNTIF('Config'!$E$8:$E$15,$D431)&gt;0,"Entrada",IF(COUNTIF('Config'!$G$8:$G$23,$D431)&gt;0,"Saída","Verificar")))</f>
        <v/>
      </c>
    </row>
    <row r="432" spans="7:7" ht="16.5" customHeight="1">
      <c r="G432" s="66">
        <f>IF($D432="","",IF(COUNTIF('Config'!$E$8:$E$15,$D432)&gt;0,"Entrada",IF(COUNTIF('Config'!$G$8:$G$23,$D432)&gt;0,"Saída","Verificar")))</f>
        <v/>
      </c>
    </row>
    <row r="433" spans="7:7" ht="16.5" customHeight="1">
      <c r="G433" s="66">
        <f>IF($D433="","",IF(COUNTIF('Config'!$E$8:$E$15,$D433)&gt;0,"Entrada",IF(COUNTIF('Config'!$G$8:$G$23,$D433)&gt;0,"Saída","Verificar")))</f>
        <v/>
      </c>
    </row>
    <row r="434" spans="7:7" ht="16.5" customHeight="1">
      <c r="G434" s="66">
        <f>IF($D434="","",IF(COUNTIF('Config'!$E$8:$E$15,$D434)&gt;0,"Entrada",IF(COUNTIF('Config'!$G$8:$G$23,$D434)&gt;0,"Saída","Verificar")))</f>
        <v/>
      </c>
    </row>
    <row r="435" spans="7:7" ht="16.5" customHeight="1">
      <c r="G435" s="66">
        <f>IF($D435="","",IF(COUNTIF('Config'!$E$8:$E$15,$D435)&gt;0,"Entrada",IF(COUNTIF('Config'!$G$8:$G$23,$D435)&gt;0,"Saída","Verificar")))</f>
        <v/>
      </c>
    </row>
    <row r="436" spans="7:7" ht="16.5" customHeight="1">
      <c r="G436" s="66">
        <f>IF($D436="","",IF(COUNTIF('Config'!$E$8:$E$15,$D436)&gt;0,"Entrada",IF(COUNTIF('Config'!$G$8:$G$23,$D436)&gt;0,"Saída","Verificar")))</f>
        <v/>
      </c>
    </row>
    <row r="437" spans="7:7" ht="16.5" customHeight="1">
      <c r="G437" s="66">
        <f>IF($D437="","",IF(COUNTIF('Config'!$E$8:$E$15,$D437)&gt;0,"Entrada",IF(COUNTIF('Config'!$G$8:$G$23,$D437)&gt;0,"Saída","Verificar")))</f>
        <v/>
      </c>
    </row>
    <row r="438" spans="7:7" ht="16.5" customHeight="1">
      <c r="G438" s="66">
        <f>IF($D438="","",IF(COUNTIF('Config'!$E$8:$E$15,$D438)&gt;0,"Entrada",IF(COUNTIF('Config'!$G$8:$G$23,$D438)&gt;0,"Saída","Verificar")))</f>
        <v/>
      </c>
    </row>
    <row r="439" spans="7:7" ht="16.5" customHeight="1">
      <c r="G439" s="66">
        <f>IF($D439="","",IF(COUNTIF('Config'!$E$8:$E$15,$D439)&gt;0,"Entrada",IF(COUNTIF('Config'!$G$8:$G$23,$D439)&gt;0,"Saída","Verificar")))</f>
        <v/>
      </c>
    </row>
    <row r="440" spans="7:7" ht="16.5" customHeight="1">
      <c r="G440" s="66">
        <f>IF($D440="","",IF(COUNTIF('Config'!$E$8:$E$15,$D440)&gt;0,"Entrada",IF(COUNTIF('Config'!$G$8:$G$23,$D440)&gt;0,"Saída","Verificar")))</f>
        <v/>
      </c>
    </row>
    <row r="441" spans="7:7" ht="16.5" customHeight="1">
      <c r="G441" s="66">
        <f>IF($D441="","",IF(COUNTIF('Config'!$E$8:$E$15,$D441)&gt;0,"Entrada",IF(COUNTIF('Config'!$G$8:$G$23,$D441)&gt;0,"Saída","Verificar")))</f>
        <v/>
      </c>
    </row>
    <row r="442" spans="7:7" ht="16.5" customHeight="1">
      <c r="G442" s="66">
        <f>IF($D442="","",IF(COUNTIF('Config'!$E$8:$E$15,$D442)&gt;0,"Entrada",IF(COUNTIF('Config'!$G$8:$G$23,$D442)&gt;0,"Saída","Verificar")))</f>
        <v/>
      </c>
    </row>
    <row r="443" spans="7:7" ht="16.5" customHeight="1">
      <c r="G443" s="66">
        <f>IF($D443="","",IF(COUNTIF('Config'!$E$8:$E$15,$D443)&gt;0,"Entrada",IF(COUNTIF('Config'!$G$8:$G$23,$D443)&gt;0,"Saída","Verificar")))</f>
        <v/>
      </c>
    </row>
    <row r="444" spans="7:7" ht="16.5" customHeight="1">
      <c r="G444" s="66">
        <f>IF($D444="","",IF(COUNTIF('Config'!$E$8:$E$15,$D444)&gt;0,"Entrada",IF(COUNTIF('Config'!$G$8:$G$23,$D444)&gt;0,"Saída","Verificar")))</f>
        <v/>
      </c>
    </row>
    <row r="445" spans="7:7" ht="16.5" customHeight="1">
      <c r="G445" s="66">
        <f>IF($D445="","",IF(COUNTIF('Config'!$E$8:$E$15,$D445)&gt;0,"Entrada",IF(COUNTIF('Config'!$G$8:$G$23,$D445)&gt;0,"Saída","Verificar")))</f>
        <v/>
      </c>
    </row>
    <row r="446" spans="7:7" ht="16.5" customHeight="1">
      <c r="G446" s="66">
        <f>IF($D446="","",IF(COUNTIF('Config'!$E$8:$E$15,$D446)&gt;0,"Entrada",IF(COUNTIF('Config'!$G$8:$G$23,$D446)&gt;0,"Saída","Verificar")))</f>
        <v/>
      </c>
    </row>
    <row r="447" spans="7:7" ht="16.5" customHeight="1">
      <c r="G447" s="66">
        <f>IF($D447="","",IF(COUNTIF('Config'!$E$8:$E$15,$D447)&gt;0,"Entrada",IF(COUNTIF('Config'!$G$8:$G$23,$D447)&gt;0,"Saída","Verificar")))</f>
        <v/>
      </c>
    </row>
    <row r="448" spans="7:7" ht="16.5" customHeight="1">
      <c r="G448" s="66">
        <f>IF($D448="","",IF(COUNTIF('Config'!$E$8:$E$15,$D448)&gt;0,"Entrada",IF(COUNTIF('Config'!$G$8:$G$23,$D448)&gt;0,"Saída","Verificar")))</f>
        <v/>
      </c>
    </row>
    <row r="449" spans="7:7" ht="16.5" customHeight="1">
      <c r="G449" s="66">
        <f>IF($D449="","",IF(COUNTIF('Config'!$E$8:$E$15,$D449)&gt;0,"Entrada",IF(COUNTIF('Config'!$G$8:$G$23,$D449)&gt;0,"Saída","Verificar")))</f>
        <v/>
      </c>
    </row>
    <row r="450" spans="7:7" ht="16.5" customHeight="1">
      <c r="G450" s="66">
        <f>IF($D450="","",IF(COUNTIF('Config'!$E$8:$E$15,$D450)&gt;0,"Entrada",IF(COUNTIF('Config'!$G$8:$G$23,$D450)&gt;0,"Saída","Verificar")))</f>
        <v/>
      </c>
    </row>
    <row r="451" spans="7:7" ht="16.5" customHeight="1">
      <c r="G451" s="66">
        <f>IF($D451="","",IF(COUNTIF('Config'!$E$8:$E$15,$D451)&gt;0,"Entrada",IF(COUNTIF('Config'!$G$8:$G$23,$D451)&gt;0,"Saída","Verificar")))</f>
        <v/>
      </c>
    </row>
    <row r="452" spans="7:7" ht="16.5" customHeight="1">
      <c r="G452" s="66">
        <f>IF($D452="","",IF(COUNTIF('Config'!$E$8:$E$15,$D452)&gt;0,"Entrada",IF(COUNTIF('Config'!$G$8:$G$23,$D452)&gt;0,"Saída","Verificar")))</f>
        <v/>
      </c>
    </row>
    <row r="453" spans="7:7" ht="16.5" customHeight="1">
      <c r="G453" s="66">
        <f>IF($D453="","",IF(COUNTIF('Config'!$E$8:$E$15,$D453)&gt;0,"Entrada",IF(COUNTIF('Config'!$G$8:$G$23,$D453)&gt;0,"Saída","Verificar")))</f>
        <v/>
      </c>
    </row>
    <row r="454" spans="7:7" ht="16.5" customHeight="1">
      <c r="G454" s="66">
        <f>IF($D454="","",IF(COUNTIF('Config'!$E$8:$E$15,$D454)&gt;0,"Entrada",IF(COUNTIF('Config'!$G$8:$G$23,$D454)&gt;0,"Saída","Verificar")))</f>
        <v/>
      </c>
    </row>
    <row r="455" spans="7:7" ht="16.5" customHeight="1">
      <c r="G455" s="66">
        <f>IF($D455="","",IF(COUNTIF('Config'!$E$8:$E$15,$D455)&gt;0,"Entrada",IF(COUNTIF('Config'!$G$8:$G$23,$D455)&gt;0,"Saída","Verificar")))</f>
        <v/>
      </c>
    </row>
    <row r="456" spans="7:7" ht="16.5" customHeight="1">
      <c r="G456" s="66">
        <f>IF($D456="","",IF(COUNTIF('Config'!$E$8:$E$15,$D456)&gt;0,"Entrada",IF(COUNTIF('Config'!$G$8:$G$23,$D456)&gt;0,"Saída","Verificar")))</f>
        <v/>
      </c>
    </row>
    <row r="457" spans="7:7" ht="16.5" customHeight="1">
      <c r="G457" s="66">
        <f>IF($D457="","",IF(COUNTIF('Config'!$E$8:$E$15,$D457)&gt;0,"Entrada",IF(COUNTIF('Config'!$G$8:$G$23,$D457)&gt;0,"Saída","Verificar")))</f>
        <v/>
      </c>
    </row>
    <row r="458" spans="7:7" ht="16.5" customHeight="1">
      <c r="G458" s="66">
        <f>IF($D458="","",IF(COUNTIF('Config'!$E$8:$E$15,$D458)&gt;0,"Entrada",IF(COUNTIF('Config'!$G$8:$G$23,$D458)&gt;0,"Saída","Verificar")))</f>
        <v/>
      </c>
    </row>
    <row r="459" spans="7:7" ht="16.5" customHeight="1">
      <c r="G459" s="66">
        <f>IF($D459="","",IF(COUNTIF('Config'!$E$8:$E$15,$D459)&gt;0,"Entrada",IF(COUNTIF('Config'!$G$8:$G$23,$D459)&gt;0,"Saída","Verificar")))</f>
        <v/>
      </c>
    </row>
    <row r="460" spans="7:7" ht="16.5" customHeight="1">
      <c r="G460" s="66">
        <f>IF($D460="","",IF(COUNTIF('Config'!$E$8:$E$15,$D460)&gt;0,"Entrada",IF(COUNTIF('Config'!$G$8:$G$23,$D460)&gt;0,"Saída","Verificar")))</f>
        <v/>
      </c>
    </row>
    <row r="461" spans="7:7" ht="16.5" customHeight="1">
      <c r="G461" s="66">
        <f>IF($D461="","",IF(COUNTIF('Config'!$E$8:$E$15,$D461)&gt;0,"Entrada",IF(COUNTIF('Config'!$G$8:$G$23,$D461)&gt;0,"Saída","Verificar")))</f>
        <v/>
      </c>
    </row>
    <row r="462" spans="7:7" ht="16.5" customHeight="1">
      <c r="G462" s="66">
        <f>IF($D462="","",IF(COUNTIF('Config'!$E$8:$E$15,$D462)&gt;0,"Entrada",IF(COUNTIF('Config'!$G$8:$G$23,$D462)&gt;0,"Saída","Verificar")))</f>
        <v/>
      </c>
    </row>
    <row r="463" spans="7:7" ht="16.5" customHeight="1">
      <c r="G463" s="66">
        <f>IF($D463="","",IF(COUNTIF('Config'!$E$8:$E$15,$D463)&gt;0,"Entrada",IF(COUNTIF('Config'!$G$8:$G$23,$D463)&gt;0,"Saída","Verificar")))</f>
        <v/>
      </c>
    </row>
    <row r="464" spans="7:7" ht="16.5" customHeight="1">
      <c r="G464" s="66">
        <f>IF($D464="","",IF(COUNTIF('Config'!$E$8:$E$15,$D464)&gt;0,"Entrada",IF(COUNTIF('Config'!$G$8:$G$23,$D464)&gt;0,"Saída","Verificar")))</f>
        <v/>
      </c>
    </row>
    <row r="465" spans="7:7" ht="16.5" customHeight="1">
      <c r="G465" s="66">
        <f>IF($D465="","",IF(COUNTIF('Config'!$E$8:$E$15,$D465)&gt;0,"Entrada",IF(COUNTIF('Config'!$G$8:$G$23,$D465)&gt;0,"Saída","Verificar")))</f>
        <v/>
      </c>
    </row>
    <row r="466" spans="7:7" ht="16.5" customHeight="1">
      <c r="G466" s="66">
        <f>IF($D466="","",IF(COUNTIF('Config'!$E$8:$E$15,$D466)&gt;0,"Entrada",IF(COUNTIF('Config'!$G$8:$G$23,$D466)&gt;0,"Saída","Verificar")))</f>
        <v/>
      </c>
    </row>
    <row r="467" spans="7:7" ht="16.5" customHeight="1">
      <c r="G467" s="66">
        <f>IF($D467="","",IF(COUNTIF('Config'!$E$8:$E$15,$D467)&gt;0,"Entrada",IF(COUNTIF('Config'!$G$8:$G$23,$D467)&gt;0,"Saída","Verificar")))</f>
        <v/>
      </c>
    </row>
    <row r="468" spans="7:7" ht="16.5" customHeight="1">
      <c r="G468" s="66">
        <f>IF($D468="","",IF(COUNTIF('Config'!$E$8:$E$15,$D468)&gt;0,"Entrada",IF(COUNTIF('Config'!$G$8:$G$23,$D468)&gt;0,"Saída","Verificar")))</f>
        <v/>
      </c>
    </row>
    <row r="469" spans="7:7" ht="16.5" customHeight="1">
      <c r="G469" s="66">
        <f>IF($D469="","",IF(COUNTIF('Config'!$E$8:$E$15,$D469)&gt;0,"Entrada",IF(COUNTIF('Config'!$G$8:$G$23,$D469)&gt;0,"Saída","Verificar")))</f>
        <v/>
      </c>
    </row>
    <row r="470" spans="7:7" ht="16.5" customHeight="1">
      <c r="G470" s="66">
        <f>IF($D470="","",IF(COUNTIF('Config'!$E$8:$E$15,$D470)&gt;0,"Entrada",IF(COUNTIF('Config'!$G$8:$G$23,$D470)&gt;0,"Saída","Verificar")))</f>
        <v/>
      </c>
    </row>
    <row r="471" spans="7:7" ht="16.5" customHeight="1">
      <c r="G471" s="66">
        <f>IF($D471="","",IF(COUNTIF('Config'!$E$8:$E$15,$D471)&gt;0,"Entrada",IF(COUNTIF('Config'!$G$8:$G$23,$D471)&gt;0,"Saída","Verificar")))</f>
        <v/>
      </c>
    </row>
    <row r="472" spans="7:7" ht="16.5" customHeight="1">
      <c r="G472" s="66">
        <f>IF($D472="","",IF(COUNTIF('Config'!$E$8:$E$15,$D472)&gt;0,"Entrada",IF(COUNTIF('Config'!$G$8:$G$23,$D472)&gt;0,"Saída","Verificar")))</f>
        <v/>
      </c>
    </row>
    <row r="473" spans="7:7" ht="16.5" customHeight="1">
      <c r="G473" s="66">
        <f>IF($D473="","",IF(COUNTIF('Config'!$E$8:$E$15,$D473)&gt;0,"Entrada",IF(COUNTIF('Config'!$G$8:$G$23,$D473)&gt;0,"Saída","Verificar")))</f>
        <v/>
      </c>
    </row>
    <row r="474" spans="7:7" ht="16.5" customHeight="1">
      <c r="G474" s="66">
        <f>IF($D474="","",IF(COUNTIF('Config'!$E$8:$E$15,$D474)&gt;0,"Entrada",IF(COUNTIF('Config'!$G$8:$G$23,$D474)&gt;0,"Saída","Verificar")))</f>
        <v/>
      </c>
    </row>
    <row r="475" spans="7:7" ht="16.5" customHeight="1">
      <c r="G475" s="66">
        <f>IF($D475="","",IF(COUNTIF('Config'!$E$8:$E$15,$D475)&gt;0,"Entrada",IF(COUNTIF('Config'!$G$8:$G$23,$D475)&gt;0,"Saída","Verificar")))</f>
        <v/>
      </c>
    </row>
    <row r="476" spans="7:7" ht="16.5" customHeight="1">
      <c r="G476" s="66">
        <f>IF($D476="","",IF(COUNTIF('Config'!$E$8:$E$15,$D476)&gt;0,"Entrada",IF(COUNTIF('Config'!$G$8:$G$23,$D476)&gt;0,"Saída","Verificar")))</f>
        <v/>
      </c>
    </row>
    <row r="477" spans="7:7" ht="16.5" customHeight="1">
      <c r="G477" s="66">
        <f>IF($D477="","",IF(COUNTIF('Config'!$E$8:$E$15,$D477)&gt;0,"Entrada",IF(COUNTIF('Config'!$G$8:$G$23,$D477)&gt;0,"Saída","Verificar")))</f>
        <v/>
      </c>
    </row>
    <row r="478" spans="7:7" ht="16.5" customHeight="1">
      <c r="G478" s="66">
        <f>IF($D478="","",IF(COUNTIF('Config'!$E$8:$E$15,$D478)&gt;0,"Entrada",IF(COUNTIF('Config'!$G$8:$G$23,$D478)&gt;0,"Saída","Verificar")))</f>
        <v/>
      </c>
    </row>
    <row r="479" spans="7:7" ht="16.5" customHeight="1">
      <c r="G479" s="66">
        <f>IF($D479="","",IF(COUNTIF('Config'!$E$8:$E$15,$D479)&gt;0,"Entrada",IF(COUNTIF('Config'!$G$8:$G$23,$D479)&gt;0,"Saída","Verificar")))</f>
        <v/>
      </c>
    </row>
    <row r="480" spans="7:7" ht="16.5" customHeight="1">
      <c r="G480" s="66">
        <f>IF($D480="","",IF(COUNTIF('Config'!$E$8:$E$15,$D480)&gt;0,"Entrada",IF(COUNTIF('Config'!$G$8:$G$23,$D480)&gt;0,"Saída","Verificar")))</f>
        <v/>
      </c>
    </row>
    <row r="481" spans="7:7" ht="16.5" customHeight="1">
      <c r="G481" s="66">
        <f>IF($D481="","",IF(COUNTIF('Config'!$E$8:$E$15,$D481)&gt;0,"Entrada",IF(COUNTIF('Config'!$G$8:$G$23,$D481)&gt;0,"Saída","Verificar")))</f>
        <v/>
      </c>
    </row>
    <row r="482" spans="7:7" ht="16.5" customHeight="1">
      <c r="G482" s="66">
        <f>IF($D482="","",IF(COUNTIF('Config'!$E$8:$E$15,$D482)&gt;0,"Entrada",IF(COUNTIF('Config'!$G$8:$G$23,$D482)&gt;0,"Saída","Verificar")))</f>
        <v/>
      </c>
    </row>
    <row r="483" spans="7:7" ht="16.5" customHeight="1">
      <c r="G483" s="66">
        <f>IF($D483="","",IF(COUNTIF('Config'!$E$8:$E$15,$D483)&gt;0,"Entrada",IF(COUNTIF('Config'!$G$8:$G$23,$D483)&gt;0,"Saída","Verificar")))</f>
        <v/>
      </c>
    </row>
    <row r="484" spans="7:7" ht="16.5" customHeight="1">
      <c r="G484" s="66">
        <f>IF($D484="","",IF(COUNTIF('Config'!$E$8:$E$15,$D484)&gt;0,"Entrada",IF(COUNTIF('Config'!$G$8:$G$23,$D484)&gt;0,"Saída","Verificar")))</f>
        <v/>
      </c>
    </row>
    <row r="485" spans="7:7" ht="16.5" customHeight="1">
      <c r="G485" s="66">
        <f>IF($D485="","",IF(COUNTIF('Config'!$E$8:$E$15,$D485)&gt;0,"Entrada",IF(COUNTIF('Config'!$G$8:$G$23,$D485)&gt;0,"Saída","Verificar")))</f>
        <v/>
      </c>
    </row>
    <row r="486" spans="7:7" ht="16.5" customHeight="1">
      <c r="G486" s="66">
        <f>IF($D486="","",IF(COUNTIF('Config'!$E$8:$E$15,$D486)&gt;0,"Entrada",IF(COUNTIF('Config'!$G$8:$G$23,$D486)&gt;0,"Saída","Verificar")))</f>
        <v/>
      </c>
    </row>
    <row r="487" spans="7:7" ht="16.5" customHeight="1">
      <c r="G487" s="66">
        <f>IF($D487="","",IF(COUNTIF('Config'!$E$8:$E$15,$D487)&gt;0,"Entrada",IF(COUNTIF('Config'!$G$8:$G$23,$D487)&gt;0,"Saída","Verificar")))</f>
        <v/>
      </c>
    </row>
    <row r="488" spans="7:7" ht="16.5" customHeight="1">
      <c r="G488" s="66">
        <f>IF($D488="","",IF(COUNTIF('Config'!$E$8:$E$15,$D488)&gt;0,"Entrada",IF(COUNTIF('Config'!$G$8:$G$23,$D488)&gt;0,"Saída","Verificar")))</f>
        <v/>
      </c>
    </row>
    <row r="489" spans="7:7" ht="16.5" customHeight="1">
      <c r="G489" s="66">
        <f>IF($D489="","",IF(COUNTIF('Config'!$E$8:$E$15,$D489)&gt;0,"Entrada",IF(COUNTIF('Config'!$G$8:$G$23,$D489)&gt;0,"Saída","Verificar")))</f>
        <v/>
      </c>
    </row>
    <row r="490" spans="7:7" ht="16.5" customHeight="1">
      <c r="G490" s="66">
        <f>IF($D490="","",IF(COUNTIF('Config'!$E$8:$E$15,$D490)&gt;0,"Entrada",IF(COUNTIF('Config'!$G$8:$G$23,$D490)&gt;0,"Saída","Verificar")))</f>
        <v/>
      </c>
    </row>
    <row r="491" spans="7:7" ht="16.5" customHeight="1">
      <c r="G491" s="66">
        <f>IF($D491="","",IF(COUNTIF('Config'!$E$8:$E$15,$D491)&gt;0,"Entrada",IF(COUNTIF('Config'!$G$8:$G$23,$D491)&gt;0,"Saída","Verificar")))</f>
        <v/>
      </c>
    </row>
    <row r="492" spans="7:7" ht="16.5" customHeight="1">
      <c r="G492" s="66">
        <f>IF($D492="","",IF(COUNTIF('Config'!$E$8:$E$15,$D492)&gt;0,"Entrada",IF(COUNTIF('Config'!$G$8:$G$23,$D492)&gt;0,"Saída","Verificar")))</f>
        <v/>
      </c>
    </row>
    <row r="493" spans="7:7" ht="16.5" customHeight="1">
      <c r="G493" s="66">
        <f>IF($D493="","",IF(COUNTIF('Config'!$E$8:$E$15,$D493)&gt;0,"Entrada",IF(COUNTIF('Config'!$G$8:$G$23,$D493)&gt;0,"Saída","Verificar")))</f>
        <v/>
      </c>
    </row>
    <row r="494" spans="7:7" ht="16.5" customHeight="1">
      <c r="G494" s="66">
        <f>IF($D494="","",IF(COUNTIF('Config'!$E$8:$E$15,$D494)&gt;0,"Entrada",IF(COUNTIF('Config'!$G$8:$G$23,$D494)&gt;0,"Saída","Verificar")))</f>
        <v/>
      </c>
    </row>
    <row r="495" spans="7:7" ht="16.5" customHeight="1">
      <c r="G495" s="66">
        <f>IF($D495="","",IF(COUNTIF('Config'!$E$8:$E$15,$D495)&gt;0,"Entrada",IF(COUNTIF('Config'!$G$8:$G$23,$D495)&gt;0,"Saída","Verificar")))</f>
        <v/>
      </c>
    </row>
    <row r="496" spans="7:7" ht="16.5" customHeight="1">
      <c r="G496" s="66">
        <f>IF($D496="","",IF(COUNTIF('Config'!$E$8:$E$15,$D496)&gt;0,"Entrada",IF(COUNTIF('Config'!$G$8:$G$23,$D496)&gt;0,"Saída","Verificar")))</f>
        <v/>
      </c>
    </row>
    <row r="497" spans="7:7" ht="16.5" customHeight="1">
      <c r="G497" s="66">
        <f>IF($D497="","",IF(COUNTIF('Config'!$E$8:$E$15,$D497)&gt;0,"Entrada",IF(COUNTIF('Config'!$G$8:$G$23,$D497)&gt;0,"Saída","Verificar")))</f>
        <v/>
      </c>
    </row>
    <row r="498" spans="7:7" ht="16.5" customHeight="1">
      <c r="G498" s="66">
        <f>IF($D498="","",IF(COUNTIF('Config'!$E$8:$E$15,$D498)&gt;0,"Entrada",IF(COUNTIF('Config'!$G$8:$G$23,$D498)&gt;0,"Saída","Verificar")))</f>
        <v/>
      </c>
    </row>
    <row r="499" spans="7:7" ht="16.5" customHeight="1">
      <c r="G499" s="66">
        <f>IF($D499="","",IF(COUNTIF('Config'!$E$8:$E$15,$D499)&gt;0,"Entrada",IF(COUNTIF('Config'!$G$8:$G$23,$D499)&gt;0,"Saída","Verificar")))</f>
        <v/>
      </c>
    </row>
    <row r="500" spans="7:7" ht="16.5" customHeight="1">
      <c r="G500" s="66">
        <f>IF($D500="","",IF(COUNTIF('Config'!$E$8:$E$15,$D500)&gt;0,"Entrada",IF(COUNTIF('Config'!$G$8:$G$23,$D500)&gt;0,"Saída","Verificar")))</f>
        <v/>
      </c>
    </row>
    <row r="501" spans="7:7" ht="16.5" customHeight="1">
      <c r="G501" s="66">
        <f>IF($D501="","",IF(COUNTIF('Config'!$E$8:$E$15,$D501)&gt;0,"Entrada",IF(COUNTIF('Config'!$G$8:$G$23,$D501)&gt;0,"Saída","Verificar")))</f>
        <v/>
      </c>
    </row>
    <row r="502" spans="7:7" ht="16.5" customHeight="1">
      <c r="G502" s="66">
        <f>IF($D502="","",IF(COUNTIF('Config'!$E$8:$E$15,$D502)&gt;0,"Entrada",IF(COUNTIF('Config'!$G$8:$G$23,$D502)&gt;0,"Saída","Verificar")))</f>
        <v/>
      </c>
    </row>
    <row r="503" spans="7:7" ht="16.5" customHeight="1">
      <c r="G503" s="66">
        <f>IF($D503="","",IF(COUNTIF('Config'!$E$8:$E$15,$D503)&gt;0,"Entrada",IF(COUNTIF('Config'!$G$8:$G$23,$D503)&gt;0,"Saída","Verificar")))</f>
        <v/>
      </c>
    </row>
    <row r="504" spans="7:7" ht="16.5" customHeight="1">
      <c r="G504" s="66">
        <f>IF($D504="","",IF(COUNTIF('Config'!$E$8:$E$15,$D504)&gt;0,"Entrada",IF(COUNTIF('Config'!$G$8:$G$23,$D504)&gt;0,"Saída","Verificar")))</f>
        <v/>
      </c>
    </row>
    <row r="505" spans="7:7" ht="16.5" customHeight="1">
      <c r="G505" s="66">
        <f>IF($D505="","",IF(COUNTIF('Config'!$E$8:$E$15,$D505)&gt;0,"Entrada",IF(COUNTIF('Config'!$G$8:$G$23,$D505)&gt;0,"Saída","Verificar")))</f>
        <v/>
      </c>
    </row>
    <row r="506" spans="7:7" ht="16.5" customHeight="1">
      <c r="G506" s="66">
        <f>IF($D506="","",IF(COUNTIF('Config'!$E$8:$E$15,$D506)&gt;0,"Entrada",IF(COUNTIF('Config'!$G$8:$G$23,$D506)&gt;0,"Saída","Verificar")))</f>
        <v/>
      </c>
    </row>
    <row r="507" spans="7:7" ht="16.5" customHeight="1">
      <c r="G507" s="66">
        <f>IF($D507="","",IF(COUNTIF('Config'!$E$8:$E$15,$D507)&gt;0,"Entrada",IF(COUNTIF('Config'!$G$8:$G$23,$D507)&gt;0,"Saída","Verificar")))</f>
        <v/>
      </c>
    </row>
    <row r="508" spans="7:7" ht="16.5" customHeight="1">
      <c r="G508" s="66">
        <f>IF($D508="","",IF(COUNTIF('Config'!$E$8:$E$15,$D508)&gt;0,"Entrada",IF(COUNTIF('Config'!$G$8:$G$23,$D508)&gt;0,"Saída","Verificar")))</f>
        <v/>
      </c>
    </row>
    <row r="509" spans="7:7" ht="16.5" customHeight="1">
      <c r="G509" s="66">
        <f>IF($D509="","",IF(COUNTIF('Config'!$E$8:$E$15,$D509)&gt;0,"Entrada",IF(COUNTIF('Config'!$G$8:$G$23,$D509)&gt;0,"Saída","Verificar")))</f>
        <v/>
      </c>
    </row>
    <row r="510" spans="7:7" ht="16.5" customHeight="1">
      <c r="G510" s="66">
        <f>IF($D510="","",IF(COUNTIF('Config'!$E$8:$E$15,$D510)&gt;0,"Entrada",IF(COUNTIF('Config'!$G$8:$G$23,$D510)&gt;0,"Saída","Verificar")))</f>
        <v/>
      </c>
    </row>
    <row r="511" spans="7:7" ht="16.5" customHeight="1">
      <c r="G511" s="66">
        <f>IF($D511="","",IF(COUNTIF('Config'!$E$8:$E$15,$D511)&gt;0,"Entrada",IF(COUNTIF('Config'!$G$8:$G$23,$D511)&gt;0,"Saída","Verificar")))</f>
        <v/>
      </c>
    </row>
    <row r="512" spans="7:7" ht="16.5" customHeight="1">
      <c r="G512" s="66">
        <f>IF($D512="","",IF(COUNTIF('Config'!$E$8:$E$15,$D512)&gt;0,"Entrada",IF(COUNTIF('Config'!$G$8:$G$23,$D512)&gt;0,"Saída","Verificar")))</f>
        <v/>
      </c>
    </row>
    <row r="513" spans="7:7" ht="16.5" customHeight="1">
      <c r="G513" s="66">
        <f>IF($D513="","",IF(COUNTIF('Config'!$E$8:$E$15,$D513)&gt;0,"Entrada",IF(COUNTIF('Config'!$G$8:$G$23,$D513)&gt;0,"Saída","Verificar")))</f>
        <v/>
      </c>
    </row>
    <row r="514" spans="7:7" ht="16.5" customHeight="1">
      <c r="G514" s="66">
        <f>IF($D514="","",IF(COUNTIF('Config'!$E$8:$E$15,$D514)&gt;0,"Entrada",IF(COUNTIF('Config'!$G$8:$G$23,$D514)&gt;0,"Saída","Verificar")))</f>
        <v/>
      </c>
    </row>
    <row r="515" spans="7:7" ht="16.5" customHeight="1">
      <c r="G515" s="66">
        <f>IF($D515="","",IF(COUNTIF('Config'!$E$8:$E$15,$D515)&gt;0,"Entrada",IF(COUNTIF('Config'!$G$8:$G$23,$D515)&gt;0,"Saída","Verificar")))</f>
        <v/>
      </c>
    </row>
    <row r="516" spans="7:7" ht="16.5" customHeight="1">
      <c r="G516" s="66">
        <f>IF($D516="","",IF(COUNTIF('Config'!$E$8:$E$15,$D516)&gt;0,"Entrada",IF(COUNTIF('Config'!$G$8:$G$23,$D516)&gt;0,"Saída","Verificar")))</f>
        <v/>
      </c>
    </row>
    <row r="517" spans="7:7" ht="16.5" customHeight="1">
      <c r="G517" s="66">
        <f>IF($D517="","",IF(COUNTIF('Config'!$E$8:$E$15,$D517)&gt;0,"Entrada",IF(COUNTIF('Config'!$G$8:$G$23,$D517)&gt;0,"Saída","Verificar")))</f>
        <v/>
      </c>
    </row>
    <row r="518" spans="7:7" ht="16.5" customHeight="1">
      <c r="G518" s="66">
        <f>IF($D518="","",IF(COUNTIF('Config'!$E$8:$E$15,$D518)&gt;0,"Entrada",IF(COUNTIF('Config'!$G$8:$G$23,$D518)&gt;0,"Saída","Verificar")))</f>
        <v/>
      </c>
    </row>
    <row r="519" spans="7:7" ht="16.5" customHeight="1">
      <c r="G519" s="66">
        <f>IF($D519="","",IF(COUNTIF('Config'!$E$8:$E$15,$D519)&gt;0,"Entrada",IF(COUNTIF('Config'!$G$8:$G$23,$D519)&gt;0,"Saída","Verificar")))</f>
        <v/>
      </c>
    </row>
    <row r="520" spans="7:7" ht="16.5" customHeight="1">
      <c r="G520" s="66">
        <f>IF($D520="","",IF(COUNTIF('Config'!$E$8:$E$15,$D520)&gt;0,"Entrada",IF(COUNTIF('Config'!$G$8:$G$23,$D520)&gt;0,"Saída","Verificar")))</f>
        <v/>
      </c>
    </row>
    <row r="521" spans="7:7" ht="16.5" customHeight="1">
      <c r="G521" s="66">
        <f>IF($D521="","",IF(COUNTIF('Config'!$E$8:$E$15,$D521)&gt;0,"Entrada",IF(COUNTIF('Config'!$G$8:$G$23,$D521)&gt;0,"Saída","Verificar")))</f>
        <v/>
      </c>
    </row>
    <row r="522" spans="7:7" ht="16.5" customHeight="1">
      <c r="G522" s="66">
        <f>IF($D522="","",IF(COUNTIF('Config'!$E$8:$E$15,$D522)&gt;0,"Entrada",IF(COUNTIF('Config'!$G$8:$G$23,$D522)&gt;0,"Saída","Verificar")))</f>
        <v/>
      </c>
    </row>
    <row r="523" spans="7:7" ht="16.5" customHeight="1">
      <c r="G523" s="66">
        <f>IF($D523="","",IF(COUNTIF('Config'!$E$8:$E$15,$D523)&gt;0,"Entrada",IF(COUNTIF('Config'!$G$8:$G$23,$D523)&gt;0,"Saída","Verificar")))</f>
        <v/>
      </c>
    </row>
    <row r="524" spans="7:7" ht="16.5" customHeight="1">
      <c r="G524" s="66">
        <f>IF($D524="","",IF(COUNTIF('Config'!$E$8:$E$15,$D524)&gt;0,"Entrada",IF(COUNTIF('Config'!$G$8:$G$23,$D524)&gt;0,"Saída","Verificar")))</f>
        <v/>
      </c>
    </row>
    <row r="525" spans="7:7" ht="16.5" customHeight="1">
      <c r="G525" s="66">
        <f>IF($D525="","",IF(COUNTIF('Config'!$E$8:$E$15,$D525)&gt;0,"Entrada",IF(COUNTIF('Config'!$G$8:$G$23,$D525)&gt;0,"Saída","Verificar")))</f>
        <v/>
      </c>
    </row>
    <row r="526" spans="7:7" ht="16.5" customHeight="1">
      <c r="G526" s="66">
        <f>IF($D526="","",IF(COUNTIF('Config'!$E$8:$E$15,$D526)&gt;0,"Entrada",IF(COUNTIF('Config'!$G$8:$G$23,$D526)&gt;0,"Saída","Verificar")))</f>
        <v/>
      </c>
    </row>
    <row r="527" spans="7:7" ht="16.5" customHeight="1">
      <c r="G527" s="66">
        <f>IF($D527="","",IF(COUNTIF('Config'!$E$8:$E$15,$D527)&gt;0,"Entrada",IF(COUNTIF('Config'!$G$8:$G$23,$D527)&gt;0,"Saída","Verificar")))</f>
        <v/>
      </c>
    </row>
    <row r="528" spans="7:7" ht="16.5" customHeight="1">
      <c r="G528" s="66">
        <f>IF($D528="","",IF(COUNTIF('Config'!$E$8:$E$15,$D528)&gt;0,"Entrada",IF(COUNTIF('Config'!$G$8:$G$23,$D528)&gt;0,"Saída","Verificar")))</f>
        <v/>
      </c>
    </row>
    <row r="529" spans="7:7" ht="16.5" customHeight="1">
      <c r="G529" s="66">
        <f>IF($D529="","",IF(COUNTIF('Config'!$E$8:$E$15,$D529)&gt;0,"Entrada",IF(COUNTIF('Config'!$G$8:$G$23,$D529)&gt;0,"Saída","Verificar")))</f>
        <v/>
      </c>
    </row>
    <row r="530" spans="7:7" ht="16.5" customHeight="1">
      <c r="G530" s="66">
        <f>IF($D530="","",IF(COUNTIF('Config'!$E$8:$E$15,$D530)&gt;0,"Entrada",IF(COUNTIF('Config'!$G$8:$G$23,$D530)&gt;0,"Saída","Verificar")))</f>
        <v/>
      </c>
    </row>
    <row r="531" spans="7:7" ht="16.5" customHeight="1">
      <c r="G531" s="66">
        <f>IF($D531="","",IF(COUNTIF('Config'!$E$8:$E$15,$D531)&gt;0,"Entrada",IF(COUNTIF('Config'!$G$8:$G$23,$D531)&gt;0,"Saída","Verificar")))</f>
        <v/>
      </c>
    </row>
    <row r="532" spans="7:7" ht="16.5" customHeight="1">
      <c r="G532" s="66">
        <f>IF($D532="","",IF(COUNTIF('Config'!$E$8:$E$15,$D532)&gt;0,"Entrada",IF(COUNTIF('Config'!$G$8:$G$23,$D532)&gt;0,"Saída","Verificar")))</f>
        <v/>
      </c>
    </row>
    <row r="533" spans="7:7" ht="16.5" customHeight="1">
      <c r="G533" s="66">
        <f>IF($D533="","",IF(COUNTIF('Config'!$E$8:$E$15,$D533)&gt;0,"Entrada",IF(COUNTIF('Config'!$G$8:$G$23,$D533)&gt;0,"Saída","Verificar")))</f>
        <v/>
      </c>
    </row>
    <row r="534" spans="7:7" ht="16.5" customHeight="1">
      <c r="G534" s="66">
        <f>IF($D534="","",IF(COUNTIF('Config'!$E$8:$E$15,$D534)&gt;0,"Entrada",IF(COUNTIF('Config'!$G$8:$G$23,$D534)&gt;0,"Saída","Verificar")))</f>
        <v/>
      </c>
    </row>
    <row r="535" spans="7:7" ht="16.5" customHeight="1">
      <c r="G535" s="66">
        <f>IF($D535="","",IF(COUNTIF('Config'!$E$8:$E$15,$D535)&gt;0,"Entrada",IF(COUNTIF('Config'!$G$8:$G$23,$D535)&gt;0,"Saída","Verificar")))</f>
        <v/>
      </c>
    </row>
    <row r="536" spans="7:7" ht="16.5" customHeight="1">
      <c r="G536" s="66">
        <f>IF($D536="","",IF(COUNTIF('Config'!$E$8:$E$15,$D536)&gt;0,"Entrada",IF(COUNTIF('Config'!$G$8:$G$23,$D536)&gt;0,"Saída","Verificar")))</f>
        <v/>
      </c>
    </row>
    <row r="537" spans="7:7" ht="16.5" customHeight="1">
      <c r="G537" s="66">
        <f>IF($D537="","",IF(COUNTIF('Config'!$E$8:$E$15,$D537)&gt;0,"Entrada",IF(COUNTIF('Config'!$G$8:$G$23,$D537)&gt;0,"Saída","Verificar")))</f>
        <v/>
      </c>
    </row>
    <row r="538" spans="7:7" ht="16.5" customHeight="1">
      <c r="G538" s="66">
        <f>IF($D538="","",IF(COUNTIF('Config'!$E$8:$E$15,$D538)&gt;0,"Entrada",IF(COUNTIF('Config'!$G$8:$G$23,$D538)&gt;0,"Saída","Verificar")))</f>
        <v/>
      </c>
    </row>
    <row r="539" spans="7:7" ht="16.5" customHeight="1">
      <c r="G539" s="66">
        <f>IF($D539="","",IF(COUNTIF('Config'!$E$8:$E$15,$D539)&gt;0,"Entrada",IF(COUNTIF('Config'!$G$8:$G$23,$D539)&gt;0,"Saída","Verificar")))</f>
        <v/>
      </c>
    </row>
    <row r="540" spans="7:7" ht="16.5" customHeight="1">
      <c r="G540" s="66">
        <f>IF($D540="","",IF(COUNTIF('Config'!$E$8:$E$15,$D540)&gt;0,"Entrada",IF(COUNTIF('Config'!$G$8:$G$23,$D540)&gt;0,"Saída","Verificar")))</f>
        <v/>
      </c>
    </row>
    <row r="541" spans="7:7" ht="16.5" customHeight="1">
      <c r="G541" s="66">
        <f>IF($D541="","",IF(COUNTIF('Config'!$E$8:$E$15,$D541)&gt;0,"Entrada",IF(COUNTIF('Config'!$G$8:$G$23,$D541)&gt;0,"Saída","Verificar")))</f>
        <v/>
      </c>
    </row>
    <row r="542" spans="7:7" ht="16.5" customHeight="1">
      <c r="G542" s="66">
        <f>IF($D542="","",IF(COUNTIF('Config'!$E$8:$E$15,$D542)&gt;0,"Entrada",IF(COUNTIF('Config'!$G$8:$G$23,$D542)&gt;0,"Saída","Verificar")))</f>
        <v/>
      </c>
    </row>
    <row r="543" spans="7:7" ht="16.5" customHeight="1">
      <c r="G543" s="66">
        <f>IF($D543="","",IF(COUNTIF('Config'!$E$8:$E$15,$D543)&gt;0,"Entrada",IF(COUNTIF('Config'!$G$8:$G$23,$D543)&gt;0,"Saída","Verificar")))</f>
        <v/>
      </c>
    </row>
    <row r="544" spans="7:7" ht="16.5" customHeight="1">
      <c r="G544" s="66">
        <f>IF($D544="","",IF(COUNTIF('Config'!$E$8:$E$15,$D544)&gt;0,"Entrada",IF(COUNTIF('Config'!$G$8:$G$23,$D544)&gt;0,"Saída","Verificar")))</f>
        <v/>
      </c>
    </row>
    <row r="545" spans="7:7" ht="16.5" customHeight="1">
      <c r="G545" s="66">
        <f>IF($D545="","",IF(COUNTIF('Config'!$E$8:$E$15,$D545)&gt;0,"Entrada",IF(COUNTIF('Config'!$G$8:$G$23,$D545)&gt;0,"Saída","Verificar")))</f>
        <v/>
      </c>
    </row>
    <row r="546" spans="7:7" ht="16.5" customHeight="1">
      <c r="G546" s="66">
        <f>IF($D546="","",IF(COUNTIF('Config'!$E$8:$E$15,$D546)&gt;0,"Entrada",IF(COUNTIF('Config'!$G$8:$G$23,$D546)&gt;0,"Saída","Verificar")))</f>
        <v/>
      </c>
    </row>
    <row r="547" spans="7:7" ht="16.5" customHeight="1">
      <c r="G547" s="66">
        <f>IF($D547="","",IF(COUNTIF('Config'!$E$8:$E$15,$D547)&gt;0,"Entrada",IF(COUNTIF('Config'!$G$8:$G$23,$D547)&gt;0,"Saída","Verificar")))</f>
        <v/>
      </c>
    </row>
    <row r="548" spans="7:7" ht="16.5" customHeight="1">
      <c r="G548" s="66">
        <f>IF($D548="","",IF(COUNTIF('Config'!$E$8:$E$15,$D548)&gt;0,"Entrada",IF(COUNTIF('Config'!$G$8:$G$23,$D548)&gt;0,"Saída","Verificar")))</f>
        <v/>
      </c>
    </row>
    <row r="549" spans="7:7" ht="16.5" customHeight="1">
      <c r="G549" s="66">
        <f>IF($D549="","",IF(COUNTIF('Config'!$E$8:$E$15,$D549)&gt;0,"Entrada",IF(COUNTIF('Config'!$G$8:$G$23,$D549)&gt;0,"Saída","Verificar")))</f>
        <v/>
      </c>
    </row>
    <row r="550" spans="7:7" ht="16.5" customHeight="1">
      <c r="G550" s="66">
        <f>IF($D550="","",IF(COUNTIF('Config'!$E$8:$E$15,$D550)&gt;0,"Entrada",IF(COUNTIF('Config'!$G$8:$G$23,$D550)&gt;0,"Saída","Verificar")))</f>
        <v/>
      </c>
    </row>
    <row r="551" spans="7:7" ht="16.5" customHeight="1">
      <c r="G551" s="66">
        <f>IF($D551="","",IF(COUNTIF('Config'!$E$8:$E$15,$D551)&gt;0,"Entrada",IF(COUNTIF('Config'!$G$8:$G$23,$D551)&gt;0,"Saída","Verificar")))</f>
        <v/>
      </c>
    </row>
    <row r="552" spans="7:7" ht="16.5" customHeight="1">
      <c r="G552" s="66">
        <f>IF($D552="","",IF(COUNTIF('Config'!$E$8:$E$15,$D552)&gt;0,"Entrada",IF(COUNTIF('Config'!$G$8:$G$23,$D552)&gt;0,"Saída","Verificar")))</f>
        <v/>
      </c>
    </row>
    <row r="553" spans="7:7" ht="16.5" customHeight="1">
      <c r="G553" s="66">
        <f>IF($D553="","",IF(COUNTIF('Config'!$E$8:$E$15,$D553)&gt;0,"Entrada",IF(COUNTIF('Config'!$G$8:$G$23,$D553)&gt;0,"Saída","Verificar")))</f>
        <v/>
      </c>
    </row>
    <row r="554" spans="7:7" ht="16.5" customHeight="1">
      <c r="G554" s="66">
        <f>IF($D554="","",IF(COUNTIF('Config'!$E$8:$E$15,$D554)&gt;0,"Entrada",IF(COUNTIF('Config'!$G$8:$G$23,$D554)&gt;0,"Saída","Verificar")))</f>
        <v/>
      </c>
    </row>
    <row r="555" spans="7:7" ht="16.5" customHeight="1">
      <c r="G555" s="66">
        <f>IF($D555="","",IF(COUNTIF('Config'!$E$8:$E$15,$D555)&gt;0,"Entrada",IF(COUNTIF('Config'!$G$8:$G$23,$D555)&gt;0,"Saída","Verificar")))</f>
        <v/>
      </c>
    </row>
    <row r="556" spans="7:7" ht="16.5" customHeight="1">
      <c r="G556" s="66">
        <f>IF($D556="","",IF(COUNTIF('Config'!$E$8:$E$15,$D556)&gt;0,"Entrada",IF(COUNTIF('Config'!$G$8:$G$23,$D556)&gt;0,"Saída","Verificar")))</f>
        <v/>
      </c>
    </row>
    <row r="557" spans="7:7" ht="16.5" customHeight="1">
      <c r="G557" s="66">
        <f>IF($D557="","",IF(COUNTIF('Config'!$E$8:$E$15,$D557)&gt;0,"Entrada",IF(COUNTIF('Config'!$G$8:$G$23,$D557)&gt;0,"Saída","Verificar")))</f>
        <v/>
      </c>
    </row>
    <row r="558" spans="7:7" ht="16.5" customHeight="1">
      <c r="G558" s="66">
        <f>IF($D558="","",IF(COUNTIF('Config'!$E$8:$E$15,$D558)&gt;0,"Entrada",IF(COUNTIF('Config'!$G$8:$G$23,$D558)&gt;0,"Saída","Verificar")))</f>
        <v/>
      </c>
    </row>
    <row r="559" spans="7:7" ht="16.5" customHeight="1">
      <c r="G559" s="66">
        <f>IF($D559="","",IF(COUNTIF('Config'!$E$8:$E$15,$D559)&gt;0,"Entrada",IF(COUNTIF('Config'!$G$8:$G$23,$D559)&gt;0,"Saída","Verificar")))</f>
        <v/>
      </c>
    </row>
    <row r="560" spans="7:7" ht="16.5" customHeight="1">
      <c r="G560" s="66">
        <f>IF($D560="","",IF(COUNTIF('Config'!$E$8:$E$15,$D560)&gt;0,"Entrada",IF(COUNTIF('Config'!$G$8:$G$23,$D560)&gt;0,"Saída","Verificar")))</f>
        <v/>
      </c>
    </row>
    <row r="561" spans="7:7" ht="16.5" customHeight="1">
      <c r="G561" s="66">
        <f>IF($D561="","",IF(COUNTIF('Config'!$E$8:$E$15,$D561)&gt;0,"Entrada",IF(COUNTIF('Config'!$G$8:$G$23,$D561)&gt;0,"Saída","Verificar")))</f>
        <v/>
      </c>
    </row>
    <row r="562" spans="7:7" ht="16.5" customHeight="1">
      <c r="G562" s="66">
        <f>IF($D562="","",IF(COUNTIF('Config'!$E$8:$E$15,$D562)&gt;0,"Entrada",IF(COUNTIF('Config'!$G$8:$G$23,$D562)&gt;0,"Saída","Verificar")))</f>
        <v/>
      </c>
    </row>
    <row r="563" spans="7:7" ht="16.5" customHeight="1">
      <c r="G563" s="66">
        <f>IF($D563="","",IF(COUNTIF('Config'!$E$8:$E$15,$D563)&gt;0,"Entrada",IF(COUNTIF('Config'!$G$8:$G$23,$D563)&gt;0,"Saída","Verificar")))</f>
        <v/>
      </c>
    </row>
    <row r="564" spans="7:7" ht="16.5" customHeight="1">
      <c r="G564" s="66">
        <f>IF($D564="","",IF(COUNTIF('Config'!$E$8:$E$15,$D564)&gt;0,"Entrada",IF(COUNTIF('Config'!$G$8:$G$23,$D564)&gt;0,"Saída","Verificar")))</f>
        <v/>
      </c>
    </row>
    <row r="565" spans="7:7" ht="16.5" customHeight="1">
      <c r="G565" s="66">
        <f>IF($D565="","",IF(COUNTIF('Config'!$E$8:$E$15,$D565)&gt;0,"Entrada",IF(COUNTIF('Config'!$G$8:$G$23,$D565)&gt;0,"Saída","Verificar")))</f>
        <v/>
      </c>
    </row>
    <row r="566" spans="7:7" ht="16.5" customHeight="1">
      <c r="G566" s="66">
        <f>IF($D566="","",IF(COUNTIF('Config'!$E$8:$E$15,$D566)&gt;0,"Entrada",IF(COUNTIF('Config'!$G$8:$G$23,$D566)&gt;0,"Saída","Verificar")))</f>
        <v/>
      </c>
    </row>
    <row r="567" spans="7:7" ht="16.5" customHeight="1">
      <c r="G567" s="66">
        <f>IF($D567="","",IF(COUNTIF('Config'!$E$8:$E$15,$D567)&gt;0,"Entrada",IF(COUNTIF('Config'!$G$8:$G$23,$D567)&gt;0,"Saída","Verificar")))</f>
        <v/>
      </c>
    </row>
    <row r="568" spans="7:7" ht="16.5" customHeight="1">
      <c r="G568" s="66">
        <f>IF($D568="","",IF(COUNTIF('Config'!$E$8:$E$15,$D568)&gt;0,"Entrada",IF(COUNTIF('Config'!$G$8:$G$23,$D568)&gt;0,"Saída","Verificar")))</f>
        <v/>
      </c>
    </row>
    <row r="569" spans="7:7" ht="16.5" customHeight="1">
      <c r="G569" s="66">
        <f>IF($D569="","",IF(COUNTIF('Config'!$E$8:$E$15,$D569)&gt;0,"Entrada",IF(COUNTIF('Config'!$G$8:$G$23,$D569)&gt;0,"Saída","Verificar")))</f>
        <v/>
      </c>
    </row>
    <row r="570" spans="7:7" ht="16.5" customHeight="1">
      <c r="G570" s="66">
        <f>IF($D570="","",IF(COUNTIF('Config'!$E$8:$E$15,$D570)&gt;0,"Entrada",IF(COUNTIF('Config'!$G$8:$G$23,$D570)&gt;0,"Saída","Verificar")))</f>
        <v/>
      </c>
    </row>
    <row r="571" spans="7:7" ht="16.5" customHeight="1">
      <c r="G571" s="66">
        <f>IF($D571="","",IF(COUNTIF('Config'!$E$8:$E$15,$D571)&gt;0,"Entrada",IF(COUNTIF('Config'!$G$8:$G$23,$D571)&gt;0,"Saída","Verificar")))</f>
        <v/>
      </c>
    </row>
    <row r="572" spans="7:7" ht="16.5" customHeight="1">
      <c r="G572" s="66">
        <f>IF($D572="","",IF(COUNTIF('Config'!$E$8:$E$15,$D572)&gt;0,"Entrada",IF(COUNTIF('Config'!$G$8:$G$23,$D572)&gt;0,"Saída","Verificar")))</f>
        <v/>
      </c>
    </row>
    <row r="573" spans="7:7" ht="16.5" customHeight="1">
      <c r="G573" s="66">
        <f>IF($D573="","",IF(COUNTIF('Config'!$E$8:$E$15,$D573)&gt;0,"Entrada",IF(COUNTIF('Config'!$G$8:$G$23,$D573)&gt;0,"Saída","Verificar")))</f>
        <v/>
      </c>
    </row>
    <row r="574" spans="7:7" ht="16.5" customHeight="1">
      <c r="G574" s="66">
        <f>IF($D574="","",IF(COUNTIF('Config'!$E$8:$E$15,$D574)&gt;0,"Entrada",IF(COUNTIF('Config'!$G$8:$G$23,$D574)&gt;0,"Saída","Verificar")))</f>
        <v/>
      </c>
    </row>
    <row r="575" spans="7:7" ht="16.5" customHeight="1">
      <c r="G575" s="66">
        <f>IF($D575="","",IF(COUNTIF('Config'!$E$8:$E$15,$D575)&gt;0,"Entrada",IF(COUNTIF('Config'!$G$8:$G$23,$D575)&gt;0,"Saída","Verificar")))</f>
        <v/>
      </c>
    </row>
    <row r="576" spans="7:7" ht="16.5" customHeight="1">
      <c r="G576" s="66">
        <f>IF($D576="","",IF(COUNTIF('Config'!$E$8:$E$15,$D576)&gt;0,"Entrada",IF(COUNTIF('Config'!$G$8:$G$23,$D576)&gt;0,"Saída","Verificar")))</f>
        <v/>
      </c>
    </row>
    <row r="577" spans="7:7" ht="16.5" customHeight="1">
      <c r="G577" s="66">
        <f>IF($D577="","",IF(COUNTIF('Config'!$E$8:$E$15,$D577)&gt;0,"Entrada",IF(COUNTIF('Config'!$G$8:$G$23,$D577)&gt;0,"Saída","Verificar")))</f>
        <v/>
      </c>
    </row>
    <row r="578" spans="7:7" ht="16.5" customHeight="1">
      <c r="G578" s="66">
        <f>IF($D578="","",IF(COUNTIF('Config'!$E$8:$E$15,$D578)&gt;0,"Entrada",IF(COUNTIF('Config'!$G$8:$G$23,$D578)&gt;0,"Saída","Verificar")))</f>
        <v/>
      </c>
    </row>
    <row r="579" spans="7:7" ht="16.5" customHeight="1">
      <c r="G579" s="66">
        <f>IF($D579="","",IF(COUNTIF('Config'!$E$8:$E$15,$D579)&gt;0,"Entrada",IF(COUNTIF('Config'!$G$8:$G$23,$D579)&gt;0,"Saída","Verificar")))</f>
        <v/>
      </c>
    </row>
    <row r="580" spans="7:7" ht="16.5" customHeight="1">
      <c r="G580" s="66">
        <f>IF($D580="","",IF(COUNTIF('Config'!$E$8:$E$15,$D580)&gt;0,"Entrada",IF(COUNTIF('Config'!$G$8:$G$23,$D580)&gt;0,"Saída","Verificar")))</f>
        <v/>
      </c>
    </row>
    <row r="581" spans="7:7" ht="16.5" customHeight="1">
      <c r="G581" s="66">
        <f>IF($D581="","",IF(COUNTIF('Config'!$E$8:$E$15,$D581)&gt;0,"Entrada",IF(COUNTIF('Config'!$G$8:$G$23,$D581)&gt;0,"Saída","Verificar")))</f>
        <v/>
      </c>
    </row>
    <row r="582" spans="7:7" ht="16.5" customHeight="1">
      <c r="G582" s="66">
        <f>IF($D582="","",IF(COUNTIF('Config'!$E$8:$E$15,$D582)&gt;0,"Entrada",IF(COUNTIF('Config'!$G$8:$G$23,$D582)&gt;0,"Saída","Verificar")))</f>
        <v/>
      </c>
    </row>
    <row r="583" spans="7:7" ht="16.5" customHeight="1">
      <c r="G583" s="66">
        <f>IF($D583="","",IF(COUNTIF('Config'!$E$8:$E$15,$D583)&gt;0,"Entrada",IF(COUNTIF('Config'!$G$8:$G$23,$D583)&gt;0,"Saída","Verificar")))</f>
        <v/>
      </c>
    </row>
    <row r="584" spans="7:7" ht="16.5" customHeight="1">
      <c r="G584" s="66">
        <f>IF($D584="","",IF(COUNTIF('Config'!$E$8:$E$15,$D584)&gt;0,"Entrada",IF(COUNTIF('Config'!$G$8:$G$23,$D584)&gt;0,"Saída","Verificar")))</f>
        <v/>
      </c>
    </row>
    <row r="585" spans="7:7" ht="16.5" customHeight="1">
      <c r="G585" s="66">
        <f>IF($D585="","",IF(COUNTIF('Config'!$E$8:$E$15,$D585)&gt;0,"Entrada",IF(COUNTIF('Config'!$G$8:$G$23,$D585)&gt;0,"Saída","Verificar")))</f>
        <v/>
      </c>
    </row>
    <row r="586" spans="7:7" ht="16.5" customHeight="1">
      <c r="G586" s="66">
        <f>IF($D586="","",IF(COUNTIF('Config'!$E$8:$E$15,$D586)&gt;0,"Entrada",IF(COUNTIF('Config'!$G$8:$G$23,$D586)&gt;0,"Saída","Verificar")))</f>
        <v/>
      </c>
    </row>
    <row r="587" spans="7:7" ht="16.5" customHeight="1">
      <c r="G587" s="66">
        <f>IF($D587="","",IF(COUNTIF('Config'!$E$8:$E$15,$D587)&gt;0,"Entrada",IF(COUNTIF('Config'!$G$8:$G$23,$D587)&gt;0,"Saída","Verificar")))</f>
        <v/>
      </c>
    </row>
    <row r="588" spans="7:7" ht="16.5" customHeight="1">
      <c r="G588" s="66">
        <f>IF($D588="","",IF(COUNTIF('Config'!$E$8:$E$15,$D588)&gt;0,"Entrada",IF(COUNTIF('Config'!$G$8:$G$23,$D588)&gt;0,"Saída","Verificar")))</f>
        <v/>
      </c>
    </row>
    <row r="589" spans="7:7" ht="16.5" customHeight="1">
      <c r="G589" s="66">
        <f>IF($D589="","",IF(COUNTIF('Config'!$E$8:$E$15,$D589)&gt;0,"Entrada",IF(COUNTIF('Config'!$G$8:$G$23,$D589)&gt;0,"Saída","Verificar")))</f>
        <v/>
      </c>
    </row>
    <row r="590" spans="7:7" ht="16.5" customHeight="1">
      <c r="G590" s="66">
        <f>IF($D590="","",IF(COUNTIF('Config'!$E$8:$E$15,$D590)&gt;0,"Entrada",IF(COUNTIF('Config'!$G$8:$G$23,$D590)&gt;0,"Saída","Verificar")))</f>
        <v/>
      </c>
    </row>
    <row r="591" spans="7:7" ht="16.5" customHeight="1">
      <c r="G591" s="66">
        <f>IF($D591="","",IF(COUNTIF('Config'!$E$8:$E$15,$D591)&gt;0,"Entrada",IF(COUNTIF('Config'!$G$8:$G$23,$D591)&gt;0,"Saída","Verificar")))</f>
        <v/>
      </c>
    </row>
    <row r="592" spans="7:7" ht="16.5" customHeight="1">
      <c r="G592" s="66">
        <f>IF($D592="","",IF(COUNTIF('Config'!$E$8:$E$15,$D592)&gt;0,"Entrada",IF(COUNTIF('Config'!$G$8:$G$23,$D592)&gt;0,"Saída","Verificar")))</f>
        <v/>
      </c>
    </row>
    <row r="593" spans="7:7" ht="16.5" customHeight="1">
      <c r="G593" s="66">
        <f>IF($D593="","",IF(COUNTIF('Config'!$E$8:$E$15,$D593)&gt;0,"Entrada",IF(COUNTIF('Config'!$G$8:$G$23,$D593)&gt;0,"Saída","Verificar")))</f>
        <v/>
      </c>
    </row>
    <row r="594" spans="7:7" ht="16.5" customHeight="1">
      <c r="G594" s="66">
        <f>IF($D594="","",IF(COUNTIF('Config'!$E$8:$E$15,$D594)&gt;0,"Entrada",IF(COUNTIF('Config'!$G$8:$G$23,$D594)&gt;0,"Saída","Verificar")))</f>
        <v/>
      </c>
    </row>
    <row r="595" spans="7:7" ht="16.5" customHeight="1">
      <c r="G595" s="66">
        <f>IF($D595="","",IF(COUNTIF('Config'!$E$8:$E$15,$D595)&gt;0,"Entrada",IF(COUNTIF('Config'!$G$8:$G$23,$D595)&gt;0,"Saída","Verificar")))</f>
        <v/>
      </c>
    </row>
    <row r="596" spans="7:7" ht="16.5" customHeight="1">
      <c r="G596" s="66">
        <f>IF($D596="","",IF(COUNTIF('Config'!$E$8:$E$15,$D596)&gt;0,"Entrada",IF(COUNTIF('Config'!$G$8:$G$23,$D596)&gt;0,"Saída","Verificar")))</f>
        <v/>
      </c>
    </row>
    <row r="597" spans="7:7" ht="16.5" customHeight="1">
      <c r="G597" s="66">
        <f>IF($D597="","",IF(COUNTIF('Config'!$E$8:$E$15,$D597)&gt;0,"Entrada",IF(COUNTIF('Config'!$G$8:$G$23,$D597)&gt;0,"Saída","Verificar")))</f>
        <v/>
      </c>
    </row>
    <row r="598" spans="7:7" ht="16.5" customHeight="1">
      <c r="G598" s="66">
        <f>IF($D598="","",IF(COUNTIF('Config'!$E$8:$E$15,$D598)&gt;0,"Entrada",IF(COUNTIF('Config'!$G$8:$G$23,$D598)&gt;0,"Saída","Verificar")))</f>
        <v/>
      </c>
    </row>
    <row r="599" spans="7:7" ht="16.5" customHeight="1">
      <c r="G599" s="66">
        <f>IF($D599="","",IF(COUNTIF('Config'!$E$8:$E$15,$D599)&gt;0,"Entrada",IF(COUNTIF('Config'!$G$8:$G$23,$D599)&gt;0,"Saída","Verificar")))</f>
        <v/>
      </c>
    </row>
    <row r="600" spans="7:7" ht="16.5" customHeight="1">
      <c r="G600" s="66">
        <f>IF($D600="","",IF(COUNTIF('Config'!$E$8:$E$15,$D600)&gt;0,"Entrada",IF(COUNTIF('Config'!$G$8:$G$23,$D600)&gt;0,"Saída","Verificar")))</f>
        <v/>
      </c>
    </row>
    <row r="601" spans="7:7" ht="16.5" customHeight="1">
      <c r="G601" s="66">
        <f>IF($D601="","",IF(COUNTIF('Config'!$E$8:$E$15,$D601)&gt;0,"Entrada",IF(COUNTIF('Config'!$G$8:$G$23,$D601)&gt;0,"Saída","Verificar")))</f>
        <v/>
      </c>
    </row>
    <row r="602" spans="7:7" ht="16.5" customHeight="1">
      <c r="G602" s="66">
        <f>IF($D602="","",IF(COUNTIF('Config'!$E$8:$E$15,$D602)&gt;0,"Entrada",IF(COUNTIF('Config'!$G$8:$G$23,$D602)&gt;0,"Saída","Verificar")))</f>
        <v/>
      </c>
    </row>
    <row r="603" spans="7:7" ht="16.5" customHeight="1">
      <c r="G603" s="66">
        <f>IF($D603="","",IF(COUNTIF('Config'!$E$8:$E$15,$D603)&gt;0,"Entrada",IF(COUNTIF('Config'!$G$8:$G$23,$D603)&gt;0,"Saída","Verificar")))</f>
        <v/>
      </c>
    </row>
    <row r="604" spans="7:7" ht="16.5" customHeight="1">
      <c r="G604" s="66">
        <f>IF($D604="","",IF(COUNTIF('Config'!$E$8:$E$15,$D604)&gt;0,"Entrada",IF(COUNTIF('Config'!$G$8:$G$23,$D604)&gt;0,"Saída","Verificar")))</f>
        <v/>
      </c>
    </row>
    <row r="605" spans="7:7" ht="16.5" customHeight="1">
      <c r="G605" s="66">
        <f>IF($D605="","",IF(COUNTIF('Config'!$E$8:$E$15,$D605)&gt;0,"Entrada",IF(COUNTIF('Config'!$G$8:$G$23,$D605)&gt;0,"Saída","Verificar")))</f>
        <v/>
      </c>
    </row>
    <row r="606" spans="7:7" ht="16.5" customHeight="1">
      <c r="G606" s="66">
        <f>IF($D606="","",IF(COUNTIF('Config'!$E$8:$E$15,$D606)&gt;0,"Entrada",IF(COUNTIF('Config'!$G$8:$G$23,$D606)&gt;0,"Saída","Verificar")))</f>
        <v/>
      </c>
    </row>
    <row r="607" spans="7:7" ht="16.5" customHeight="1">
      <c r="G607" s="66">
        <f>IF($D607="","",IF(COUNTIF('Config'!$E$8:$E$15,$D607)&gt;0,"Entrada",IF(COUNTIF('Config'!$G$8:$G$23,$D607)&gt;0,"Saída","Verificar")))</f>
        <v/>
      </c>
    </row>
    <row r="608" spans="7:7" ht="16.5" customHeight="1">
      <c r="G608" s="66">
        <f>IF($D608="","",IF(COUNTIF('Config'!$E$8:$E$15,$D608)&gt;0,"Entrada",IF(COUNTIF('Config'!$G$8:$G$23,$D608)&gt;0,"Saída","Verificar")))</f>
        <v/>
      </c>
    </row>
    <row r="609" spans="7:7" ht="16.5" customHeight="1">
      <c r="G609" s="66">
        <f>IF($D609="","",IF(COUNTIF('Config'!$E$8:$E$15,$D609)&gt;0,"Entrada",IF(COUNTIF('Config'!$G$8:$G$23,$D609)&gt;0,"Saída","Verificar")))</f>
        <v/>
      </c>
    </row>
    <row r="610" spans="7:7" ht="16.5" customHeight="1">
      <c r="G610" s="66">
        <f>IF($D610="","",IF(COUNTIF('Config'!$E$8:$E$15,$D610)&gt;0,"Entrada",IF(COUNTIF('Config'!$G$8:$G$23,$D610)&gt;0,"Saída","Verificar")))</f>
        <v/>
      </c>
    </row>
    <row r="611" spans="7:7" ht="16.5" customHeight="1">
      <c r="G611" s="66">
        <f>IF($D611="","",IF(COUNTIF('Config'!$E$8:$E$15,$D611)&gt;0,"Entrada",IF(COUNTIF('Config'!$G$8:$G$23,$D611)&gt;0,"Saída","Verificar")))</f>
        <v/>
      </c>
    </row>
    <row r="612" spans="7:7" ht="16.5" customHeight="1">
      <c r="G612" s="66">
        <f>IF($D612="","",IF(COUNTIF('Config'!$E$8:$E$15,$D612)&gt;0,"Entrada",IF(COUNTIF('Config'!$G$8:$G$23,$D612)&gt;0,"Saída","Verificar")))</f>
        <v/>
      </c>
    </row>
    <row r="613" spans="7:7" ht="16.5" customHeight="1">
      <c r="G613" s="66">
        <f>IF($D613="","",IF(COUNTIF('Config'!$E$8:$E$15,$D613)&gt;0,"Entrada",IF(COUNTIF('Config'!$G$8:$G$23,$D613)&gt;0,"Saída","Verificar")))</f>
        <v/>
      </c>
    </row>
    <row r="614" spans="7:7" ht="16.5" customHeight="1">
      <c r="G614" s="66">
        <f>IF($D614="","",IF(COUNTIF('Config'!$E$8:$E$15,$D614)&gt;0,"Entrada",IF(COUNTIF('Config'!$G$8:$G$23,$D614)&gt;0,"Saída","Verificar")))</f>
        <v/>
      </c>
    </row>
    <row r="615" spans="7:7" ht="16.5" customHeight="1">
      <c r="G615" s="66">
        <f>IF($D615="","",IF(COUNTIF('Config'!$E$8:$E$15,$D615)&gt;0,"Entrada",IF(COUNTIF('Config'!$G$8:$G$23,$D615)&gt;0,"Saída","Verificar")))</f>
        <v/>
      </c>
    </row>
    <row r="616" spans="7:7" ht="16.5" customHeight="1">
      <c r="G616" s="66">
        <f>IF($D616="","",IF(COUNTIF('Config'!$E$8:$E$15,$D616)&gt;0,"Entrada",IF(COUNTIF('Config'!$G$8:$G$23,$D616)&gt;0,"Saída","Verificar")))</f>
        <v/>
      </c>
    </row>
    <row r="617" spans="7:7" ht="16.5" customHeight="1">
      <c r="G617" s="66">
        <f>IF($D617="","",IF(COUNTIF('Config'!$E$8:$E$15,$D617)&gt;0,"Entrada",IF(COUNTIF('Config'!$G$8:$G$23,$D617)&gt;0,"Saída","Verificar")))</f>
        <v/>
      </c>
    </row>
    <row r="618" spans="7:7" ht="16.5" customHeight="1">
      <c r="G618" s="66">
        <f>IF($D618="","",IF(COUNTIF('Config'!$E$8:$E$15,$D618)&gt;0,"Entrada",IF(COUNTIF('Config'!$G$8:$G$23,$D618)&gt;0,"Saída","Verificar")))</f>
        <v/>
      </c>
    </row>
    <row r="619" spans="7:7" ht="16.5" customHeight="1">
      <c r="G619" s="66">
        <f>IF($D619="","",IF(COUNTIF('Config'!$E$8:$E$15,$D619)&gt;0,"Entrada",IF(COUNTIF('Config'!$G$8:$G$23,$D619)&gt;0,"Saída","Verificar")))</f>
        <v/>
      </c>
    </row>
    <row r="620" spans="7:7" ht="16.5" customHeight="1">
      <c r="G620" s="66">
        <f>IF($D620="","",IF(COUNTIF('Config'!$E$8:$E$15,$D620)&gt;0,"Entrada",IF(COUNTIF('Config'!$G$8:$G$23,$D620)&gt;0,"Saída","Verificar")))</f>
        <v/>
      </c>
    </row>
    <row r="621" spans="7:7" ht="16.5" customHeight="1">
      <c r="G621" s="66">
        <f>IF($D621="","",IF(COUNTIF('Config'!$E$8:$E$15,$D621)&gt;0,"Entrada",IF(COUNTIF('Config'!$G$8:$G$23,$D621)&gt;0,"Saída","Verificar")))</f>
        <v/>
      </c>
    </row>
    <row r="622" spans="7:7" ht="16.5" customHeight="1">
      <c r="G622" s="66">
        <f>IF($D622="","",IF(COUNTIF('Config'!$E$8:$E$15,$D622)&gt;0,"Entrada",IF(COUNTIF('Config'!$G$8:$G$23,$D622)&gt;0,"Saída","Verificar")))</f>
        <v/>
      </c>
    </row>
    <row r="623" spans="7:7" ht="16.5" customHeight="1">
      <c r="G623" s="66">
        <f>IF($D623="","",IF(COUNTIF('Config'!$E$8:$E$15,$D623)&gt;0,"Entrada",IF(COUNTIF('Config'!$G$8:$G$23,$D623)&gt;0,"Saída","Verificar")))</f>
        <v/>
      </c>
    </row>
    <row r="624" spans="7:7" ht="16.5" customHeight="1">
      <c r="G624" s="66">
        <f>IF($D624="","",IF(COUNTIF('Config'!$E$8:$E$15,$D624)&gt;0,"Entrada",IF(COUNTIF('Config'!$G$8:$G$23,$D624)&gt;0,"Saída","Verificar")))</f>
        <v/>
      </c>
    </row>
    <row r="625" spans="7:7" ht="16.5" customHeight="1">
      <c r="G625" s="66">
        <f>IF($D625="","",IF(COUNTIF('Config'!$E$8:$E$15,$D625)&gt;0,"Entrada",IF(COUNTIF('Config'!$G$8:$G$23,$D625)&gt;0,"Saída","Verificar")))</f>
        <v/>
      </c>
    </row>
    <row r="626" spans="7:7" ht="16.5" customHeight="1">
      <c r="G626" s="66">
        <f>IF($D626="","",IF(COUNTIF('Config'!$E$8:$E$15,$D626)&gt;0,"Entrada",IF(COUNTIF('Config'!$G$8:$G$23,$D626)&gt;0,"Saída","Verificar")))</f>
        <v/>
      </c>
    </row>
    <row r="627" spans="7:7" ht="16.5" customHeight="1">
      <c r="G627" s="66">
        <f>IF($D627="","",IF(COUNTIF('Config'!$E$8:$E$15,$D627)&gt;0,"Entrada",IF(COUNTIF('Config'!$G$8:$G$23,$D627)&gt;0,"Saída","Verificar")))</f>
        <v/>
      </c>
    </row>
    <row r="628" spans="7:7" ht="16.5" customHeight="1">
      <c r="G628" s="66">
        <f>IF($D628="","",IF(COUNTIF('Config'!$E$8:$E$15,$D628)&gt;0,"Entrada",IF(COUNTIF('Config'!$G$8:$G$23,$D628)&gt;0,"Saída","Verificar")))</f>
        <v/>
      </c>
    </row>
    <row r="629" spans="7:7" ht="16.5" customHeight="1">
      <c r="G629" s="66">
        <f>IF($D629="","",IF(COUNTIF('Config'!$E$8:$E$15,$D629)&gt;0,"Entrada",IF(COUNTIF('Config'!$G$8:$G$23,$D629)&gt;0,"Saída","Verificar")))</f>
        <v/>
      </c>
    </row>
    <row r="630" spans="7:7" ht="16.5" customHeight="1">
      <c r="G630" s="66">
        <f>IF($D630="","",IF(COUNTIF('Config'!$E$8:$E$15,$D630)&gt;0,"Entrada",IF(COUNTIF('Config'!$G$8:$G$23,$D630)&gt;0,"Saída","Verificar")))</f>
        <v/>
      </c>
    </row>
    <row r="631" spans="7:7" ht="16.5" customHeight="1">
      <c r="G631" s="66">
        <f>IF($D631="","",IF(COUNTIF('Config'!$E$8:$E$15,$D631)&gt;0,"Entrada",IF(COUNTIF('Config'!$G$8:$G$23,$D631)&gt;0,"Saída","Verificar")))</f>
        <v/>
      </c>
    </row>
    <row r="632" spans="7:7" ht="16.5" customHeight="1">
      <c r="G632" s="66">
        <f>IF($D632="","",IF(COUNTIF('Config'!$E$8:$E$15,$D632)&gt;0,"Entrada",IF(COUNTIF('Config'!$G$8:$G$23,$D632)&gt;0,"Saída","Verificar")))</f>
        <v/>
      </c>
    </row>
    <row r="633" spans="7:7" ht="16.5" customHeight="1">
      <c r="G633" s="66">
        <f>IF($D633="","",IF(COUNTIF('Config'!$E$8:$E$15,$D633)&gt;0,"Entrada",IF(COUNTIF('Config'!$G$8:$G$23,$D633)&gt;0,"Saída","Verificar")))</f>
        <v/>
      </c>
    </row>
    <row r="634" spans="7:7" ht="16.5" customHeight="1">
      <c r="G634" s="66">
        <f>IF($D634="","",IF(COUNTIF('Config'!$E$8:$E$15,$D634)&gt;0,"Entrada",IF(COUNTIF('Config'!$G$8:$G$23,$D634)&gt;0,"Saída","Verificar")))</f>
        <v/>
      </c>
    </row>
    <row r="635" spans="7:7" ht="16.5" customHeight="1">
      <c r="G635" s="66">
        <f>IF($D635="","",IF(COUNTIF('Config'!$E$8:$E$15,$D635)&gt;0,"Entrada",IF(COUNTIF('Config'!$G$8:$G$23,$D635)&gt;0,"Saída","Verificar")))</f>
        <v/>
      </c>
    </row>
    <row r="636" spans="7:7" ht="16.5" customHeight="1">
      <c r="G636" s="66">
        <f>IF($D636="","",IF(COUNTIF('Config'!$E$8:$E$15,$D636)&gt;0,"Entrada",IF(COUNTIF('Config'!$G$8:$G$23,$D636)&gt;0,"Saída","Verificar")))</f>
        <v/>
      </c>
    </row>
    <row r="637" spans="7:7" ht="16.5" customHeight="1">
      <c r="G637" s="66">
        <f>IF($D637="","",IF(COUNTIF('Config'!$E$8:$E$15,$D637)&gt;0,"Entrada",IF(COUNTIF('Config'!$G$8:$G$23,$D637)&gt;0,"Saída","Verificar")))</f>
        <v/>
      </c>
    </row>
    <row r="638" spans="7:7" ht="16.5" customHeight="1">
      <c r="G638" s="66">
        <f>IF($D638="","",IF(COUNTIF('Config'!$E$8:$E$15,$D638)&gt;0,"Entrada",IF(COUNTIF('Config'!$G$8:$G$23,$D638)&gt;0,"Saída","Verificar")))</f>
        <v/>
      </c>
    </row>
    <row r="639" spans="7:7" ht="16.5" customHeight="1">
      <c r="G639" s="66">
        <f>IF($D639="","",IF(COUNTIF('Config'!$E$8:$E$15,$D639)&gt;0,"Entrada",IF(COUNTIF('Config'!$G$8:$G$23,$D639)&gt;0,"Saída","Verificar")))</f>
        <v/>
      </c>
    </row>
    <row r="640" spans="7:7" ht="16.5" customHeight="1">
      <c r="G640" s="66">
        <f>IF($D640="","",IF(COUNTIF('Config'!$E$8:$E$15,$D640)&gt;0,"Entrada",IF(COUNTIF('Config'!$G$8:$G$23,$D640)&gt;0,"Saída","Verificar")))</f>
        <v/>
      </c>
    </row>
    <row r="641" spans="7:7" ht="16.5" customHeight="1">
      <c r="G641" s="66">
        <f>IF($D641="","",IF(COUNTIF('Config'!$E$8:$E$15,$D641)&gt;0,"Entrada",IF(COUNTIF('Config'!$G$8:$G$23,$D641)&gt;0,"Saída","Verificar")))</f>
        <v/>
      </c>
    </row>
    <row r="642" spans="7:7" ht="16.5" customHeight="1">
      <c r="G642" s="66">
        <f>IF($D642="","",IF(COUNTIF('Config'!$E$8:$E$15,$D642)&gt;0,"Entrada",IF(COUNTIF('Config'!$G$8:$G$23,$D642)&gt;0,"Saída","Verificar")))</f>
        <v/>
      </c>
    </row>
    <row r="643" spans="7:7" ht="16.5" customHeight="1">
      <c r="G643" s="66">
        <f>IF($D643="","",IF(COUNTIF('Config'!$E$8:$E$15,$D643)&gt;0,"Entrada",IF(COUNTIF('Config'!$G$8:$G$23,$D643)&gt;0,"Saída","Verificar")))</f>
        <v/>
      </c>
    </row>
    <row r="644" spans="7:7" ht="16.5" customHeight="1">
      <c r="G644" s="66">
        <f>IF($D644="","",IF(COUNTIF('Config'!$E$8:$E$15,$D644)&gt;0,"Entrada",IF(COUNTIF('Config'!$G$8:$G$23,$D644)&gt;0,"Saída","Verificar")))</f>
        <v/>
      </c>
    </row>
    <row r="645" spans="7:7" ht="16.5" customHeight="1">
      <c r="G645" s="66">
        <f>IF($D645="","",IF(COUNTIF('Config'!$E$8:$E$15,$D645)&gt;0,"Entrada",IF(COUNTIF('Config'!$G$8:$G$23,$D645)&gt;0,"Saída","Verificar")))</f>
        <v/>
      </c>
    </row>
    <row r="646" spans="7:7" ht="16.5" customHeight="1">
      <c r="G646" s="66">
        <f>IF($D646="","",IF(COUNTIF('Config'!$E$8:$E$15,$D646)&gt;0,"Entrada",IF(COUNTIF('Config'!$G$8:$G$23,$D646)&gt;0,"Saída","Verificar")))</f>
        <v/>
      </c>
    </row>
    <row r="647" spans="7:7" ht="16.5" customHeight="1">
      <c r="G647" s="66">
        <f>IF($D647="","",IF(COUNTIF('Config'!$E$8:$E$15,$D647)&gt;0,"Entrada",IF(COUNTIF('Config'!$G$8:$G$23,$D647)&gt;0,"Saída","Verificar")))</f>
        <v/>
      </c>
    </row>
    <row r="648" spans="7:7" ht="16.5" customHeight="1">
      <c r="G648" s="66">
        <f>IF($D648="","",IF(COUNTIF('Config'!$E$8:$E$15,$D648)&gt;0,"Entrada",IF(COUNTIF('Config'!$G$8:$G$23,$D648)&gt;0,"Saída","Verificar")))</f>
        <v/>
      </c>
    </row>
    <row r="649" spans="7:7" ht="16.5" customHeight="1">
      <c r="G649" s="66">
        <f>IF($D649="","",IF(COUNTIF('Config'!$E$8:$E$15,$D649)&gt;0,"Entrada",IF(COUNTIF('Config'!$G$8:$G$23,$D649)&gt;0,"Saída","Verificar")))</f>
        <v/>
      </c>
    </row>
    <row r="650" spans="7:7" ht="16.5" customHeight="1">
      <c r="G650" s="66">
        <f>IF($D650="","",IF(COUNTIF('Config'!$E$8:$E$15,$D650)&gt;0,"Entrada",IF(COUNTIF('Config'!$G$8:$G$23,$D650)&gt;0,"Saída","Verificar")))</f>
        <v/>
      </c>
    </row>
    <row r="651" spans="7:7" ht="16.5" customHeight="1">
      <c r="G651" s="66">
        <f>IF($D651="","",IF(COUNTIF('Config'!$E$8:$E$15,$D651)&gt;0,"Entrada",IF(COUNTIF('Config'!$G$8:$G$23,$D651)&gt;0,"Saída","Verificar")))</f>
        <v/>
      </c>
    </row>
    <row r="652" spans="7:7" ht="16.5" customHeight="1">
      <c r="G652" s="66">
        <f>IF($D652="","",IF(COUNTIF('Config'!$E$8:$E$15,$D652)&gt;0,"Entrada",IF(COUNTIF('Config'!$G$8:$G$23,$D652)&gt;0,"Saída","Verificar")))</f>
        <v/>
      </c>
    </row>
    <row r="653" spans="7:7" ht="16.5" customHeight="1">
      <c r="G653" s="66">
        <f>IF($D653="","",IF(COUNTIF('Config'!$E$8:$E$15,$D653)&gt;0,"Entrada",IF(COUNTIF('Config'!$G$8:$G$23,$D653)&gt;0,"Saída","Verificar")))</f>
        <v/>
      </c>
    </row>
    <row r="654" spans="7:7" ht="16.5" customHeight="1">
      <c r="G654" s="66">
        <f>IF($D654="","",IF(COUNTIF('Config'!$E$8:$E$15,$D654)&gt;0,"Entrada",IF(COUNTIF('Config'!$G$8:$G$23,$D654)&gt;0,"Saída","Verificar")))</f>
        <v/>
      </c>
    </row>
    <row r="655" spans="7:7" ht="16.5" customHeight="1">
      <c r="G655" s="66">
        <f>IF($D655="","",IF(COUNTIF('Config'!$E$8:$E$15,$D655)&gt;0,"Entrada",IF(COUNTIF('Config'!$G$8:$G$23,$D655)&gt;0,"Saída","Verificar")))</f>
        <v/>
      </c>
    </row>
    <row r="656" spans="7:7" ht="16.5" customHeight="1">
      <c r="G656" s="66">
        <f>IF($D656="","",IF(COUNTIF('Config'!$E$8:$E$15,$D656)&gt;0,"Entrada",IF(COUNTIF('Config'!$G$8:$G$23,$D656)&gt;0,"Saída","Verificar")))</f>
        <v/>
      </c>
    </row>
    <row r="657" spans="7:7" ht="16.5" customHeight="1">
      <c r="G657" s="66">
        <f>IF($D657="","",IF(COUNTIF('Config'!$E$8:$E$15,$D657)&gt;0,"Entrada",IF(COUNTIF('Config'!$G$8:$G$23,$D657)&gt;0,"Saída","Verificar")))</f>
        <v/>
      </c>
    </row>
    <row r="658" spans="7:7" ht="16.5" customHeight="1">
      <c r="G658" s="66">
        <f>IF($D658="","",IF(COUNTIF('Config'!$E$8:$E$15,$D658)&gt;0,"Entrada",IF(COUNTIF('Config'!$G$8:$G$23,$D658)&gt;0,"Saída","Verificar")))</f>
        <v/>
      </c>
    </row>
    <row r="659" spans="7:7" ht="16.5" customHeight="1">
      <c r="G659" s="66">
        <f>IF($D659="","",IF(COUNTIF('Config'!$E$8:$E$15,$D659)&gt;0,"Entrada",IF(COUNTIF('Config'!$G$8:$G$23,$D659)&gt;0,"Saída","Verificar")))</f>
        <v/>
      </c>
    </row>
    <row r="660" spans="7:7" ht="16.5" customHeight="1">
      <c r="G660" s="66">
        <f>IF($D660="","",IF(COUNTIF('Config'!$E$8:$E$15,$D660)&gt;0,"Entrada",IF(COUNTIF('Config'!$G$8:$G$23,$D660)&gt;0,"Saída","Verificar")))</f>
        <v/>
      </c>
    </row>
    <row r="661" spans="7:7" ht="16.5" customHeight="1">
      <c r="G661" s="66">
        <f>IF($D661="","",IF(COUNTIF('Config'!$E$8:$E$15,$D661)&gt;0,"Entrada",IF(COUNTIF('Config'!$G$8:$G$23,$D661)&gt;0,"Saída","Verificar")))</f>
        <v/>
      </c>
    </row>
    <row r="662" spans="7:7" ht="16.5" customHeight="1">
      <c r="G662" s="66">
        <f>IF($D662="","",IF(COUNTIF('Config'!$E$8:$E$15,$D662)&gt;0,"Entrada",IF(COUNTIF('Config'!$G$8:$G$23,$D662)&gt;0,"Saída","Verificar")))</f>
        <v/>
      </c>
    </row>
    <row r="663" spans="7:7" ht="16.5" customHeight="1">
      <c r="G663" s="66">
        <f>IF($D663="","",IF(COUNTIF('Config'!$E$8:$E$15,$D663)&gt;0,"Entrada",IF(COUNTIF('Config'!$G$8:$G$23,$D663)&gt;0,"Saída","Verificar")))</f>
        <v/>
      </c>
    </row>
    <row r="664" spans="7:7" ht="16.5" customHeight="1">
      <c r="G664" s="66">
        <f>IF($D664="","",IF(COUNTIF('Config'!$E$8:$E$15,$D664)&gt;0,"Entrada",IF(COUNTIF('Config'!$G$8:$G$23,$D664)&gt;0,"Saída","Verificar")))</f>
        <v/>
      </c>
    </row>
    <row r="665" spans="7:7" ht="16.5" customHeight="1">
      <c r="G665" s="66">
        <f>IF($D665="","",IF(COUNTIF('Config'!$E$8:$E$15,$D665)&gt;0,"Entrada",IF(COUNTIF('Config'!$G$8:$G$23,$D665)&gt;0,"Saída","Verificar")))</f>
        <v/>
      </c>
    </row>
    <row r="666" spans="7:7" ht="16.5" customHeight="1">
      <c r="G666" s="66">
        <f>IF($D666="","",IF(COUNTIF('Config'!$E$8:$E$15,$D666)&gt;0,"Entrada",IF(COUNTIF('Config'!$G$8:$G$23,$D666)&gt;0,"Saída","Verificar")))</f>
        <v/>
      </c>
    </row>
    <row r="667" spans="7:7" ht="16.5" customHeight="1">
      <c r="G667" s="66">
        <f>IF($D667="","",IF(COUNTIF('Config'!$E$8:$E$15,$D667)&gt;0,"Entrada",IF(COUNTIF('Config'!$G$8:$G$23,$D667)&gt;0,"Saída","Verificar")))</f>
        <v/>
      </c>
    </row>
    <row r="668" spans="7:7" ht="16.5" customHeight="1">
      <c r="G668" s="66">
        <f>IF($D668="","",IF(COUNTIF('Config'!$E$8:$E$15,$D668)&gt;0,"Entrada",IF(COUNTIF('Config'!$G$8:$G$23,$D668)&gt;0,"Saída","Verificar")))</f>
        <v/>
      </c>
    </row>
    <row r="669" spans="7:7" ht="16.5" customHeight="1">
      <c r="G669" s="66">
        <f>IF($D669="","",IF(COUNTIF('Config'!$E$8:$E$15,$D669)&gt;0,"Entrada",IF(COUNTIF('Config'!$G$8:$G$23,$D669)&gt;0,"Saída","Verificar")))</f>
        <v/>
      </c>
    </row>
    <row r="670" spans="7:7" ht="16.5" customHeight="1">
      <c r="G670" s="66">
        <f>IF($D670="","",IF(COUNTIF('Config'!$E$8:$E$15,$D670)&gt;0,"Entrada",IF(COUNTIF('Config'!$G$8:$G$23,$D670)&gt;0,"Saída","Verificar")))</f>
        <v/>
      </c>
    </row>
    <row r="671" spans="7:7" ht="16.5" customHeight="1">
      <c r="G671" s="66">
        <f>IF($D671="","",IF(COUNTIF('Config'!$E$8:$E$15,$D671)&gt;0,"Entrada",IF(COUNTIF('Config'!$G$8:$G$23,$D671)&gt;0,"Saída","Verificar")))</f>
        <v/>
      </c>
    </row>
    <row r="672" spans="7:7" ht="16.5" customHeight="1">
      <c r="G672" s="66">
        <f>IF($D672="","",IF(COUNTIF('Config'!$E$8:$E$15,$D672)&gt;0,"Entrada",IF(COUNTIF('Config'!$G$8:$G$23,$D672)&gt;0,"Saída","Verificar")))</f>
        <v/>
      </c>
    </row>
    <row r="673" spans="7:7" ht="16.5" customHeight="1">
      <c r="G673" s="66">
        <f>IF($D673="","",IF(COUNTIF('Config'!$E$8:$E$15,$D673)&gt;0,"Entrada",IF(COUNTIF('Config'!$G$8:$G$23,$D673)&gt;0,"Saída","Verificar")))</f>
        <v/>
      </c>
    </row>
    <row r="674" spans="7:7" ht="16.5" customHeight="1">
      <c r="G674" s="66">
        <f>IF($D674="","",IF(COUNTIF('Config'!$E$8:$E$15,$D674)&gt;0,"Entrada",IF(COUNTIF('Config'!$G$8:$G$23,$D674)&gt;0,"Saída","Verificar")))</f>
        <v/>
      </c>
    </row>
    <row r="675" spans="7:7" ht="16.5" customHeight="1">
      <c r="G675" s="66">
        <f>IF($D675="","",IF(COUNTIF('Config'!$E$8:$E$15,$D675)&gt;0,"Entrada",IF(COUNTIF('Config'!$G$8:$G$23,$D675)&gt;0,"Saída","Verificar")))</f>
        <v/>
      </c>
    </row>
    <row r="676" spans="7:7" ht="16.5" customHeight="1">
      <c r="G676" s="66">
        <f>IF($D676="","",IF(COUNTIF('Config'!$E$8:$E$15,$D676)&gt;0,"Entrada",IF(COUNTIF('Config'!$G$8:$G$23,$D676)&gt;0,"Saída","Verificar")))</f>
        <v/>
      </c>
    </row>
    <row r="677" spans="7:7" ht="16.5" customHeight="1">
      <c r="G677" s="66">
        <f>IF($D677="","",IF(COUNTIF('Config'!$E$8:$E$15,$D677)&gt;0,"Entrada",IF(COUNTIF('Config'!$G$8:$G$23,$D677)&gt;0,"Saída","Verificar")))</f>
        <v/>
      </c>
    </row>
    <row r="678" spans="7:7" ht="16.5" customHeight="1">
      <c r="G678" s="66">
        <f>IF($D678="","",IF(COUNTIF('Config'!$E$8:$E$15,$D678)&gt;0,"Entrada",IF(COUNTIF('Config'!$G$8:$G$23,$D678)&gt;0,"Saída","Verificar")))</f>
        <v/>
      </c>
    </row>
    <row r="679" spans="7:7" ht="16.5" customHeight="1">
      <c r="G679" s="66">
        <f>IF($D679="","",IF(COUNTIF('Config'!$E$8:$E$15,$D679)&gt;0,"Entrada",IF(COUNTIF('Config'!$G$8:$G$23,$D679)&gt;0,"Saída","Verificar")))</f>
        <v/>
      </c>
    </row>
    <row r="680" spans="7:7" ht="16.5" customHeight="1">
      <c r="G680" s="66">
        <f>IF($D680="","",IF(COUNTIF('Config'!$E$8:$E$15,$D680)&gt;0,"Entrada",IF(COUNTIF('Config'!$G$8:$G$23,$D680)&gt;0,"Saída","Verificar")))</f>
        <v/>
      </c>
    </row>
    <row r="681" spans="7:7" ht="16.5" customHeight="1">
      <c r="G681" s="66">
        <f>IF($D681="","",IF(COUNTIF('Config'!$E$8:$E$15,$D681)&gt;0,"Entrada",IF(COUNTIF('Config'!$G$8:$G$23,$D681)&gt;0,"Saída","Verificar")))</f>
        <v/>
      </c>
    </row>
    <row r="682" spans="7:7" ht="16.5" customHeight="1">
      <c r="G682" s="66">
        <f>IF($D682="","",IF(COUNTIF('Config'!$E$8:$E$15,$D682)&gt;0,"Entrada",IF(COUNTIF('Config'!$G$8:$G$23,$D682)&gt;0,"Saída","Verificar")))</f>
        <v/>
      </c>
    </row>
    <row r="683" spans="7:7" ht="16.5" customHeight="1">
      <c r="G683" s="66">
        <f>IF($D683="","",IF(COUNTIF('Config'!$E$8:$E$15,$D683)&gt;0,"Entrada",IF(COUNTIF('Config'!$G$8:$G$23,$D683)&gt;0,"Saída","Verificar")))</f>
        <v/>
      </c>
    </row>
    <row r="684" spans="7:7" ht="16.5" customHeight="1">
      <c r="G684" s="66">
        <f>IF($D684="","",IF(COUNTIF('Config'!$E$8:$E$15,$D684)&gt;0,"Entrada",IF(COUNTIF('Config'!$G$8:$G$23,$D684)&gt;0,"Saída","Verificar")))</f>
        <v/>
      </c>
    </row>
    <row r="685" spans="7:7" ht="16.5" customHeight="1">
      <c r="G685" s="66">
        <f>IF($D685="","",IF(COUNTIF('Config'!$E$8:$E$15,$D685)&gt;0,"Entrada",IF(COUNTIF('Config'!$G$8:$G$23,$D685)&gt;0,"Saída","Verificar")))</f>
        <v/>
      </c>
    </row>
    <row r="686" spans="7:7" ht="16.5" customHeight="1">
      <c r="G686" s="66">
        <f>IF($D686="","",IF(COUNTIF('Config'!$E$8:$E$15,$D686)&gt;0,"Entrada",IF(COUNTIF('Config'!$G$8:$G$23,$D686)&gt;0,"Saída","Verificar")))</f>
        <v/>
      </c>
    </row>
    <row r="687" spans="7:7" ht="16.5" customHeight="1">
      <c r="G687" s="66">
        <f>IF($D687="","",IF(COUNTIF('Config'!$E$8:$E$15,$D687)&gt;0,"Entrada",IF(COUNTIF('Config'!$G$8:$G$23,$D687)&gt;0,"Saída","Verificar")))</f>
        <v/>
      </c>
    </row>
    <row r="688" spans="7:7" ht="16.5" customHeight="1">
      <c r="G688" s="66">
        <f>IF($D688="","",IF(COUNTIF('Config'!$E$8:$E$15,$D688)&gt;0,"Entrada",IF(COUNTIF('Config'!$G$8:$G$23,$D688)&gt;0,"Saída","Verificar")))</f>
        <v/>
      </c>
    </row>
    <row r="689" spans="7:7" ht="16.5" customHeight="1">
      <c r="G689" s="66">
        <f>IF($D689="","",IF(COUNTIF('Config'!$E$8:$E$15,$D689)&gt;0,"Entrada",IF(COUNTIF('Config'!$G$8:$G$23,$D689)&gt;0,"Saída","Verificar")))</f>
        <v/>
      </c>
    </row>
    <row r="690" spans="7:7" ht="16.5" customHeight="1">
      <c r="G690" s="66">
        <f>IF($D690="","",IF(COUNTIF('Config'!$E$8:$E$15,$D690)&gt;0,"Entrada",IF(COUNTIF('Config'!$G$8:$G$23,$D690)&gt;0,"Saída","Verificar")))</f>
        <v/>
      </c>
    </row>
    <row r="691" spans="7:7" ht="16.5" customHeight="1">
      <c r="G691" s="66">
        <f>IF($D691="","",IF(COUNTIF('Config'!$E$8:$E$15,$D691)&gt;0,"Entrada",IF(COUNTIF('Config'!$G$8:$G$23,$D691)&gt;0,"Saída","Verificar")))</f>
        <v/>
      </c>
    </row>
    <row r="692" spans="7:7" ht="16.5" customHeight="1">
      <c r="G692" s="66">
        <f>IF($D692="","",IF(COUNTIF('Config'!$E$8:$E$15,$D692)&gt;0,"Entrada",IF(COUNTIF('Config'!$G$8:$G$23,$D692)&gt;0,"Saída","Verificar")))</f>
        <v/>
      </c>
    </row>
    <row r="693" spans="7:7" ht="16.5" customHeight="1">
      <c r="G693" s="66">
        <f>IF($D693="","",IF(COUNTIF('Config'!$E$8:$E$15,$D693)&gt;0,"Entrada",IF(COUNTIF('Config'!$G$8:$G$23,$D693)&gt;0,"Saída","Verificar")))</f>
        <v/>
      </c>
    </row>
    <row r="694" spans="7:7" ht="16.5" customHeight="1">
      <c r="G694" s="66">
        <f>IF($D694="","",IF(COUNTIF('Config'!$E$8:$E$15,$D694)&gt;0,"Entrada",IF(COUNTIF('Config'!$G$8:$G$23,$D694)&gt;0,"Saída","Verificar")))</f>
        <v/>
      </c>
    </row>
    <row r="695" spans="7:7" ht="16.5" customHeight="1">
      <c r="G695" s="66">
        <f>IF($D695="","",IF(COUNTIF('Config'!$E$8:$E$15,$D695)&gt;0,"Entrada",IF(COUNTIF('Config'!$G$8:$G$23,$D695)&gt;0,"Saída","Verificar")))</f>
        <v/>
      </c>
    </row>
    <row r="696" spans="7:7" ht="16.5" customHeight="1">
      <c r="G696" s="66">
        <f>IF($D696="","",IF(COUNTIF('Config'!$E$8:$E$15,$D696)&gt;0,"Entrada",IF(COUNTIF('Config'!$G$8:$G$23,$D696)&gt;0,"Saída","Verificar")))</f>
        <v/>
      </c>
    </row>
    <row r="697" spans="7:7" ht="16.5" customHeight="1">
      <c r="G697" s="66">
        <f>IF($D697="","",IF(COUNTIF('Config'!$E$8:$E$15,$D697)&gt;0,"Entrada",IF(COUNTIF('Config'!$G$8:$G$23,$D697)&gt;0,"Saída","Verificar")))</f>
        <v/>
      </c>
    </row>
    <row r="698" spans="7:7" ht="16.5" customHeight="1">
      <c r="G698" s="66">
        <f>IF($D698="","",IF(COUNTIF('Config'!$E$8:$E$15,$D698)&gt;0,"Entrada",IF(COUNTIF('Config'!$G$8:$G$23,$D698)&gt;0,"Saída","Verificar")))</f>
        <v/>
      </c>
    </row>
    <row r="699" spans="7:7" ht="16.5" customHeight="1">
      <c r="G699" s="66">
        <f>IF($D699="","",IF(COUNTIF('Config'!$E$8:$E$15,$D699)&gt;0,"Entrada",IF(COUNTIF('Config'!$G$8:$G$23,$D699)&gt;0,"Saída","Verificar")))</f>
        <v/>
      </c>
    </row>
    <row r="700" spans="7:7" ht="16.5" customHeight="1">
      <c r="G700" s="66">
        <f>IF($D700="","",IF(COUNTIF('Config'!$E$8:$E$15,$D700)&gt;0,"Entrada",IF(COUNTIF('Config'!$G$8:$G$23,$D700)&gt;0,"Saída","Verificar")))</f>
        <v/>
      </c>
    </row>
    <row r="701" spans="7:7" ht="16.5" customHeight="1">
      <c r="G701" s="66">
        <f>IF($D701="","",IF(COUNTIF('Config'!$E$8:$E$15,$D701)&gt;0,"Entrada",IF(COUNTIF('Config'!$G$8:$G$23,$D701)&gt;0,"Saída","Verificar")))</f>
        <v/>
      </c>
    </row>
    <row r="702" spans="7:7" ht="16.5" customHeight="1">
      <c r="G702" s="66">
        <f>IF($D702="","",IF(COUNTIF('Config'!$E$8:$E$15,$D702)&gt;0,"Entrada",IF(COUNTIF('Config'!$G$8:$G$23,$D702)&gt;0,"Saída","Verificar")))</f>
        <v/>
      </c>
    </row>
    <row r="703" spans="7:7" ht="16.5" customHeight="1">
      <c r="G703" s="66">
        <f>IF($D703="","",IF(COUNTIF('Config'!$E$8:$E$15,$D703)&gt;0,"Entrada",IF(COUNTIF('Config'!$G$8:$G$23,$D703)&gt;0,"Saída","Verificar")))</f>
        <v/>
      </c>
    </row>
    <row r="704" spans="7:7" ht="16.5" customHeight="1">
      <c r="G704" s="66">
        <f>IF($D704="","",IF(COUNTIF('Config'!$E$8:$E$15,$D704)&gt;0,"Entrada",IF(COUNTIF('Config'!$G$8:$G$23,$D704)&gt;0,"Saída","Verificar")))</f>
        <v/>
      </c>
    </row>
    <row r="705" spans="7:7" ht="16.5" customHeight="1">
      <c r="G705" s="66">
        <f>IF($D705="","",IF(COUNTIF('Config'!$E$8:$E$15,$D705)&gt;0,"Entrada",IF(COUNTIF('Config'!$G$8:$G$23,$D705)&gt;0,"Saída","Verificar")))</f>
        <v/>
      </c>
    </row>
    <row r="706" spans="7:7" ht="16.5" customHeight="1">
      <c r="G706" s="66">
        <f>IF($D706="","",IF(COUNTIF('Config'!$E$8:$E$15,$D706)&gt;0,"Entrada",IF(COUNTIF('Config'!$G$8:$G$23,$D706)&gt;0,"Saída","Verificar")))</f>
        <v/>
      </c>
    </row>
    <row r="707" spans="7:7" ht="16.5" customHeight="1">
      <c r="G707" s="66">
        <f>IF($D707="","",IF(COUNTIF('Config'!$E$8:$E$15,$D707)&gt;0,"Entrada",IF(COUNTIF('Config'!$G$8:$G$23,$D707)&gt;0,"Saída","Verificar")))</f>
        <v/>
      </c>
    </row>
    <row r="708" spans="7:7" ht="16.5" customHeight="1">
      <c r="G708" s="66">
        <f>IF($D708="","",IF(COUNTIF('Config'!$E$8:$E$15,$D708)&gt;0,"Entrada",IF(COUNTIF('Config'!$G$8:$G$23,$D708)&gt;0,"Saída","Verificar")))</f>
        <v/>
      </c>
    </row>
    <row r="709" spans="7:7" ht="16.5" customHeight="1">
      <c r="G709" s="66">
        <f>IF($D709="","",IF(COUNTIF('Config'!$E$8:$E$15,$D709)&gt;0,"Entrada",IF(COUNTIF('Config'!$G$8:$G$23,$D709)&gt;0,"Saída","Verificar")))</f>
        <v/>
      </c>
    </row>
    <row r="710" spans="7:7" ht="16.5" customHeight="1">
      <c r="G710" s="66">
        <f>IF($D710="","",IF(COUNTIF('Config'!$E$8:$E$15,$D710)&gt;0,"Entrada",IF(COUNTIF('Config'!$G$8:$G$23,$D710)&gt;0,"Saída","Verificar")))</f>
        <v/>
      </c>
    </row>
    <row r="711" spans="7:7" ht="16.5" customHeight="1">
      <c r="G711" s="66">
        <f>IF($D711="","",IF(COUNTIF('Config'!$E$8:$E$15,$D711)&gt;0,"Entrada",IF(COUNTIF('Config'!$G$8:$G$23,$D711)&gt;0,"Saída","Verificar")))</f>
        <v/>
      </c>
    </row>
    <row r="712" spans="7:7" ht="16.5" customHeight="1">
      <c r="G712" s="66">
        <f>IF($D712="","",IF(COUNTIF('Config'!$E$8:$E$15,$D712)&gt;0,"Entrada",IF(COUNTIF('Config'!$G$8:$G$23,$D712)&gt;0,"Saída","Verificar")))</f>
        <v/>
      </c>
    </row>
    <row r="713" spans="7:7" ht="16.5" customHeight="1">
      <c r="G713" s="66">
        <f>IF($D713="","",IF(COUNTIF('Config'!$E$8:$E$15,$D713)&gt;0,"Entrada",IF(COUNTIF('Config'!$G$8:$G$23,$D713)&gt;0,"Saída","Verificar")))</f>
        <v/>
      </c>
    </row>
    <row r="714" spans="7:7" ht="16.5" customHeight="1">
      <c r="G714" s="66">
        <f>IF($D714="","",IF(COUNTIF('Config'!$E$8:$E$15,$D714)&gt;0,"Entrada",IF(COUNTIF('Config'!$G$8:$G$23,$D714)&gt;0,"Saída","Verificar")))</f>
        <v/>
      </c>
    </row>
    <row r="715" spans="7:7" ht="16.5" customHeight="1">
      <c r="G715" s="66">
        <f>IF($D715="","",IF(COUNTIF('Config'!$E$8:$E$15,$D715)&gt;0,"Entrada",IF(COUNTIF('Config'!$G$8:$G$23,$D715)&gt;0,"Saída","Verificar")))</f>
        <v/>
      </c>
    </row>
    <row r="716" spans="7:7" ht="16.5" customHeight="1">
      <c r="G716" s="66">
        <f>IF($D716="","",IF(COUNTIF('Config'!$E$8:$E$15,$D716)&gt;0,"Entrada",IF(COUNTIF('Config'!$G$8:$G$23,$D716)&gt;0,"Saída","Verificar")))</f>
        <v/>
      </c>
    </row>
    <row r="717" spans="7:7" ht="16.5" customHeight="1">
      <c r="G717" s="66">
        <f>IF($D717="","",IF(COUNTIF('Config'!$E$8:$E$15,$D717)&gt;0,"Entrada",IF(COUNTIF('Config'!$G$8:$G$23,$D717)&gt;0,"Saída","Verificar")))</f>
        <v/>
      </c>
    </row>
    <row r="718" spans="7:7" ht="16.5" customHeight="1">
      <c r="G718" s="66">
        <f>IF($D718="","",IF(COUNTIF('Config'!$E$8:$E$15,$D718)&gt;0,"Entrada",IF(COUNTIF('Config'!$G$8:$G$23,$D718)&gt;0,"Saída","Verificar")))</f>
        <v/>
      </c>
    </row>
    <row r="719" spans="7:7" ht="16.5" customHeight="1">
      <c r="G719" s="66">
        <f>IF($D719="","",IF(COUNTIF('Config'!$E$8:$E$15,$D719)&gt;0,"Entrada",IF(COUNTIF('Config'!$G$8:$G$23,$D719)&gt;0,"Saída","Verificar")))</f>
        <v/>
      </c>
    </row>
    <row r="720" spans="7:7" ht="16.5" customHeight="1">
      <c r="G720" s="66">
        <f>IF($D720="","",IF(COUNTIF('Config'!$E$8:$E$15,$D720)&gt;0,"Entrada",IF(COUNTIF('Config'!$G$8:$G$23,$D720)&gt;0,"Saída","Verificar")))</f>
        <v/>
      </c>
    </row>
    <row r="721" spans="7:7" ht="16.5" customHeight="1">
      <c r="G721" s="66">
        <f>IF($D721="","",IF(COUNTIF('Config'!$E$8:$E$15,$D721)&gt;0,"Entrada",IF(COUNTIF('Config'!$G$8:$G$23,$D721)&gt;0,"Saída","Verificar")))</f>
        <v/>
      </c>
    </row>
    <row r="722" spans="7:7" ht="16.5" customHeight="1">
      <c r="G722" s="66">
        <f>IF($D722="","",IF(COUNTIF('Config'!$E$8:$E$15,$D722)&gt;0,"Entrada",IF(COUNTIF('Config'!$G$8:$G$23,$D722)&gt;0,"Saída","Verificar")))</f>
        <v/>
      </c>
    </row>
    <row r="723" spans="7:7" ht="16.5" customHeight="1">
      <c r="G723" s="66">
        <f>IF($D723="","",IF(COUNTIF('Config'!$E$8:$E$15,$D723)&gt;0,"Entrada",IF(COUNTIF('Config'!$G$8:$G$23,$D723)&gt;0,"Saída","Verificar")))</f>
        <v/>
      </c>
    </row>
    <row r="724" spans="7:7" ht="16.5" customHeight="1">
      <c r="G724" s="66">
        <f>IF($D724="","",IF(COUNTIF('Config'!$E$8:$E$15,$D724)&gt;0,"Entrada",IF(COUNTIF('Config'!$G$8:$G$23,$D724)&gt;0,"Saída","Verificar")))</f>
        <v/>
      </c>
    </row>
    <row r="725" spans="7:7" ht="16.5" customHeight="1">
      <c r="G725" s="66">
        <f>IF($D725="","",IF(COUNTIF('Config'!$E$8:$E$15,$D725)&gt;0,"Entrada",IF(COUNTIF('Config'!$G$8:$G$23,$D725)&gt;0,"Saída","Verificar")))</f>
        <v/>
      </c>
    </row>
    <row r="726" spans="7:7" ht="16.5" customHeight="1">
      <c r="G726" s="66">
        <f>IF($D726="","",IF(COUNTIF('Config'!$E$8:$E$15,$D726)&gt;0,"Entrada",IF(COUNTIF('Config'!$G$8:$G$23,$D726)&gt;0,"Saída","Verificar")))</f>
        <v/>
      </c>
    </row>
    <row r="727" spans="7:7" ht="16.5" customHeight="1">
      <c r="G727" s="66">
        <f>IF($D727="","",IF(COUNTIF('Config'!$E$8:$E$15,$D727)&gt;0,"Entrada",IF(COUNTIF('Config'!$G$8:$G$23,$D727)&gt;0,"Saída","Verificar")))</f>
        <v/>
      </c>
    </row>
    <row r="728" spans="7:7" ht="16.5" customHeight="1">
      <c r="G728" s="66">
        <f>IF($D728="","",IF(COUNTIF('Config'!$E$8:$E$15,$D728)&gt;0,"Entrada",IF(COUNTIF('Config'!$G$8:$G$23,$D728)&gt;0,"Saída","Verificar")))</f>
        <v/>
      </c>
    </row>
    <row r="729" spans="7:7" ht="16.5" customHeight="1">
      <c r="G729" s="66">
        <f>IF($D729="","",IF(COUNTIF('Config'!$E$8:$E$15,$D729)&gt;0,"Entrada",IF(COUNTIF('Config'!$G$8:$G$23,$D729)&gt;0,"Saída","Verificar")))</f>
        <v/>
      </c>
    </row>
    <row r="730" spans="7:7" ht="16.5" customHeight="1">
      <c r="G730" s="66">
        <f>IF($D730="","",IF(COUNTIF('Config'!$E$8:$E$15,$D730)&gt;0,"Entrada",IF(COUNTIF('Config'!$G$8:$G$23,$D730)&gt;0,"Saída","Verificar")))</f>
        <v/>
      </c>
    </row>
    <row r="731" spans="7:7" ht="16.5" customHeight="1">
      <c r="G731" s="66">
        <f>IF($D731="","",IF(COUNTIF('Config'!$E$8:$E$15,$D731)&gt;0,"Entrada",IF(COUNTIF('Config'!$G$8:$G$23,$D731)&gt;0,"Saída","Verificar")))</f>
        <v/>
      </c>
    </row>
    <row r="732" spans="7:7" ht="16.5" customHeight="1">
      <c r="G732" s="66">
        <f>IF($D732="","",IF(COUNTIF('Config'!$E$8:$E$15,$D732)&gt;0,"Entrada",IF(COUNTIF('Config'!$G$8:$G$23,$D732)&gt;0,"Saída","Verificar")))</f>
        <v/>
      </c>
    </row>
    <row r="733" spans="7:7" ht="16.5" customHeight="1">
      <c r="G733" s="66">
        <f>IF($D733="","",IF(COUNTIF('Config'!$E$8:$E$15,$D733)&gt;0,"Entrada",IF(COUNTIF('Config'!$G$8:$G$23,$D733)&gt;0,"Saída","Verificar")))</f>
        <v/>
      </c>
    </row>
    <row r="734" spans="7:7" ht="16.5" customHeight="1">
      <c r="G734" s="66">
        <f>IF($D734="","",IF(COUNTIF('Config'!$E$8:$E$15,$D734)&gt;0,"Entrada",IF(COUNTIF('Config'!$G$8:$G$23,$D734)&gt;0,"Saída","Verificar")))</f>
        <v/>
      </c>
    </row>
    <row r="735" spans="7:7" ht="16.5" customHeight="1">
      <c r="G735" s="66">
        <f>IF($D735="","",IF(COUNTIF('Config'!$E$8:$E$15,$D735)&gt;0,"Entrada",IF(COUNTIF('Config'!$G$8:$G$23,$D735)&gt;0,"Saída","Verificar")))</f>
        <v/>
      </c>
    </row>
    <row r="736" spans="7:7" ht="16.5" customHeight="1">
      <c r="G736" s="66">
        <f>IF($D736="","",IF(COUNTIF('Config'!$E$8:$E$15,$D736)&gt;0,"Entrada",IF(COUNTIF('Config'!$G$8:$G$23,$D736)&gt;0,"Saída","Verificar")))</f>
        <v/>
      </c>
    </row>
    <row r="737" spans="7:7" ht="16.5" customHeight="1">
      <c r="G737" s="66">
        <f>IF($D737="","",IF(COUNTIF('Config'!$E$8:$E$15,$D737)&gt;0,"Entrada",IF(COUNTIF('Config'!$G$8:$G$23,$D737)&gt;0,"Saída","Verificar")))</f>
        <v/>
      </c>
    </row>
    <row r="738" spans="7:7" ht="16.5" customHeight="1">
      <c r="G738" s="66">
        <f>IF($D738="","",IF(COUNTIF('Config'!$E$8:$E$15,$D738)&gt;0,"Entrada",IF(COUNTIF('Config'!$G$8:$G$23,$D738)&gt;0,"Saída","Verificar")))</f>
        <v/>
      </c>
    </row>
    <row r="739" spans="7:7" ht="16.5" customHeight="1">
      <c r="G739" s="66">
        <f>IF($D739="","",IF(COUNTIF('Config'!$E$8:$E$15,$D739)&gt;0,"Entrada",IF(COUNTIF('Config'!$G$8:$G$23,$D739)&gt;0,"Saída","Verificar")))</f>
        <v/>
      </c>
    </row>
    <row r="740" spans="7:7" ht="16.5" customHeight="1">
      <c r="G740" s="66">
        <f>IF($D740="","",IF(COUNTIF('Config'!$E$8:$E$15,$D740)&gt;0,"Entrada",IF(COUNTIF('Config'!$G$8:$G$23,$D740)&gt;0,"Saída","Verificar")))</f>
        <v/>
      </c>
    </row>
    <row r="741" spans="7:7" ht="16.5" customHeight="1">
      <c r="G741" s="66">
        <f>IF($D741="","",IF(COUNTIF('Config'!$E$8:$E$15,$D741)&gt;0,"Entrada",IF(COUNTIF('Config'!$G$8:$G$23,$D741)&gt;0,"Saída","Verificar")))</f>
        <v/>
      </c>
    </row>
    <row r="742" spans="7:7" ht="16.5" customHeight="1">
      <c r="G742" s="66">
        <f>IF($D742="","",IF(COUNTIF('Config'!$E$8:$E$15,$D742)&gt;0,"Entrada",IF(COUNTIF('Config'!$G$8:$G$23,$D742)&gt;0,"Saída","Verificar")))</f>
        <v/>
      </c>
    </row>
    <row r="743" spans="7:7" ht="16.5" customHeight="1">
      <c r="G743" s="66">
        <f>IF($D743="","",IF(COUNTIF('Config'!$E$8:$E$15,$D743)&gt;0,"Entrada",IF(COUNTIF('Config'!$G$8:$G$23,$D743)&gt;0,"Saída","Verificar")))</f>
        <v/>
      </c>
    </row>
    <row r="744" spans="7:7" ht="16.5" customHeight="1">
      <c r="G744" s="66">
        <f>IF($D744="","",IF(COUNTIF('Config'!$E$8:$E$15,$D744)&gt;0,"Entrada",IF(COUNTIF('Config'!$G$8:$G$23,$D744)&gt;0,"Saída","Verificar")))</f>
        <v/>
      </c>
    </row>
    <row r="745" spans="7:7" ht="16.5" customHeight="1">
      <c r="G745" s="66">
        <f>IF($D745="","",IF(COUNTIF('Config'!$E$8:$E$15,$D745)&gt;0,"Entrada",IF(COUNTIF('Config'!$G$8:$G$23,$D745)&gt;0,"Saída","Verificar")))</f>
        <v/>
      </c>
    </row>
    <row r="746" spans="7:7" ht="16.5" customHeight="1">
      <c r="G746" s="66">
        <f>IF($D746="","",IF(COUNTIF('Config'!$E$8:$E$15,$D746)&gt;0,"Entrada",IF(COUNTIF('Config'!$G$8:$G$23,$D746)&gt;0,"Saída","Verificar")))</f>
        <v/>
      </c>
    </row>
    <row r="747" spans="7:7" ht="16.5" customHeight="1">
      <c r="G747" s="66">
        <f>IF($D747="","",IF(COUNTIF('Config'!$E$8:$E$15,$D747)&gt;0,"Entrada",IF(COUNTIF('Config'!$G$8:$G$23,$D747)&gt;0,"Saída","Verificar")))</f>
        <v/>
      </c>
    </row>
    <row r="748" spans="7:7" ht="16.5" customHeight="1">
      <c r="G748" s="66">
        <f>IF($D748="","",IF(COUNTIF('Config'!$E$8:$E$15,$D748)&gt;0,"Entrada",IF(COUNTIF('Config'!$G$8:$G$23,$D748)&gt;0,"Saída","Verificar")))</f>
        <v/>
      </c>
    </row>
    <row r="749" spans="7:7" ht="16.5" customHeight="1">
      <c r="G749" s="66">
        <f>IF($D749="","",IF(COUNTIF('Config'!$E$8:$E$15,$D749)&gt;0,"Entrada",IF(COUNTIF('Config'!$G$8:$G$23,$D749)&gt;0,"Saída","Verificar")))</f>
        <v/>
      </c>
    </row>
    <row r="750" spans="7:7" ht="16.5" customHeight="1">
      <c r="G750" s="66">
        <f>IF($D750="","",IF(COUNTIF('Config'!$E$8:$E$15,$D750)&gt;0,"Entrada",IF(COUNTIF('Config'!$G$8:$G$23,$D750)&gt;0,"Saída","Verificar")))</f>
        <v/>
      </c>
    </row>
    <row r="751" spans="7:7" ht="16.5" customHeight="1">
      <c r="G751" s="66">
        <f>IF($D751="","",IF(COUNTIF('Config'!$E$8:$E$15,$D751)&gt;0,"Entrada",IF(COUNTIF('Config'!$G$8:$G$23,$D751)&gt;0,"Saída","Verificar")))</f>
        <v/>
      </c>
    </row>
    <row r="752" spans="7:7" ht="16.5" customHeight="1">
      <c r="G752" s="66">
        <f>IF($D752="","",IF(COUNTIF('Config'!$E$8:$E$15,$D752)&gt;0,"Entrada",IF(COUNTIF('Config'!$G$8:$G$23,$D752)&gt;0,"Saída","Verificar")))</f>
        <v/>
      </c>
    </row>
    <row r="753" spans="7:7" ht="16.5" customHeight="1">
      <c r="G753" s="66">
        <f>IF($D753="","",IF(COUNTIF('Config'!$E$8:$E$15,$D753)&gt;0,"Entrada",IF(COUNTIF('Config'!$G$8:$G$23,$D753)&gt;0,"Saída","Verificar")))</f>
        <v/>
      </c>
    </row>
    <row r="754" spans="7:7" ht="16.5" customHeight="1">
      <c r="G754" s="66">
        <f>IF($D754="","",IF(COUNTIF('Config'!$E$8:$E$15,$D754)&gt;0,"Entrada",IF(COUNTIF('Config'!$G$8:$G$23,$D754)&gt;0,"Saída","Verificar")))</f>
        <v/>
      </c>
    </row>
    <row r="755" spans="7:7" ht="16.5" customHeight="1">
      <c r="G755" s="66">
        <f>IF($D755="","",IF(COUNTIF('Config'!$E$8:$E$15,$D755)&gt;0,"Entrada",IF(COUNTIF('Config'!$G$8:$G$23,$D755)&gt;0,"Saída","Verificar")))</f>
        <v/>
      </c>
    </row>
    <row r="756" spans="7:7" ht="16.5" customHeight="1">
      <c r="G756" s="66">
        <f>IF($D756="","",IF(COUNTIF('Config'!$E$8:$E$15,$D756)&gt;0,"Entrada",IF(COUNTIF('Config'!$G$8:$G$23,$D756)&gt;0,"Saída","Verificar")))</f>
        <v/>
      </c>
    </row>
    <row r="757" spans="7:7" ht="16.5" customHeight="1">
      <c r="G757" s="66">
        <f>IF($D757="","",IF(COUNTIF('Config'!$E$8:$E$15,$D757)&gt;0,"Entrada",IF(COUNTIF('Config'!$G$8:$G$23,$D757)&gt;0,"Saída","Verificar")))</f>
        <v/>
      </c>
    </row>
    <row r="758" spans="7:7" ht="16.5" customHeight="1">
      <c r="G758" s="66">
        <f>IF($D758="","",IF(COUNTIF('Config'!$E$8:$E$15,$D758)&gt;0,"Entrada",IF(COUNTIF('Config'!$G$8:$G$23,$D758)&gt;0,"Saída","Verificar")))</f>
        <v/>
      </c>
    </row>
    <row r="759" spans="7:7" ht="16.5" customHeight="1">
      <c r="G759" s="66">
        <f>IF($D759="","",IF(COUNTIF('Config'!$E$8:$E$15,$D759)&gt;0,"Entrada",IF(COUNTIF('Config'!$G$8:$G$23,$D759)&gt;0,"Saída","Verificar")))</f>
        <v/>
      </c>
    </row>
    <row r="760" spans="7:7" ht="16.5" customHeight="1">
      <c r="G760" s="66">
        <f>IF($D760="","",IF(COUNTIF('Config'!$E$8:$E$15,$D760)&gt;0,"Entrada",IF(COUNTIF('Config'!$G$8:$G$23,$D760)&gt;0,"Saída","Verificar")))</f>
        <v/>
      </c>
    </row>
    <row r="761" spans="7:7" ht="16.5" customHeight="1">
      <c r="G761" s="66">
        <f>IF($D761="","",IF(COUNTIF('Config'!$E$8:$E$15,$D761)&gt;0,"Entrada",IF(COUNTIF('Config'!$G$8:$G$23,$D761)&gt;0,"Saída","Verificar")))</f>
        <v/>
      </c>
    </row>
    <row r="762" spans="7:7" ht="16.5" customHeight="1">
      <c r="G762" s="66">
        <f>IF($D762="","",IF(COUNTIF('Config'!$E$8:$E$15,$D762)&gt;0,"Entrada",IF(COUNTIF('Config'!$G$8:$G$23,$D762)&gt;0,"Saída","Verificar")))</f>
        <v/>
      </c>
    </row>
    <row r="763" spans="7:7" ht="16.5" customHeight="1">
      <c r="G763" s="66">
        <f>IF($D763="","",IF(COUNTIF('Config'!$E$8:$E$15,$D763)&gt;0,"Entrada",IF(COUNTIF('Config'!$G$8:$G$23,$D763)&gt;0,"Saída","Verificar")))</f>
        <v/>
      </c>
    </row>
    <row r="764" spans="7:7" ht="16.5" customHeight="1">
      <c r="G764" s="66">
        <f>IF($D764="","",IF(COUNTIF('Config'!$E$8:$E$15,$D764)&gt;0,"Entrada",IF(COUNTIF('Config'!$G$8:$G$23,$D764)&gt;0,"Saída","Verificar")))</f>
        <v/>
      </c>
    </row>
    <row r="765" spans="7:7" ht="16.5" customHeight="1">
      <c r="G765" s="66">
        <f>IF($D765="","",IF(COUNTIF('Config'!$E$8:$E$15,$D765)&gt;0,"Entrada",IF(COUNTIF('Config'!$G$8:$G$23,$D765)&gt;0,"Saída","Verificar")))</f>
        <v/>
      </c>
    </row>
    <row r="766" spans="7:7" ht="16.5" customHeight="1">
      <c r="G766" s="66">
        <f>IF($D766="","",IF(COUNTIF('Config'!$E$8:$E$15,$D766)&gt;0,"Entrada",IF(COUNTIF('Config'!$G$8:$G$23,$D766)&gt;0,"Saída","Verificar")))</f>
        <v/>
      </c>
    </row>
    <row r="767" spans="7:7" ht="16.5" customHeight="1">
      <c r="G767" s="66">
        <f>IF($D767="","",IF(COUNTIF('Config'!$E$8:$E$15,$D767)&gt;0,"Entrada",IF(COUNTIF('Config'!$G$8:$G$23,$D767)&gt;0,"Saída","Verificar")))</f>
        <v/>
      </c>
    </row>
    <row r="768" spans="7:7" ht="16.5" customHeight="1">
      <c r="G768" s="66">
        <f>IF($D768="","",IF(COUNTIF('Config'!$E$8:$E$15,$D768)&gt;0,"Entrada",IF(COUNTIF('Config'!$G$8:$G$23,$D768)&gt;0,"Saída","Verificar")))</f>
        <v/>
      </c>
    </row>
    <row r="769" spans="7:7" ht="16.5" customHeight="1">
      <c r="G769" s="66">
        <f>IF($D769="","",IF(COUNTIF('Config'!$E$8:$E$15,$D769)&gt;0,"Entrada",IF(COUNTIF('Config'!$G$8:$G$23,$D769)&gt;0,"Saída","Verificar")))</f>
        <v/>
      </c>
    </row>
    <row r="770" spans="7:7" ht="16.5" customHeight="1">
      <c r="G770" s="66">
        <f>IF($D770="","",IF(COUNTIF('Config'!$E$8:$E$15,$D770)&gt;0,"Entrada",IF(COUNTIF('Config'!$G$8:$G$23,$D770)&gt;0,"Saída","Verificar")))</f>
        <v/>
      </c>
    </row>
    <row r="771" spans="7:7" ht="16.5" customHeight="1">
      <c r="G771" s="66">
        <f>IF($D771="","",IF(COUNTIF('Config'!$E$8:$E$15,$D771)&gt;0,"Entrada",IF(COUNTIF('Config'!$G$8:$G$23,$D771)&gt;0,"Saída","Verificar")))</f>
        <v/>
      </c>
    </row>
    <row r="772" spans="7:7" ht="16.5" customHeight="1">
      <c r="G772" s="66">
        <f>IF($D772="","",IF(COUNTIF('Config'!$E$8:$E$15,$D772)&gt;0,"Entrada",IF(COUNTIF('Config'!$G$8:$G$23,$D772)&gt;0,"Saída","Verificar")))</f>
        <v/>
      </c>
    </row>
    <row r="773" spans="7:7" ht="16.5" customHeight="1">
      <c r="G773" s="66">
        <f>IF($D773="","",IF(COUNTIF('Config'!$E$8:$E$15,$D773)&gt;0,"Entrada",IF(COUNTIF('Config'!$G$8:$G$23,$D773)&gt;0,"Saída","Verificar")))</f>
        <v/>
      </c>
    </row>
    <row r="774" spans="7:7" ht="16.5" customHeight="1">
      <c r="G774" s="66">
        <f>IF($D774="","",IF(COUNTIF('Config'!$E$8:$E$15,$D774)&gt;0,"Entrada",IF(COUNTIF('Config'!$G$8:$G$23,$D774)&gt;0,"Saída","Verificar")))</f>
        <v/>
      </c>
    </row>
    <row r="775" spans="7:7" ht="16.5" customHeight="1">
      <c r="G775" s="66">
        <f>IF($D775="","",IF(COUNTIF('Config'!$E$8:$E$15,$D775)&gt;0,"Entrada",IF(COUNTIF('Config'!$G$8:$G$23,$D775)&gt;0,"Saída","Verificar")))</f>
        <v/>
      </c>
    </row>
    <row r="776" spans="7:7" ht="16.5" customHeight="1">
      <c r="G776" s="66">
        <f>IF($D776="","",IF(COUNTIF('Config'!$E$8:$E$15,$D776)&gt;0,"Entrada",IF(COUNTIF('Config'!$G$8:$G$23,$D776)&gt;0,"Saída","Verificar")))</f>
        <v/>
      </c>
    </row>
    <row r="777" spans="7:7" ht="16.5" customHeight="1">
      <c r="G777" s="66">
        <f>IF($D777="","",IF(COUNTIF('Config'!$E$8:$E$15,$D777)&gt;0,"Entrada",IF(COUNTIF('Config'!$G$8:$G$23,$D777)&gt;0,"Saída","Verificar")))</f>
        <v/>
      </c>
    </row>
    <row r="778" spans="7:7" ht="16.5" customHeight="1">
      <c r="G778" s="66">
        <f>IF($D778="","",IF(COUNTIF('Config'!$E$8:$E$15,$D778)&gt;0,"Entrada",IF(COUNTIF('Config'!$G$8:$G$23,$D778)&gt;0,"Saída","Verificar")))</f>
        <v/>
      </c>
    </row>
    <row r="779" spans="7:7" ht="16.5" customHeight="1">
      <c r="G779" s="66">
        <f>IF($D779="","",IF(COUNTIF('Config'!$E$8:$E$15,$D779)&gt;0,"Entrada",IF(COUNTIF('Config'!$G$8:$G$23,$D779)&gt;0,"Saída","Verificar")))</f>
        <v/>
      </c>
    </row>
    <row r="780" spans="7:7" ht="16.5" customHeight="1">
      <c r="G780" s="66">
        <f>IF($D780="","",IF(COUNTIF('Config'!$E$8:$E$15,$D780)&gt;0,"Entrada",IF(COUNTIF('Config'!$G$8:$G$23,$D780)&gt;0,"Saída","Verificar")))</f>
        <v/>
      </c>
    </row>
    <row r="781" spans="7:7" ht="16.5" customHeight="1">
      <c r="G781" s="66">
        <f>IF($D781="","",IF(COUNTIF('Config'!$E$8:$E$15,$D781)&gt;0,"Entrada",IF(COUNTIF('Config'!$G$8:$G$23,$D781)&gt;0,"Saída","Verificar")))</f>
        <v/>
      </c>
    </row>
    <row r="782" spans="7:7" ht="16.5" customHeight="1">
      <c r="G782" s="66">
        <f>IF($D782="","",IF(COUNTIF('Config'!$E$8:$E$15,$D782)&gt;0,"Entrada",IF(COUNTIF('Config'!$G$8:$G$23,$D782)&gt;0,"Saída","Verificar")))</f>
        <v/>
      </c>
    </row>
    <row r="783" spans="7:7" ht="16.5" customHeight="1">
      <c r="G783" s="66">
        <f>IF($D783="","",IF(COUNTIF('Config'!$E$8:$E$15,$D783)&gt;0,"Entrada",IF(COUNTIF('Config'!$G$8:$G$23,$D783)&gt;0,"Saída","Verificar")))</f>
        <v/>
      </c>
    </row>
    <row r="784" spans="7:7" ht="16.5" customHeight="1">
      <c r="G784" s="66">
        <f>IF($D784="","",IF(COUNTIF('Config'!$E$8:$E$15,$D784)&gt;0,"Entrada",IF(COUNTIF('Config'!$G$8:$G$23,$D784)&gt;0,"Saída","Verificar")))</f>
        <v/>
      </c>
    </row>
    <row r="785" spans="7:7" ht="16.5" customHeight="1">
      <c r="G785" s="66">
        <f>IF($D785="","",IF(COUNTIF('Config'!$E$8:$E$15,$D785)&gt;0,"Entrada",IF(COUNTIF('Config'!$G$8:$G$23,$D785)&gt;0,"Saída","Verificar")))</f>
        <v/>
      </c>
    </row>
    <row r="786" spans="7:7" ht="16.5" customHeight="1">
      <c r="G786" s="66">
        <f>IF($D786="","",IF(COUNTIF('Config'!$E$8:$E$15,$D786)&gt;0,"Entrada",IF(COUNTIF('Config'!$G$8:$G$23,$D786)&gt;0,"Saída","Verificar")))</f>
        <v/>
      </c>
    </row>
    <row r="787" spans="7:7" ht="16.5" customHeight="1">
      <c r="G787" s="66">
        <f>IF($D787="","",IF(COUNTIF('Config'!$E$8:$E$15,$D787)&gt;0,"Entrada",IF(COUNTIF('Config'!$G$8:$G$23,$D787)&gt;0,"Saída","Verificar")))</f>
        <v/>
      </c>
    </row>
    <row r="788" spans="7:7" ht="16.5" customHeight="1">
      <c r="G788" s="66">
        <f>IF($D788="","",IF(COUNTIF('Config'!$E$8:$E$15,$D788)&gt;0,"Entrada",IF(COUNTIF('Config'!$G$8:$G$23,$D788)&gt;0,"Saída","Verificar")))</f>
        <v/>
      </c>
    </row>
    <row r="789" spans="7:7" ht="16.5" customHeight="1">
      <c r="G789" s="66">
        <f>IF($D789="","",IF(COUNTIF('Config'!$E$8:$E$15,$D789)&gt;0,"Entrada",IF(COUNTIF('Config'!$G$8:$G$23,$D789)&gt;0,"Saída","Verificar")))</f>
        <v/>
      </c>
    </row>
    <row r="790" spans="7:7" ht="16.5" customHeight="1">
      <c r="G790" s="66">
        <f>IF($D790="","",IF(COUNTIF('Config'!$E$8:$E$15,$D790)&gt;0,"Entrada",IF(COUNTIF('Config'!$G$8:$G$23,$D790)&gt;0,"Saída","Verificar")))</f>
        <v/>
      </c>
    </row>
    <row r="791" spans="7:7" ht="16.5" customHeight="1">
      <c r="G791" s="66">
        <f>IF($D791="","",IF(COUNTIF('Config'!$E$8:$E$15,$D791)&gt;0,"Entrada",IF(COUNTIF('Config'!$G$8:$G$23,$D791)&gt;0,"Saída","Verificar")))</f>
        <v/>
      </c>
    </row>
    <row r="792" spans="7:7" ht="16.5" customHeight="1">
      <c r="G792" s="66">
        <f>IF($D792="","",IF(COUNTIF('Config'!$E$8:$E$15,$D792)&gt;0,"Entrada",IF(COUNTIF('Config'!$G$8:$G$23,$D792)&gt;0,"Saída","Verificar")))</f>
        <v/>
      </c>
    </row>
    <row r="793" spans="7:7" ht="16.5" customHeight="1">
      <c r="G793" s="66">
        <f>IF($D793="","",IF(COUNTIF('Config'!$E$8:$E$15,$D793)&gt;0,"Entrada",IF(COUNTIF('Config'!$G$8:$G$23,$D793)&gt;0,"Saída","Verificar")))</f>
        <v/>
      </c>
    </row>
    <row r="794" spans="7:7" ht="16.5" customHeight="1">
      <c r="G794" s="66">
        <f>IF($D794="","",IF(COUNTIF('Config'!$E$8:$E$15,$D794)&gt;0,"Entrada",IF(COUNTIF('Config'!$G$8:$G$23,$D794)&gt;0,"Saída","Verificar")))</f>
        <v/>
      </c>
    </row>
    <row r="795" spans="7:7" ht="16.5" customHeight="1">
      <c r="G795" s="66">
        <f>IF($D795="","",IF(COUNTIF('Config'!$E$8:$E$15,$D795)&gt;0,"Entrada",IF(COUNTIF('Config'!$G$8:$G$23,$D795)&gt;0,"Saída","Verificar")))</f>
        <v/>
      </c>
    </row>
    <row r="796" spans="7:7" ht="16.5" customHeight="1">
      <c r="G796" s="66">
        <f>IF($D796="","",IF(COUNTIF('Config'!$E$8:$E$15,$D796)&gt;0,"Entrada",IF(COUNTIF('Config'!$G$8:$G$23,$D796)&gt;0,"Saída","Verificar")))</f>
        <v/>
      </c>
    </row>
    <row r="797" spans="7:7" ht="16.5" customHeight="1">
      <c r="G797" s="66">
        <f>IF($D797="","",IF(COUNTIF('Config'!$E$8:$E$15,$D797)&gt;0,"Entrada",IF(COUNTIF('Config'!$G$8:$G$23,$D797)&gt;0,"Saída","Verificar")))</f>
        <v/>
      </c>
    </row>
    <row r="798" spans="7:7" ht="16.5" customHeight="1">
      <c r="G798" s="66">
        <f>IF($D798="","",IF(COUNTIF('Config'!$E$8:$E$15,$D798)&gt;0,"Entrada",IF(COUNTIF('Config'!$G$8:$G$23,$D798)&gt;0,"Saída","Verificar")))</f>
        <v/>
      </c>
    </row>
    <row r="799" spans="7:7" ht="16.5" customHeight="1">
      <c r="G799" s="66">
        <f>IF($D799="","",IF(COUNTIF('Config'!$E$8:$E$15,$D799)&gt;0,"Entrada",IF(COUNTIF('Config'!$G$8:$G$23,$D799)&gt;0,"Saída","Verificar")))</f>
        <v/>
      </c>
    </row>
    <row r="800" spans="7:7" ht="16.5" customHeight="1">
      <c r="G800" s="66">
        <f>IF($D800="","",IF(COUNTIF('Config'!$E$8:$E$15,$D800)&gt;0,"Entrada",IF(COUNTIF('Config'!$G$8:$G$23,$D800)&gt;0,"Saída","Verificar")))</f>
        <v/>
      </c>
    </row>
    <row r="801" spans="7:7" ht="16.5" customHeight="1">
      <c r="G801" s="66">
        <f>IF($D801="","",IF(COUNTIF('Config'!$E$8:$E$15,$D801)&gt;0,"Entrada",IF(COUNTIF('Config'!$G$8:$G$23,$D801)&gt;0,"Saída","Verificar")))</f>
        <v/>
      </c>
    </row>
    <row r="802" spans="7:7" ht="16.5" customHeight="1">
      <c r="G802" s="66">
        <f>IF($D802="","",IF(COUNTIF('Config'!$E$8:$E$15,$D802)&gt;0,"Entrada",IF(COUNTIF('Config'!$G$8:$G$23,$D802)&gt;0,"Saída","Verificar")))</f>
        <v/>
      </c>
    </row>
    <row r="803" spans="7:7" ht="16.5" customHeight="1">
      <c r="G803" s="66">
        <f>IF($D803="","",IF(COUNTIF('Config'!$E$8:$E$15,$D803)&gt;0,"Entrada",IF(COUNTIF('Config'!$G$8:$G$23,$D803)&gt;0,"Saída","Verificar")))</f>
        <v/>
      </c>
    </row>
    <row r="804" spans="7:7" ht="16.5" customHeight="1">
      <c r="G804" s="66">
        <f>IF($D804="","",IF(COUNTIF('Config'!$E$8:$E$15,$D804)&gt;0,"Entrada",IF(COUNTIF('Config'!$G$8:$G$23,$D804)&gt;0,"Saída","Verificar")))</f>
        <v/>
      </c>
    </row>
    <row r="805" spans="7:7" ht="16.5" customHeight="1">
      <c r="G805" s="66">
        <f>IF($D805="","",IF(COUNTIF('Config'!$E$8:$E$15,$D805)&gt;0,"Entrada",IF(COUNTIF('Config'!$G$8:$G$23,$D805)&gt;0,"Saída","Verificar")))</f>
        <v/>
      </c>
    </row>
    <row r="806" spans="7:7" ht="16.5" customHeight="1">
      <c r="G806" s="66">
        <f>IF($D806="","",IF(COUNTIF('Config'!$E$8:$E$15,$D806)&gt;0,"Entrada",IF(COUNTIF('Config'!$G$8:$G$23,$D806)&gt;0,"Saída","Verificar")))</f>
        <v/>
      </c>
    </row>
    <row r="807" spans="7:7" ht="16.5" customHeight="1">
      <c r="G807" s="66">
        <f>IF($D807="","",IF(COUNTIF('Config'!$E$8:$E$15,$D807)&gt;0,"Entrada",IF(COUNTIF('Config'!$G$8:$G$23,$D807)&gt;0,"Saída","Verificar")))</f>
        <v/>
      </c>
    </row>
    <row r="808" spans="7:7" ht="16.5" customHeight="1">
      <c r="G808" s="66">
        <f>IF($D808="","",IF(COUNTIF('Config'!$E$8:$E$15,$D808)&gt;0,"Entrada",IF(COUNTIF('Config'!$G$8:$G$23,$D808)&gt;0,"Saída","Verificar")))</f>
        <v/>
      </c>
    </row>
    <row r="809" spans="7:7" ht="16.5" customHeight="1">
      <c r="G809" s="66">
        <f>IF($D809="","",IF(COUNTIF('Config'!$E$8:$E$15,$D809)&gt;0,"Entrada",IF(COUNTIF('Config'!$G$8:$G$23,$D809)&gt;0,"Saída","Verificar")))</f>
        <v/>
      </c>
    </row>
    <row r="810" spans="7:7" ht="16.5" customHeight="1">
      <c r="G810" s="66">
        <f>IF($D810="","",IF(COUNTIF('Config'!$E$8:$E$15,$D810)&gt;0,"Entrada",IF(COUNTIF('Config'!$G$8:$G$23,$D810)&gt;0,"Saída","Verificar")))</f>
        <v/>
      </c>
    </row>
    <row r="811" spans="7:7" ht="16.5" customHeight="1">
      <c r="G811" s="66">
        <f>IF($D811="","",IF(COUNTIF('Config'!$E$8:$E$15,$D811)&gt;0,"Entrada",IF(COUNTIF('Config'!$G$8:$G$23,$D811)&gt;0,"Saída","Verificar")))</f>
        <v/>
      </c>
    </row>
    <row r="812" spans="7:7" ht="16.5" customHeight="1">
      <c r="G812" s="66">
        <f>IF($D812="","",IF(COUNTIF('Config'!$E$8:$E$15,$D812)&gt;0,"Entrada",IF(COUNTIF('Config'!$G$8:$G$23,$D812)&gt;0,"Saída","Verificar")))</f>
        <v/>
      </c>
    </row>
    <row r="813" spans="7:7" ht="16.5" customHeight="1">
      <c r="G813" s="66">
        <f>IF($D813="","",IF(COUNTIF('Config'!$E$8:$E$15,$D813)&gt;0,"Entrada",IF(COUNTIF('Config'!$G$8:$G$23,$D813)&gt;0,"Saída","Verificar")))</f>
        <v/>
      </c>
    </row>
    <row r="814" spans="7:7" ht="16.5" customHeight="1">
      <c r="G814" s="66">
        <f>IF($D814="","",IF(COUNTIF('Config'!$E$8:$E$15,$D814)&gt;0,"Entrada",IF(COUNTIF('Config'!$G$8:$G$23,$D814)&gt;0,"Saída","Verificar")))</f>
        <v/>
      </c>
    </row>
    <row r="815" spans="7:7" ht="16.5" customHeight="1">
      <c r="G815" s="66">
        <f>IF($D815="","",IF(COUNTIF('Config'!$E$8:$E$15,$D815)&gt;0,"Entrada",IF(COUNTIF('Config'!$G$8:$G$23,$D815)&gt;0,"Saída","Verificar")))</f>
        <v/>
      </c>
    </row>
    <row r="816" spans="7:7" ht="16.5" customHeight="1">
      <c r="G816" s="66">
        <f>IF($D816="","",IF(COUNTIF('Config'!$E$8:$E$15,$D816)&gt;0,"Entrada",IF(COUNTIF('Config'!$G$8:$G$23,$D816)&gt;0,"Saída","Verificar")))</f>
        <v/>
      </c>
    </row>
    <row r="817" spans="7:7" ht="16.5" customHeight="1">
      <c r="G817" s="66">
        <f>IF($D817="","",IF(COUNTIF('Config'!$E$8:$E$15,$D817)&gt;0,"Entrada",IF(COUNTIF('Config'!$G$8:$G$23,$D817)&gt;0,"Saída","Verificar")))</f>
        <v/>
      </c>
    </row>
    <row r="818" spans="7:7" ht="16.5" customHeight="1">
      <c r="G818" s="66">
        <f>IF($D818="","",IF(COUNTIF('Config'!$E$8:$E$15,$D818)&gt;0,"Entrada",IF(COUNTIF('Config'!$G$8:$G$23,$D818)&gt;0,"Saída","Verificar")))</f>
        <v/>
      </c>
    </row>
    <row r="819" spans="7:7" ht="16.5" customHeight="1">
      <c r="G819" s="66">
        <f>IF($D819="","",IF(COUNTIF('Config'!$E$8:$E$15,$D819)&gt;0,"Entrada",IF(COUNTIF('Config'!$G$8:$G$23,$D819)&gt;0,"Saída","Verificar")))</f>
        <v/>
      </c>
    </row>
    <row r="820" spans="7:7" ht="16.5" customHeight="1">
      <c r="G820" s="66">
        <f>IF($D820="","",IF(COUNTIF('Config'!$E$8:$E$15,$D820)&gt;0,"Entrada",IF(COUNTIF('Config'!$G$8:$G$23,$D820)&gt;0,"Saída","Verificar")))</f>
        <v/>
      </c>
    </row>
    <row r="821" spans="7:7" ht="16.5" customHeight="1">
      <c r="G821" s="66">
        <f>IF($D821="","",IF(COUNTIF('Config'!$E$8:$E$15,$D821)&gt;0,"Entrada",IF(COUNTIF('Config'!$G$8:$G$23,$D821)&gt;0,"Saída","Verificar")))</f>
        <v/>
      </c>
    </row>
    <row r="822" spans="7:7" ht="16.5" customHeight="1">
      <c r="G822" s="66">
        <f>IF($D822="","",IF(COUNTIF('Config'!$E$8:$E$15,$D822)&gt;0,"Entrada",IF(COUNTIF('Config'!$G$8:$G$23,$D822)&gt;0,"Saída","Verificar")))</f>
        <v/>
      </c>
    </row>
    <row r="823" spans="7:7" ht="16.5" customHeight="1">
      <c r="G823" s="66">
        <f>IF($D823="","",IF(COUNTIF('Config'!$E$8:$E$15,$D823)&gt;0,"Entrada",IF(COUNTIF('Config'!$G$8:$G$23,$D823)&gt;0,"Saída","Verificar")))</f>
        <v/>
      </c>
    </row>
    <row r="824" spans="7:7" ht="16.5" customHeight="1">
      <c r="G824" s="66">
        <f>IF($D824="","",IF(COUNTIF('Config'!$E$8:$E$15,$D824)&gt;0,"Entrada",IF(COUNTIF('Config'!$G$8:$G$23,$D824)&gt;0,"Saída","Verificar")))</f>
        <v/>
      </c>
    </row>
    <row r="825" spans="7:7" ht="16.5" customHeight="1">
      <c r="G825" s="66">
        <f>IF($D825="","",IF(COUNTIF('Config'!$E$8:$E$15,$D825)&gt;0,"Entrada",IF(COUNTIF('Config'!$G$8:$G$23,$D825)&gt;0,"Saída","Verificar")))</f>
        <v/>
      </c>
    </row>
    <row r="826" spans="7:7" ht="16.5" customHeight="1">
      <c r="G826" s="66">
        <f>IF($D826="","",IF(COUNTIF('Config'!$E$8:$E$15,$D826)&gt;0,"Entrada",IF(COUNTIF('Config'!$G$8:$G$23,$D826)&gt;0,"Saída","Verificar")))</f>
        <v/>
      </c>
    </row>
    <row r="827" spans="7:7" ht="16.5" customHeight="1">
      <c r="G827" s="66">
        <f>IF($D827="","",IF(COUNTIF('Config'!$E$8:$E$15,$D827)&gt;0,"Entrada",IF(COUNTIF('Config'!$G$8:$G$23,$D827)&gt;0,"Saída","Verificar")))</f>
        <v/>
      </c>
    </row>
    <row r="828" spans="7:7" ht="16.5" customHeight="1">
      <c r="G828" s="66">
        <f>IF($D828="","",IF(COUNTIF('Config'!$E$8:$E$15,$D828)&gt;0,"Entrada",IF(COUNTIF('Config'!$G$8:$G$23,$D828)&gt;0,"Saída","Verificar")))</f>
        <v/>
      </c>
    </row>
    <row r="829" spans="7:7" ht="16.5" customHeight="1">
      <c r="G829" s="66">
        <f>IF($D829="","",IF(COUNTIF('Config'!$E$8:$E$15,$D829)&gt;0,"Entrada",IF(COUNTIF('Config'!$G$8:$G$23,$D829)&gt;0,"Saída","Verificar")))</f>
        <v/>
      </c>
    </row>
    <row r="830" spans="7:7" ht="16.5" customHeight="1">
      <c r="G830" s="66">
        <f>IF($D830="","",IF(COUNTIF('Config'!$E$8:$E$15,$D830)&gt;0,"Entrada",IF(COUNTIF('Config'!$G$8:$G$23,$D830)&gt;0,"Saída","Verificar")))</f>
        <v/>
      </c>
    </row>
    <row r="831" spans="7:7" ht="16.5" customHeight="1">
      <c r="G831" s="66">
        <f>IF($D831="","",IF(COUNTIF('Config'!$E$8:$E$15,$D831)&gt;0,"Entrada",IF(COUNTIF('Config'!$G$8:$G$23,$D831)&gt;0,"Saída","Verificar")))</f>
        <v/>
      </c>
    </row>
    <row r="832" spans="7:7" ht="16.5" customHeight="1">
      <c r="G832" s="66">
        <f>IF($D832="","",IF(COUNTIF('Config'!$E$8:$E$15,$D832)&gt;0,"Entrada",IF(COUNTIF('Config'!$G$8:$G$23,$D832)&gt;0,"Saída","Verificar")))</f>
        <v/>
      </c>
    </row>
    <row r="833" spans="7:7" ht="16.5" customHeight="1">
      <c r="G833" s="66">
        <f>IF($D833="","",IF(COUNTIF('Config'!$E$8:$E$15,$D833)&gt;0,"Entrada",IF(COUNTIF('Config'!$G$8:$G$23,$D833)&gt;0,"Saída","Verificar")))</f>
        <v/>
      </c>
    </row>
    <row r="834" spans="7:7" ht="16.5" customHeight="1">
      <c r="G834" s="66">
        <f>IF($D834="","",IF(COUNTIF('Config'!$E$8:$E$15,$D834)&gt;0,"Entrada",IF(COUNTIF('Config'!$G$8:$G$23,$D834)&gt;0,"Saída","Verificar")))</f>
        <v/>
      </c>
    </row>
    <row r="835" spans="7:7" ht="16.5" customHeight="1">
      <c r="G835" s="66">
        <f>IF($D835="","",IF(COUNTIF('Config'!$E$8:$E$15,$D835)&gt;0,"Entrada",IF(COUNTIF('Config'!$G$8:$G$23,$D835)&gt;0,"Saída","Verificar")))</f>
        <v/>
      </c>
    </row>
    <row r="836" spans="7:7" ht="16.5" customHeight="1">
      <c r="G836" s="66">
        <f>IF($D836="","",IF(COUNTIF('Config'!$E$8:$E$15,$D836)&gt;0,"Entrada",IF(COUNTIF('Config'!$G$8:$G$23,$D836)&gt;0,"Saída","Verificar")))</f>
        <v/>
      </c>
    </row>
    <row r="837" spans="7:7" ht="16.5" customHeight="1">
      <c r="G837" s="66">
        <f>IF($D837="","",IF(COUNTIF('Config'!$E$8:$E$15,$D837)&gt;0,"Entrada",IF(COUNTIF('Config'!$G$8:$G$23,$D837)&gt;0,"Saída","Verificar")))</f>
        <v/>
      </c>
    </row>
    <row r="838" spans="7:7" ht="16.5" customHeight="1">
      <c r="G838" s="66">
        <f>IF($D838="","",IF(COUNTIF('Config'!$E$8:$E$15,$D838)&gt;0,"Entrada",IF(COUNTIF('Config'!$G$8:$G$23,$D838)&gt;0,"Saída","Verificar")))</f>
        <v/>
      </c>
    </row>
    <row r="839" spans="7:7" ht="16.5" customHeight="1">
      <c r="G839" s="66">
        <f>IF($D839="","",IF(COUNTIF('Config'!$E$8:$E$15,$D839)&gt;0,"Entrada",IF(COUNTIF('Config'!$G$8:$G$23,$D839)&gt;0,"Saída","Verificar")))</f>
        <v/>
      </c>
    </row>
    <row r="840" spans="7:7" ht="16.5" customHeight="1">
      <c r="G840" s="66">
        <f>IF($D840="","",IF(COUNTIF('Config'!$E$8:$E$15,$D840)&gt;0,"Entrada",IF(COUNTIF('Config'!$G$8:$G$23,$D840)&gt;0,"Saída","Verificar")))</f>
        <v/>
      </c>
    </row>
    <row r="841" spans="7:7" ht="16.5" customHeight="1">
      <c r="G841" s="66">
        <f>IF($D841="","",IF(COUNTIF('Config'!$E$8:$E$15,$D841)&gt;0,"Entrada",IF(COUNTIF('Config'!$G$8:$G$23,$D841)&gt;0,"Saída","Verificar")))</f>
        <v/>
      </c>
    </row>
    <row r="842" spans="7:7" ht="16.5" customHeight="1">
      <c r="G842" s="66">
        <f>IF($D842="","",IF(COUNTIF('Config'!$E$8:$E$15,$D842)&gt;0,"Entrada",IF(COUNTIF('Config'!$G$8:$G$23,$D842)&gt;0,"Saída","Verificar")))</f>
        <v/>
      </c>
    </row>
    <row r="843" spans="7:7" ht="16.5" customHeight="1">
      <c r="G843" s="66">
        <f>IF($D843="","",IF(COUNTIF('Config'!$E$8:$E$15,$D843)&gt;0,"Entrada",IF(COUNTIF('Config'!$G$8:$G$23,$D843)&gt;0,"Saída","Verificar")))</f>
        <v/>
      </c>
    </row>
    <row r="844" spans="7:7" ht="16.5" customHeight="1">
      <c r="G844" s="66">
        <f>IF($D844="","",IF(COUNTIF('Config'!$E$8:$E$15,$D844)&gt;0,"Entrada",IF(COUNTIF('Config'!$G$8:$G$23,$D844)&gt;0,"Saída","Verificar")))</f>
        <v/>
      </c>
    </row>
    <row r="845" spans="7:7" ht="16.5" customHeight="1">
      <c r="G845" s="66">
        <f>IF($D845="","",IF(COUNTIF('Config'!$E$8:$E$15,$D845)&gt;0,"Entrada",IF(COUNTIF('Config'!$G$8:$G$23,$D845)&gt;0,"Saída","Verificar")))</f>
        <v/>
      </c>
    </row>
    <row r="846" spans="7:7" ht="16.5" customHeight="1">
      <c r="G846" s="66">
        <f>IF($D846="","",IF(COUNTIF('Config'!$E$8:$E$15,$D846)&gt;0,"Entrada",IF(COUNTIF('Config'!$G$8:$G$23,$D846)&gt;0,"Saída","Verificar")))</f>
        <v/>
      </c>
    </row>
    <row r="847" spans="7:7" ht="16.5" customHeight="1">
      <c r="G847" s="66">
        <f>IF($D847="","",IF(COUNTIF('Config'!$E$8:$E$15,$D847)&gt;0,"Entrada",IF(COUNTIF('Config'!$G$8:$G$23,$D847)&gt;0,"Saída","Verificar")))</f>
        <v/>
      </c>
    </row>
    <row r="848" spans="7:7" ht="16.5" customHeight="1">
      <c r="G848" s="66">
        <f>IF($D848="","",IF(COUNTIF('Config'!$E$8:$E$15,$D848)&gt;0,"Entrada",IF(COUNTIF('Config'!$G$8:$G$23,$D848)&gt;0,"Saída","Verificar")))</f>
        <v/>
      </c>
    </row>
    <row r="849" spans="7:7" ht="16.5" customHeight="1">
      <c r="G849" s="66">
        <f>IF($D849="","",IF(COUNTIF('Config'!$E$8:$E$15,$D849)&gt;0,"Entrada",IF(COUNTIF('Config'!$G$8:$G$23,$D849)&gt;0,"Saída","Verificar")))</f>
        <v/>
      </c>
    </row>
    <row r="850" spans="7:7" ht="16.5" customHeight="1">
      <c r="G850" s="66">
        <f>IF($D850="","",IF(COUNTIF('Config'!$E$8:$E$15,$D850)&gt;0,"Entrada",IF(COUNTIF('Config'!$G$8:$G$23,$D850)&gt;0,"Saída","Verificar")))</f>
        <v/>
      </c>
    </row>
    <row r="851" spans="7:7" ht="16.5" customHeight="1">
      <c r="G851" s="66">
        <f>IF($D851="","",IF(COUNTIF('Config'!$E$8:$E$15,$D851)&gt;0,"Entrada",IF(COUNTIF('Config'!$G$8:$G$23,$D851)&gt;0,"Saída","Verificar")))</f>
        <v/>
      </c>
    </row>
    <row r="852" spans="7:7" ht="16.5" customHeight="1">
      <c r="G852" s="66">
        <f>IF($D852="","",IF(COUNTIF('Config'!$E$8:$E$15,$D852)&gt;0,"Entrada",IF(COUNTIF('Config'!$G$8:$G$23,$D852)&gt;0,"Saída","Verificar")))</f>
        <v/>
      </c>
    </row>
    <row r="853" spans="7:7" ht="16.5" customHeight="1">
      <c r="G853" s="66">
        <f>IF($D853="","",IF(COUNTIF('Config'!$E$8:$E$15,$D853)&gt;0,"Entrada",IF(COUNTIF('Config'!$G$8:$G$23,$D853)&gt;0,"Saída","Verificar")))</f>
        <v/>
      </c>
    </row>
    <row r="854" spans="7:7" ht="16.5" customHeight="1">
      <c r="G854" s="66">
        <f>IF($D854="","",IF(COUNTIF('Config'!$E$8:$E$15,$D854)&gt;0,"Entrada",IF(COUNTIF('Config'!$G$8:$G$23,$D854)&gt;0,"Saída","Verificar")))</f>
        <v/>
      </c>
    </row>
    <row r="855" spans="7:7" ht="16.5" customHeight="1">
      <c r="G855" s="66">
        <f>IF($D855="","",IF(COUNTIF('Config'!$E$8:$E$15,$D855)&gt;0,"Entrada",IF(COUNTIF('Config'!$G$8:$G$23,$D855)&gt;0,"Saída","Verificar")))</f>
        <v/>
      </c>
    </row>
    <row r="856" spans="7:7" ht="16.5" customHeight="1">
      <c r="G856" s="66">
        <f>IF($D856="","",IF(COUNTIF('Config'!$E$8:$E$15,$D856)&gt;0,"Entrada",IF(COUNTIF('Config'!$G$8:$G$23,$D856)&gt;0,"Saída","Verificar")))</f>
        <v/>
      </c>
    </row>
    <row r="857" spans="7:7" ht="16.5" customHeight="1">
      <c r="G857" s="66">
        <f>IF($D857="","",IF(COUNTIF('Config'!$E$8:$E$15,$D857)&gt;0,"Entrada",IF(COUNTIF('Config'!$G$8:$G$23,$D857)&gt;0,"Saída","Verificar")))</f>
        <v/>
      </c>
    </row>
    <row r="858" spans="7:7" ht="16.5" customHeight="1">
      <c r="G858" s="66">
        <f>IF($D858="","",IF(COUNTIF('Config'!$E$8:$E$15,$D858)&gt;0,"Entrada",IF(COUNTIF('Config'!$G$8:$G$23,$D858)&gt;0,"Saída","Verificar")))</f>
        <v/>
      </c>
    </row>
    <row r="859" spans="7:7" ht="16.5" customHeight="1">
      <c r="G859" s="66">
        <f>IF($D859="","",IF(COUNTIF('Config'!$E$8:$E$15,$D859)&gt;0,"Entrada",IF(COUNTIF('Config'!$G$8:$G$23,$D859)&gt;0,"Saída","Verificar")))</f>
        <v/>
      </c>
    </row>
    <row r="860" spans="7:7" ht="16.5" customHeight="1">
      <c r="G860" s="66">
        <f>IF($D860="","",IF(COUNTIF('Config'!$E$8:$E$15,$D860)&gt;0,"Entrada",IF(COUNTIF('Config'!$G$8:$G$23,$D860)&gt;0,"Saída","Verificar")))</f>
        <v/>
      </c>
    </row>
    <row r="861" spans="7:7" ht="16.5" customHeight="1">
      <c r="G861" s="66">
        <f>IF($D861="","",IF(COUNTIF('Config'!$E$8:$E$15,$D861)&gt;0,"Entrada",IF(COUNTIF('Config'!$G$8:$G$23,$D861)&gt;0,"Saída","Verificar")))</f>
        <v/>
      </c>
    </row>
    <row r="862" spans="7:7" ht="16.5" customHeight="1">
      <c r="G862" s="66">
        <f>IF($D862="","",IF(COUNTIF('Config'!$E$8:$E$15,$D862)&gt;0,"Entrada",IF(COUNTIF('Config'!$G$8:$G$23,$D862)&gt;0,"Saída","Verificar")))</f>
        <v/>
      </c>
    </row>
    <row r="863" spans="7:7" ht="16.5" customHeight="1">
      <c r="G863" s="66">
        <f>IF($D863="","",IF(COUNTIF('Config'!$E$8:$E$15,$D863)&gt;0,"Entrada",IF(COUNTIF('Config'!$G$8:$G$23,$D863)&gt;0,"Saída","Verificar")))</f>
        <v/>
      </c>
    </row>
    <row r="864" spans="7:7" ht="16.5" customHeight="1">
      <c r="G864" s="66">
        <f>IF($D864="","",IF(COUNTIF('Config'!$E$8:$E$15,$D864)&gt;0,"Entrada",IF(COUNTIF('Config'!$G$8:$G$23,$D864)&gt;0,"Saída","Verificar")))</f>
        <v/>
      </c>
    </row>
    <row r="865" spans="7:7" ht="16.5" customHeight="1">
      <c r="G865" s="66">
        <f>IF($D865="","",IF(COUNTIF('Config'!$E$8:$E$15,$D865)&gt;0,"Entrada",IF(COUNTIF('Config'!$G$8:$G$23,$D865)&gt;0,"Saída","Verificar")))</f>
        <v/>
      </c>
    </row>
    <row r="866" spans="7:7" ht="16.5" customHeight="1">
      <c r="G866" s="66">
        <f>IF($D866="","",IF(COUNTIF('Config'!$E$8:$E$15,$D866)&gt;0,"Entrada",IF(COUNTIF('Config'!$G$8:$G$23,$D866)&gt;0,"Saída","Verificar")))</f>
        <v/>
      </c>
    </row>
    <row r="867" spans="7:7" ht="16.5" customHeight="1">
      <c r="G867" s="66">
        <f>IF($D867="","",IF(COUNTIF('Config'!$E$8:$E$15,$D867)&gt;0,"Entrada",IF(COUNTIF('Config'!$G$8:$G$23,$D867)&gt;0,"Saída","Verificar")))</f>
        <v/>
      </c>
    </row>
    <row r="868" spans="7:7" ht="16.5" customHeight="1">
      <c r="G868" s="66">
        <f>IF($D868="","",IF(COUNTIF('Config'!$E$8:$E$15,$D868)&gt;0,"Entrada",IF(COUNTIF('Config'!$G$8:$G$23,$D868)&gt;0,"Saída","Verificar")))</f>
        <v/>
      </c>
    </row>
    <row r="869" spans="7:7" ht="16.5" customHeight="1">
      <c r="G869" s="66">
        <f>IF($D869="","",IF(COUNTIF('Config'!$E$8:$E$15,$D869)&gt;0,"Entrada",IF(COUNTIF('Config'!$G$8:$G$23,$D869)&gt;0,"Saída","Verificar")))</f>
        <v/>
      </c>
    </row>
    <row r="870" spans="7:7" ht="16.5" customHeight="1">
      <c r="G870" s="66">
        <f>IF($D870="","",IF(COUNTIF('Config'!$E$8:$E$15,$D870)&gt;0,"Entrada",IF(COUNTIF('Config'!$G$8:$G$23,$D870)&gt;0,"Saída","Verificar")))</f>
        <v/>
      </c>
    </row>
    <row r="871" spans="7:7" ht="16.5" customHeight="1">
      <c r="G871" s="66">
        <f>IF($D871="","",IF(COUNTIF('Config'!$E$8:$E$15,$D871)&gt;0,"Entrada",IF(COUNTIF('Config'!$G$8:$G$23,$D871)&gt;0,"Saída","Verificar")))</f>
        <v/>
      </c>
    </row>
    <row r="872" spans="7:7" ht="16.5" customHeight="1">
      <c r="G872" s="66">
        <f>IF($D872="","",IF(COUNTIF('Config'!$E$8:$E$15,$D872)&gt;0,"Entrada",IF(COUNTIF('Config'!$G$8:$G$23,$D872)&gt;0,"Saída","Verificar")))</f>
        <v/>
      </c>
    </row>
    <row r="873" spans="7:7" ht="16.5" customHeight="1">
      <c r="G873" s="66">
        <f>IF($D873="","",IF(COUNTIF('Config'!$E$8:$E$15,$D873)&gt;0,"Entrada",IF(COUNTIF('Config'!$G$8:$G$23,$D873)&gt;0,"Saída","Verificar")))</f>
        <v/>
      </c>
    </row>
    <row r="874" spans="7:7" ht="16.5" customHeight="1">
      <c r="G874" s="66">
        <f>IF($D874="","",IF(COUNTIF('Config'!$E$8:$E$15,$D874)&gt;0,"Entrada",IF(COUNTIF('Config'!$G$8:$G$23,$D874)&gt;0,"Saída","Verificar")))</f>
        <v/>
      </c>
    </row>
    <row r="875" spans="7:7" ht="16.5" customHeight="1">
      <c r="G875" s="66">
        <f>IF($D875="","",IF(COUNTIF('Config'!$E$8:$E$15,$D875)&gt;0,"Entrada",IF(COUNTIF('Config'!$G$8:$G$23,$D875)&gt;0,"Saída","Verificar")))</f>
        <v/>
      </c>
    </row>
    <row r="876" spans="7:7" ht="16.5" customHeight="1">
      <c r="G876" s="66">
        <f>IF($D876="","",IF(COUNTIF('Config'!$E$8:$E$15,$D876)&gt;0,"Entrada",IF(COUNTIF('Config'!$G$8:$G$23,$D876)&gt;0,"Saída","Verificar")))</f>
        <v/>
      </c>
    </row>
    <row r="877" spans="7:7" ht="16.5" customHeight="1">
      <c r="G877" s="66">
        <f>IF($D877="","",IF(COUNTIF('Config'!$E$8:$E$15,$D877)&gt;0,"Entrada",IF(COUNTIF('Config'!$G$8:$G$23,$D877)&gt;0,"Saída","Verificar")))</f>
        <v/>
      </c>
    </row>
    <row r="878" spans="7:7" ht="16.5" customHeight="1">
      <c r="G878" s="66">
        <f>IF($D878="","",IF(COUNTIF('Config'!$E$8:$E$15,$D878)&gt;0,"Entrada",IF(COUNTIF('Config'!$G$8:$G$23,$D878)&gt;0,"Saída","Verificar")))</f>
        <v/>
      </c>
    </row>
    <row r="879" spans="7:7" ht="16.5" customHeight="1">
      <c r="G879" s="66">
        <f>IF($D879="","",IF(COUNTIF('Config'!$E$8:$E$15,$D879)&gt;0,"Entrada",IF(COUNTIF('Config'!$G$8:$G$23,$D879)&gt;0,"Saída","Verificar")))</f>
        <v/>
      </c>
    </row>
    <row r="880" spans="7:7" ht="16.5" customHeight="1">
      <c r="G880" s="66">
        <f>IF($D880="","",IF(COUNTIF('Config'!$E$8:$E$15,$D880)&gt;0,"Entrada",IF(COUNTIF('Config'!$G$8:$G$23,$D880)&gt;0,"Saída","Verificar")))</f>
        <v/>
      </c>
    </row>
    <row r="881" spans="7:7" ht="16.5" customHeight="1">
      <c r="G881" s="66">
        <f>IF($D881="","",IF(COUNTIF('Config'!$E$8:$E$15,$D881)&gt;0,"Entrada",IF(COUNTIF('Config'!$G$8:$G$23,$D881)&gt;0,"Saída","Verificar")))</f>
        <v/>
      </c>
    </row>
    <row r="882" spans="7:7" ht="16.5" customHeight="1">
      <c r="G882" s="66">
        <f>IF($D882="","",IF(COUNTIF('Config'!$E$8:$E$15,$D882)&gt;0,"Entrada",IF(COUNTIF('Config'!$G$8:$G$23,$D882)&gt;0,"Saída","Verificar")))</f>
        <v/>
      </c>
    </row>
    <row r="883" spans="7:7" ht="16.5" customHeight="1">
      <c r="G883" s="66">
        <f>IF($D883="","",IF(COUNTIF('Config'!$E$8:$E$15,$D883)&gt;0,"Entrada",IF(COUNTIF('Config'!$G$8:$G$23,$D883)&gt;0,"Saída","Verificar")))</f>
        <v/>
      </c>
    </row>
    <row r="884" spans="7:7" ht="16.5" customHeight="1">
      <c r="G884" s="66">
        <f>IF($D884="","",IF(COUNTIF('Config'!$E$8:$E$15,$D884)&gt;0,"Entrada",IF(COUNTIF('Config'!$G$8:$G$23,$D884)&gt;0,"Saída","Verificar")))</f>
        <v/>
      </c>
    </row>
    <row r="885" spans="7:7" ht="16.5" customHeight="1">
      <c r="G885" s="66">
        <f>IF($D885="","",IF(COUNTIF('Config'!$E$8:$E$15,$D885)&gt;0,"Entrada",IF(COUNTIF('Config'!$G$8:$G$23,$D885)&gt;0,"Saída","Verificar")))</f>
        <v/>
      </c>
    </row>
    <row r="886" spans="7:7" ht="16.5" customHeight="1">
      <c r="G886" s="66">
        <f>IF($D886="","",IF(COUNTIF('Config'!$E$8:$E$15,$D886)&gt;0,"Entrada",IF(COUNTIF('Config'!$G$8:$G$23,$D886)&gt;0,"Saída","Verificar")))</f>
        <v/>
      </c>
    </row>
    <row r="887" spans="7:7" ht="16.5" customHeight="1">
      <c r="G887" s="66">
        <f>IF($D887="","",IF(COUNTIF('Config'!$E$8:$E$15,$D887)&gt;0,"Entrada",IF(COUNTIF('Config'!$G$8:$G$23,$D887)&gt;0,"Saída","Verificar")))</f>
        <v/>
      </c>
    </row>
    <row r="888" spans="7:7" ht="16.5" customHeight="1">
      <c r="G888" s="66">
        <f>IF($D888="","",IF(COUNTIF('Config'!$E$8:$E$15,$D888)&gt;0,"Entrada",IF(COUNTIF('Config'!$G$8:$G$23,$D888)&gt;0,"Saída","Verificar")))</f>
        <v/>
      </c>
    </row>
    <row r="889" spans="7:7" ht="16.5" customHeight="1">
      <c r="G889" s="66">
        <f>IF($D889="","",IF(COUNTIF('Config'!$E$8:$E$15,$D889)&gt;0,"Entrada",IF(COUNTIF('Config'!$G$8:$G$23,$D889)&gt;0,"Saída","Verificar")))</f>
        <v/>
      </c>
    </row>
    <row r="890" spans="7:7" ht="16.5" customHeight="1">
      <c r="G890" s="66">
        <f>IF($D890="","",IF(COUNTIF('Config'!$E$8:$E$15,$D890)&gt;0,"Entrada",IF(COUNTIF('Config'!$G$8:$G$23,$D890)&gt;0,"Saída","Verificar")))</f>
        <v/>
      </c>
    </row>
    <row r="891" spans="7:7" ht="16.5" customHeight="1">
      <c r="G891" s="66">
        <f>IF($D891="","",IF(COUNTIF('Config'!$E$8:$E$15,$D891)&gt;0,"Entrada",IF(COUNTIF('Config'!$G$8:$G$23,$D891)&gt;0,"Saída","Verificar")))</f>
        <v/>
      </c>
    </row>
    <row r="892" spans="7:7" ht="16.5" customHeight="1">
      <c r="G892" s="66">
        <f>IF($D892="","",IF(COUNTIF('Config'!$E$8:$E$15,$D892)&gt;0,"Entrada",IF(COUNTIF('Config'!$G$8:$G$23,$D892)&gt;0,"Saída","Verificar")))</f>
        <v/>
      </c>
    </row>
    <row r="893" spans="7:7" ht="16.5" customHeight="1">
      <c r="G893" s="66">
        <f>IF($D893="","",IF(COUNTIF('Config'!$E$8:$E$15,$D893)&gt;0,"Entrada",IF(COUNTIF('Config'!$G$8:$G$23,$D893)&gt;0,"Saída","Verificar")))</f>
        <v/>
      </c>
    </row>
    <row r="894" spans="7:7" ht="16.5" customHeight="1">
      <c r="G894" s="66">
        <f>IF($D894="","",IF(COUNTIF('Config'!$E$8:$E$15,$D894)&gt;0,"Entrada",IF(COUNTIF('Config'!$G$8:$G$23,$D894)&gt;0,"Saída","Verificar")))</f>
        <v/>
      </c>
    </row>
    <row r="895" spans="7:7" ht="16.5" customHeight="1">
      <c r="G895" s="66">
        <f>IF($D895="","",IF(COUNTIF('Config'!$E$8:$E$15,$D895)&gt;0,"Entrada",IF(COUNTIF('Config'!$G$8:$G$23,$D895)&gt;0,"Saída","Verificar")))</f>
        <v/>
      </c>
    </row>
    <row r="896" spans="7:7" ht="16.5" customHeight="1">
      <c r="G896" s="66">
        <f>IF($D896="","",IF(COUNTIF('Config'!$E$8:$E$15,$D896)&gt;0,"Entrada",IF(COUNTIF('Config'!$G$8:$G$23,$D896)&gt;0,"Saída","Verificar")))</f>
        <v/>
      </c>
    </row>
    <row r="897" spans="7:7" ht="16.5" customHeight="1">
      <c r="G897" s="66">
        <f>IF($D897="","",IF(COUNTIF('Config'!$E$8:$E$15,$D897)&gt;0,"Entrada",IF(COUNTIF('Config'!$G$8:$G$23,$D897)&gt;0,"Saída","Verificar")))</f>
        <v/>
      </c>
    </row>
    <row r="898" spans="7:7" ht="16.5" customHeight="1">
      <c r="G898" s="66">
        <f>IF($D898="","",IF(COUNTIF('Config'!$E$8:$E$15,$D898)&gt;0,"Entrada",IF(COUNTIF('Config'!$G$8:$G$23,$D898)&gt;0,"Saída","Verificar")))</f>
        <v/>
      </c>
    </row>
    <row r="899" spans="7:7" ht="16.5" customHeight="1">
      <c r="G899" s="66">
        <f>IF($D899="","",IF(COUNTIF('Config'!$E$8:$E$15,$D899)&gt;0,"Entrada",IF(COUNTIF('Config'!$G$8:$G$23,$D899)&gt;0,"Saída","Verificar")))</f>
        <v/>
      </c>
    </row>
    <row r="900" spans="7:7" ht="16.5" customHeight="1">
      <c r="G900" s="66">
        <f>IF($D900="","",IF(COUNTIF('Config'!$E$8:$E$15,$D900)&gt;0,"Entrada",IF(COUNTIF('Config'!$G$8:$G$23,$D900)&gt;0,"Saída","Verificar")))</f>
        <v/>
      </c>
    </row>
    <row r="901" spans="7:7" ht="16.5" customHeight="1">
      <c r="G901" s="66">
        <f>IF($D901="","",IF(COUNTIF('Config'!$E$8:$E$15,$D901)&gt;0,"Entrada",IF(COUNTIF('Config'!$G$8:$G$23,$D901)&gt;0,"Saída","Verificar")))</f>
        <v/>
      </c>
    </row>
    <row r="902" spans="7:7" ht="16.5" customHeight="1">
      <c r="G902" s="66">
        <f>IF($D902="","",IF(COUNTIF('Config'!$E$8:$E$15,$D902)&gt;0,"Entrada",IF(COUNTIF('Config'!$G$8:$G$23,$D902)&gt;0,"Saída","Verificar")))</f>
        <v/>
      </c>
    </row>
    <row r="903" spans="7:7" ht="16.5" customHeight="1">
      <c r="G903" s="66">
        <f>IF($D903="","",IF(COUNTIF('Config'!$E$8:$E$15,$D903)&gt;0,"Entrada",IF(COUNTIF('Config'!$G$8:$G$23,$D903)&gt;0,"Saída","Verificar")))</f>
        <v/>
      </c>
    </row>
    <row r="904" spans="7:7" ht="16.5" customHeight="1">
      <c r="G904" s="66">
        <f>IF($D904="","",IF(COUNTIF('Config'!$E$8:$E$15,$D904)&gt;0,"Entrada",IF(COUNTIF('Config'!$G$8:$G$23,$D904)&gt;0,"Saída","Verificar")))</f>
        <v/>
      </c>
    </row>
    <row r="905" spans="7:7" ht="16.5" customHeight="1">
      <c r="G905" s="66">
        <f>IF($D905="","",IF(COUNTIF('Config'!$E$8:$E$15,$D905)&gt;0,"Entrada",IF(COUNTIF('Config'!$G$8:$G$23,$D905)&gt;0,"Saída","Verificar")))</f>
        <v/>
      </c>
    </row>
    <row r="906" spans="7:7" ht="16.5" customHeight="1">
      <c r="G906" s="66">
        <f>IF($D906="","",IF(COUNTIF('Config'!$E$8:$E$15,$D906)&gt;0,"Entrada",IF(COUNTIF('Config'!$G$8:$G$23,$D906)&gt;0,"Saída","Verificar")))</f>
        <v/>
      </c>
    </row>
    <row r="907" spans="7:7" ht="16.5" customHeight="1">
      <c r="G907" s="66">
        <f>IF($D907="","",IF(COUNTIF('Config'!$E$8:$E$15,$D907)&gt;0,"Entrada",IF(COUNTIF('Config'!$G$8:$G$23,$D907)&gt;0,"Saída","Verificar")))</f>
        <v/>
      </c>
    </row>
    <row r="908" spans="7:7" ht="16.5" customHeight="1">
      <c r="G908" s="66">
        <f>IF($D908="","",IF(COUNTIF('Config'!$E$8:$E$15,$D908)&gt;0,"Entrada",IF(COUNTIF('Config'!$G$8:$G$23,$D908)&gt;0,"Saída","Verificar")))</f>
        <v/>
      </c>
    </row>
    <row r="909" spans="7:7" ht="16.5" customHeight="1">
      <c r="G909" s="66">
        <f>IF($D909="","",IF(COUNTIF('Config'!$E$8:$E$15,$D909)&gt;0,"Entrada",IF(COUNTIF('Config'!$G$8:$G$23,$D909)&gt;0,"Saída","Verificar")))</f>
        <v/>
      </c>
    </row>
    <row r="910" spans="7:7" ht="16.5" customHeight="1">
      <c r="G910" s="66">
        <f>IF($D910="","",IF(COUNTIF('Config'!$E$8:$E$15,$D910)&gt;0,"Entrada",IF(COUNTIF('Config'!$G$8:$G$23,$D910)&gt;0,"Saída","Verificar")))</f>
        <v/>
      </c>
    </row>
    <row r="911" spans="7:7" ht="16.5" customHeight="1">
      <c r="G911" s="66">
        <f>IF($D911="","",IF(COUNTIF('Config'!$E$8:$E$15,$D911)&gt;0,"Entrada",IF(COUNTIF('Config'!$G$8:$G$23,$D911)&gt;0,"Saída","Verificar")))</f>
        <v/>
      </c>
    </row>
    <row r="912" spans="7:7" ht="16.5" customHeight="1">
      <c r="G912" s="66">
        <f>IF($D912="","",IF(COUNTIF('Config'!$E$8:$E$15,$D912)&gt;0,"Entrada",IF(COUNTIF('Config'!$G$8:$G$23,$D912)&gt;0,"Saída","Verificar")))</f>
        <v/>
      </c>
    </row>
    <row r="913" spans="7:7" ht="16.5" customHeight="1">
      <c r="G913" s="66">
        <f>IF($D913="","",IF(COUNTIF('Config'!$E$8:$E$15,$D913)&gt;0,"Entrada",IF(COUNTIF('Config'!$G$8:$G$23,$D913)&gt;0,"Saída","Verificar")))</f>
        <v/>
      </c>
    </row>
    <row r="914" spans="7:7" ht="16.5" customHeight="1">
      <c r="G914" s="66">
        <f>IF($D914="","",IF(COUNTIF('Config'!$E$8:$E$15,$D914)&gt;0,"Entrada",IF(COUNTIF('Config'!$G$8:$G$23,$D914)&gt;0,"Saída","Verificar")))</f>
        <v/>
      </c>
    </row>
    <row r="915" spans="7:7" ht="16.5" customHeight="1">
      <c r="G915" s="66">
        <f>IF($D915="","",IF(COUNTIF('Config'!$E$8:$E$15,$D915)&gt;0,"Entrada",IF(COUNTIF('Config'!$G$8:$G$23,$D915)&gt;0,"Saída","Verificar")))</f>
        <v/>
      </c>
    </row>
    <row r="916" spans="7:7" ht="16.5" customHeight="1">
      <c r="G916" s="66">
        <f>IF($D916="","",IF(COUNTIF('Config'!$E$8:$E$15,$D916)&gt;0,"Entrada",IF(COUNTIF('Config'!$G$8:$G$23,$D916)&gt;0,"Saída","Verificar")))</f>
        <v/>
      </c>
    </row>
    <row r="917" spans="7:7" ht="16.5" customHeight="1">
      <c r="G917" s="66">
        <f>IF($D917="","",IF(COUNTIF('Config'!$E$8:$E$15,$D917)&gt;0,"Entrada",IF(COUNTIF('Config'!$G$8:$G$23,$D917)&gt;0,"Saída","Verificar")))</f>
        <v/>
      </c>
    </row>
    <row r="918" spans="7:7" ht="16.5" customHeight="1">
      <c r="G918" s="66">
        <f>IF($D918="","",IF(COUNTIF('Config'!$E$8:$E$15,$D918)&gt;0,"Entrada",IF(COUNTIF('Config'!$G$8:$G$23,$D918)&gt;0,"Saída","Verificar")))</f>
        <v/>
      </c>
    </row>
    <row r="919" spans="7:7" ht="16.5" customHeight="1">
      <c r="G919" s="66">
        <f>IF($D919="","",IF(COUNTIF('Config'!$E$8:$E$15,$D919)&gt;0,"Entrada",IF(COUNTIF('Config'!$G$8:$G$23,$D919)&gt;0,"Saída","Verificar")))</f>
        <v/>
      </c>
    </row>
    <row r="920" spans="7:7" ht="16.5" customHeight="1">
      <c r="G920" s="66">
        <f>IF($D920="","",IF(COUNTIF('Config'!$E$8:$E$15,$D920)&gt;0,"Entrada",IF(COUNTIF('Config'!$G$8:$G$23,$D920)&gt;0,"Saída","Verificar")))</f>
        <v/>
      </c>
    </row>
    <row r="921" spans="7:7" ht="16.5" customHeight="1">
      <c r="G921" s="66">
        <f>IF($D921="","",IF(COUNTIF('Config'!$E$8:$E$15,$D921)&gt;0,"Entrada",IF(COUNTIF('Config'!$G$8:$G$23,$D921)&gt;0,"Saída","Verificar")))</f>
        <v/>
      </c>
    </row>
    <row r="922" spans="7:7" ht="16.5" customHeight="1">
      <c r="G922" s="66">
        <f>IF($D922="","",IF(COUNTIF('Config'!$E$8:$E$15,$D922)&gt;0,"Entrada",IF(COUNTIF('Config'!$G$8:$G$23,$D922)&gt;0,"Saída","Verificar")))</f>
        <v/>
      </c>
    </row>
    <row r="923" spans="7:7" ht="16.5" customHeight="1">
      <c r="G923" s="66">
        <f>IF($D923="","",IF(COUNTIF('Config'!$E$8:$E$15,$D923)&gt;0,"Entrada",IF(COUNTIF('Config'!$G$8:$G$23,$D923)&gt;0,"Saída","Verificar")))</f>
        <v/>
      </c>
    </row>
    <row r="924" spans="7:7" ht="16.5" customHeight="1">
      <c r="G924" s="66">
        <f>IF($D924="","",IF(COUNTIF('Config'!$E$8:$E$15,$D924)&gt;0,"Entrada",IF(COUNTIF('Config'!$G$8:$G$23,$D924)&gt;0,"Saída","Verificar")))</f>
        <v/>
      </c>
    </row>
    <row r="925" spans="7:7" ht="16.5" customHeight="1">
      <c r="G925" s="66">
        <f>IF($D925="","",IF(COUNTIF('Config'!$E$8:$E$15,$D925)&gt;0,"Entrada",IF(COUNTIF('Config'!$G$8:$G$23,$D925)&gt;0,"Saída","Verificar")))</f>
        <v/>
      </c>
    </row>
    <row r="926" spans="7:7" ht="16.5" customHeight="1">
      <c r="G926" s="66">
        <f>IF($D926="","",IF(COUNTIF('Config'!$E$8:$E$15,$D926)&gt;0,"Entrada",IF(COUNTIF('Config'!$G$8:$G$23,$D926)&gt;0,"Saída","Verificar")))</f>
        <v/>
      </c>
    </row>
    <row r="927" spans="7:7" ht="16.5" customHeight="1">
      <c r="G927" s="66">
        <f>IF($D927="","",IF(COUNTIF('Config'!$E$8:$E$15,$D927)&gt;0,"Entrada",IF(COUNTIF('Config'!$G$8:$G$23,$D927)&gt;0,"Saída","Verificar")))</f>
        <v/>
      </c>
    </row>
    <row r="928" spans="7:7" ht="16.5" customHeight="1">
      <c r="G928" s="66">
        <f>IF($D928="","",IF(COUNTIF('Config'!$E$8:$E$15,$D928)&gt;0,"Entrada",IF(COUNTIF('Config'!$G$8:$G$23,$D928)&gt;0,"Saída","Verificar")))</f>
        <v/>
      </c>
    </row>
    <row r="929" spans="7:7" ht="16.5" customHeight="1">
      <c r="G929" s="66">
        <f>IF($D929="","",IF(COUNTIF('Config'!$E$8:$E$15,$D929)&gt;0,"Entrada",IF(COUNTIF('Config'!$G$8:$G$23,$D929)&gt;0,"Saída","Verificar")))</f>
        <v/>
      </c>
    </row>
    <row r="930" spans="7:7" ht="16.5" customHeight="1">
      <c r="G930" s="66">
        <f>IF($D930="","",IF(COUNTIF('Config'!$E$8:$E$15,$D930)&gt;0,"Entrada",IF(COUNTIF('Config'!$G$8:$G$23,$D930)&gt;0,"Saída","Verificar")))</f>
        <v/>
      </c>
    </row>
    <row r="931" spans="7:7" ht="16.5" customHeight="1">
      <c r="G931" s="66">
        <f>IF($D931="","",IF(COUNTIF('Config'!$E$8:$E$15,$D931)&gt;0,"Entrada",IF(COUNTIF('Config'!$G$8:$G$23,$D931)&gt;0,"Saída","Verificar")))</f>
        <v/>
      </c>
    </row>
    <row r="932" spans="7:7" ht="16.5" customHeight="1">
      <c r="G932" s="66">
        <f>IF($D932="","",IF(COUNTIF('Config'!$E$8:$E$15,$D932)&gt;0,"Entrada",IF(COUNTIF('Config'!$G$8:$G$23,$D932)&gt;0,"Saída","Verificar")))</f>
        <v/>
      </c>
    </row>
    <row r="933" spans="7:7" ht="16.5" customHeight="1">
      <c r="G933" s="66">
        <f>IF($D933="","",IF(COUNTIF('Config'!$E$8:$E$15,$D933)&gt;0,"Entrada",IF(COUNTIF('Config'!$G$8:$G$23,$D933)&gt;0,"Saída","Verificar")))</f>
        <v/>
      </c>
    </row>
    <row r="934" spans="7:7" ht="16.5" customHeight="1">
      <c r="G934" s="66">
        <f>IF($D934="","",IF(COUNTIF('Config'!$E$8:$E$15,$D934)&gt;0,"Entrada",IF(COUNTIF('Config'!$G$8:$G$23,$D934)&gt;0,"Saída","Verificar")))</f>
        <v/>
      </c>
    </row>
    <row r="935" spans="7:7" ht="16.5" customHeight="1">
      <c r="G935" s="66">
        <f>IF($D935="","",IF(COUNTIF('Config'!$E$8:$E$15,$D935)&gt;0,"Entrada",IF(COUNTIF('Config'!$G$8:$G$23,$D935)&gt;0,"Saída","Verificar")))</f>
        <v/>
      </c>
    </row>
    <row r="936" spans="7:7" ht="16.5" customHeight="1">
      <c r="G936" s="66">
        <f>IF($D936="","",IF(COUNTIF('Config'!$E$8:$E$15,$D936)&gt;0,"Entrada",IF(COUNTIF('Config'!$G$8:$G$23,$D936)&gt;0,"Saída","Verificar")))</f>
        <v/>
      </c>
    </row>
    <row r="937" spans="7:7" ht="16.5" customHeight="1">
      <c r="G937" s="66">
        <f>IF($D937="","",IF(COUNTIF('Config'!$E$8:$E$15,$D937)&gt;0,"Entrada",IF(COUNTIF('Config'!$G$8:$G$23,$D937)&gt;0,"Saída","Verificar")))</f>
        <v/>
      </c>
    </row>
    <row r="938" spans="7:7" ht="16.5" customHeight="1">
      <c r="G938" s="66">
        <f>IF($D938="","",IF(COUNTIF('Config'!$E$8:$E$15,$D938)&gt;0,"Entrada",IF(COUNTIF('Config'!$G$8:$G$23,$D938)&gt;0,"Saída","Verificar")))</f>
        <v/>
      </c>
    </row>
    <row r="939" spans="7:7" ht="16.5" customHeight="1">
      <c r="G939" s="66">
        <f>IF($D939="","",IF(COUNTIF('Config'!$E$8:$E$15,$D939)&gt;0,"Entrada",IF(COUNTIF('Config'!$G$8:$G$23,$D939)&gt;0,"Saída","Verificar")))</f>
        <v/>
      </c>
    </row>
    <row r="940" spans="7:7" ht="16.5" customHeight="1">
      <c r="G940" s="66">
        <f>IF($D940="","",IF(COUNTIF('Config'!$E$8:$E$15,$D940)&gt;0,"Entrada",IF(COUNTIF('Config'!$G$8:$G$23,$D940)&gt;0,"Saída","Verificar")))</f>
        <v/>
      </c>
    </row>
    <row r="941" spans="7:7" ht="16.5" customHeight="1">
      <c r="G941" s="66">
        <f>IF($D941="","",IF(COUNTIF('Config'!$E$8:$E$15,$D941)&gt;0,"Entrada",IF(COUNTIF('Config'!$G$8:$G$23,$D941)&gt;0,"Saída","Verificar")))</f>
        <v/>
      </c>
    </row>
    <row r="942" spans="7:7" ht="16.5" customHeight="1">
      <c r="G942" s="66">
        <f>IF($D942="","",IF(COUNTIF('Config'!$E$8:$E$15,$D942)&gt;0,"Entrada",IF(COUNTIF('Config'!$G$8:$G$23,$D942)&gt;0,"Saída","Verificar")))</f>
        <v/>
      </c>
    </row>
    <row r="943" spans="7:7" ht="16.5" customHeight="1">
      <c r="G943" s="66">
        <f>IF($D943="","",IF(COUNTIF('Config'!$E$8:$E$15,$D943)&gt;0,"Entrada",IF(COUNTIF('Config'!$G$8:$G$23,$D943)&gt;0,"Saída","Verificar")))</f>
        <v/>
      </c>
    </row>
    <row r="944" spans="7:7" ht="16.5" customHeight="1">
      <c r="G944" s="66">
        <f>IF($D944="","",IF(COUNTIF('Config'!$E$8:$E$15,$D944)&gt;0,"Entrada",IF(COUNTIF('Config'!$G$8:$G$23,$D944)&gt;0,"Saída","Verificar")))</f>
        <v/>
      </c>
    </row>
    <row r="945" spans="7:7" ht="16.5" customHeight="1">
      <c r="G945" s="66">
        <f>IF($D945="","",IF(COUNTIF('Config'!$E$8:$E$15,$D945)&gt;0,"Entrada",IF(COUNTIF('Config'!$G$8:$G$23,$D945)&gt;0,"Saída","Verificar")))</f>
        <v/>
      </c>
    </row>
    <row r="946" spans="7:7" ht="16.5" customHeight="1">
      <c r="G946" s="66">
        <f>IF($D946="","",IF(COUNTIF('Config'!$E$8:$E$15,$D946)&gt;0,"Entrada",IF(COUNTIF('Config'!$G$8:$G$23,$D946)&gt;0,"Saída","Verificar")))</f>
        <v/>
      </c>
    </row>
    <row r="947" spans="7:7" ht="16.5" customHeight="1">
      <c r="G947" s="66">
        <f>IF($D947="","",IF(COUNTIF('Config'!$E$8:$E$15,$D947)&gt;0,"Entrada",IF(COUNTIF('Config'!$G$8:$G$23,$D947)&gt;0,"Saída","Verificar")))</f>
        <v/>
      </c>
    </row>
    <row r="948" spans="7:7" ht="16.5" customHeight="1">
      <c r="G948" s="66">
        <f>IF($D948="","",IF(COUNTIF('Config'!$E$8:$E$15,$D948)&gt;0,"Entrada",IF(COUNTIF('Config'!$G$8:$G$23,$D948)&gt;0,"Saída","Verificar")))</f>
        <v/>
      </c>
    </row>
    <row r="949" spans="7:7" ht="16.5" customHeight="1">
      <c r="G949" s="66">
        <f>IF($D949="","",IF(COUNTIF('Config'!$E$8:$E$15,$D949)&gt;0,"Entrada",IF(COUNTIF('Config'!$G$8:$G$23,$D949)&gt;0,"Saída","Verificar")))</f>
        <v/>
      </c>
    </row>
    <row r="950" spans="7:7" ht="16.5" customHeight="1">
      <c r="G950" s="66">
        <f>IF($D950="","",IF(COUNTIF('Config'!$E$8:$E$15,$D950)&gt;0,"Entrada",IF(COUNTIF('Config'!$G$8:$G$23,$D950)&gt;0,"Saída","Verificar")))</f>
        <v/>
      </c>
    </row>
    <row r="951" spans="7:7" ht="16.5" customHeight="1">
      <c r="G951" s="66">
        <f>IF($D951="","",IF(COUNTIF('Config'!$E$8:$E$15,$D951)&gt;0,"Entrada",IF(COUNTIF('Config'!$G$8:$G$23,$D951)&gt;0,"Saída","Verificar")))</f>
        <v/>
      </c>
    </row>
    <row r="952" spans="7:7" ht="16.5" customHeight="1">
      <c r="G952" s="66">
        <f>IF($D952="","",IF(COUNTIF('Config'!$E$8:$E$15,$D952)&gt;0,"Entrada",IF(COUNTIF('Config'!$G$8:$G$23,$D952)&gt;0,"Saída","Verificar")))</f>
        <v/>
      </c>
    </row>
    <row r="953" spans="7:7" ht="16.5" customHeight="1">
      <c r="G953" s="66">
        <f>IF($D953="","",IF(COUNTIF('Config'!$E$8:$E$15,$D953)&gt;0,"Entrada",IF(COUNTIF('Config'!$G$8:$G$23,$D953)&gt;0,"Saída","Verificar")))</f>
        <v/>
      </c>
    </row>
    <row r="954" spans="7:7" ht="16.5" customHeight="1">
      <c r="G954" s="66">
        <f>IF($D954="","",IF(COUNTIF('Config'!$E$8:$E$15,$D954)&gt;0,"Entrada",IF(COUNTIF('Config'!$G$8:$G$23,$D954)&gt;0,"Saída","Verificar")))</f>
        <v/>
      </c>
    </row>
    <row r="955" spans="7:7" ht="16.5" customHeight="1">
      <c r="G955" s="66">
        <f>IF($D955="","",IF(COUNTIF('Config'!$E$8:$E$15,$D955)&gt;0,"Entrada",IF(COUNTIF('Config'!$G$8:$G$23,$D955)&gt;0,"Saída","Verificar")))</f>
        <v/>
      </c>
    </row>
    <row r="956" spans="7:7" ht="16.5" customHeight="1">
      <c r="G956" s="66">
        <f>IF($D956="","",IF(COUNTIF('Config'!$E$8:$E$15,$D956)&gt;0,"Entrada",IF(COUNTIF('Config'!$G$8:$G$23,$D956)&gt;0,"Saída","Verificar")))</f>
        <v/>
      </c>
    </row>
    <row r="957" spans="7:7" ht="16.5" customHeight="1">
      <c r="G957" s="66">
        <f>IF($D957="","",IF(COUNTIF('Config'!$E$8:$E$15,$D957)&gt;0,"Entrada",IF(COUNTIF('Config'!$G$8:$G$23,$D957)&gt;0,"Saída","Verificar")))</f>
        <v/>
      </c>
    </row>
    <row r="958" spans="7:7" ht="16.5" customHeight="1">
      <c r="G958" s="66">
        <f>IF($D958="","",IF(COUNTIF('Config'!$E$8:$E$15,$D958)&gt;0,"Entrada",IF(COUNTIF('Config'!$G$8:$G$23,$D958)&gt;0,"Saída","Verificar")))</f>
        <v/>
      </c>
    </row>
    <row r="959" spans="7:7" ht="16.5" customHeight="1">
      <c r="G959" s="66">
        <f>IF($D959="","",IF(COUNTIF('Config'!$E$8:$E$15,$D959)&gt;0,"Entrada",IF(COUNTIF('Config'!$G$8:$G$23,$D959)&gt;0,"Saída","Verificar")))</f>
        <v/>
      </c>
    </row>
    <row r="960" spans="7:7" ht="16.5" customHeight="1">
      <c r="G960" s="66">
        <f>IF($D960="","",IF(COUNTIF('Config'!$E$8:$E$15,$D960)&gt;0,"Entrada",IF(COUNTIF('Config'!$G$8:$G$23,$D960)&gt;0,"Saída","Verificar")))</f>
        <v/>
      </c>
    </row>
    <row r="961" spans="7:7" ht="16.5" customHeight="1">
      <c r="G961" s="66">
        <f>IF($D961="","",IF(COUNTIF('Config'!$E$8:$E$15,$D961)&gt;0,"Entrada",IF(COUNTIF('Config'!$G$8:$G$23,$D961)&gt;0,"Saída","Verificar")))</f>
        <v/>
      </c>
    </row>
    <row r="962" spans="7:7" ht="16.5" customHeight="1">
      <c r="G962" s="66">
        <f>IF($D962="","",IF(COUNTIF('Config'!$E$8:$E$15,$D962)&gt;0,"Entrada",IF(COUNTIF('Config'!$G$8:$G$23,$D962)&gt;0,"Saída","Verificar")))</f>
        <v/>
      </c>
    </row>
    <row r="963" spans="7:7" ht="16.5" customHeight="1">
      <c r="G963" s="66">
        <f>IF($D963="","",IF(COUNTIF('Config'!$E$8:$E$15,$D963)&gt;0,"Entrada",IF(COUNTIF('Config'!$G$8:$G$23,$D963)&gt;0,"Saída","Verificar")))</f>
        <v/>
      </c>
    </row>
    <row r="964" spans="7:7" ht="16.5" customHeight="1">
      <c r="G964" s="66">
        <f>IF($D964="","",IF(COUNTIF('Config'!$E$8:$E$15,$D964)&gt;0,"Entrada",IF(COUNTIF('Config'!$G$8:$G$23,$D964)&gt;0,"Saída","Verificar")))</f>
        <v/>
      </c>
    </row>
    <row r="965" spans="7:7" ht="16.5" customHeight="1">
      <c r="G965" s="66">
        <f>IF($D965="","",IF(COUNTIF('Config'!$E$8:$E$15,$D965)&gt;0,"Entrada",IF(COUNTIF('Config'!$G$8:$G$23,$D965)&gt;0,"Saída","Verificar")))</f>
        <v/>
      </c>
    </row>
    <row r="966" spans="7:7" ht="16.5" customHeight="1">
      <c r="G966" s="66">
        <f>IF($D966="","",IF(COUNTIF('Config'!$E$8:$E$15,$D966)&gt;0,"Entrada",IF(COUNTIF('Config'!$G$8:$G$23,$D966)&gt;0,"Saída","Verificar")))</f>
        <v/>
      </c>
    </row>
    <row r="967" spans="7:7" ht="16.5" customHeight="1">
      <c r="G967" s="66">
        <f>IF($D967="","",IF(COUNTIF('Config'!$E$8:$E$15,$D967)&gt;0,"Entrada",IF(COUNTIF('Config'!$G$8:$G$23,$D967)&gt;0,"Saída","Verificar")))</f>
        <v/>
      </c>
    </row>
    <row r="968" spans="7:7" ht="16.5" customHeight="1">
      <c r="G968" s="66">
        <f>IF($D968="","",IF(COUNTIF('Config'!$E$8:$E$15,$D968)&gt;0,"Entrada",IF(COUNTIF('Config'!$G$8:$G$23,$D968)&gt;0,"Saída","Verificar")))</f>
        <v/>
      </c>
    </row>
    <row r="969" spans="7:7" ht="16.5" customHeight="1">
      <c r="G969" s="66">
        <f>IF($D969="","",IF(COUNTIF('Config'!$E$8:$E$15,$D969)&gt;0,"Entrada",IF(COUNTIF('Config'!$G$8:$G$23,$D969)&gt;0,"Saída","Verificar")))</f>
        <v/>
      </c>
    </row>
    <row r="970" spans="7:7" ht="16.5" customHeight="1">
      <c r="G970" s="66">
        <f>IF($D970="","",IF(COUNTIF('Config'!$E$8:$E$15,$D970)&gt;0,"Entrada",IF(COUNTIF('Config'!$G$8:$G$23,$D970)&gt;0,"Saída","Verificar")))</f>
        <v/>
      </c>
    </row>
    <row r="971" spans="7:7" ht="16.5" customHeight="1">
      <c r="G971" s="66">
        <f>IF($D971="","",IF(COUNTIF('Config'!$E$8:$E$15,$D971)&gt;0,"Entrada",IF(COUNTIF('Config'!$G$8:$G$23,$D971)&gt;0,"Saída","Verificar")))</f>
        <v/>
      </c>
    </row>
    <row r="972" spans="7:7" ht="16.5" customHeight="1">
      <c r="G972" s="66">
        <f>IF($D972="","",IF(COUNTIF('Config'!$E$8:$E$15,$D972)&gt;0,"Entrada",IF(COUNTIF('Config'!$G$8:$G$23,$D972)&gt;0,"Saída","Verificar")))</f>
        <v/>
      </c>
    </row>
    <row r="973" spans="7:7" ht="16.5" customHeight="1">
      <c r="G973" s="66">
        <f>IF($D973="","",IF(COUNTIF('Config'!$E$8:$E$15,$D973)&gt;0,"Entrada",IF(COUNTIF('Config'!$G$8:$G$23,$D973)&gt;0,"Saída","Verificar")))</f>
        <v/>
      </c>
    </row>
    <row r="974" spans="7:7" ht="16.5" customHeight="1">
      <c r="G974" s="66">
        <f>IF($D974="","",IF(COUNTIF('Config'!$E$8:$E$15,$D974)&gt;0,"Entrada",IF(COUNTIF('Config'!$G$8:$G$23,$D974)&gt;0,"Saída","Verificar")))</f>
        <v/>
      </c>
    </row>
    <row r="975" spans="7:7" ht="16.5" customHeight="1">
      <c r="G975" s="66">
        <f>IF($D975="","",IF(COUNTIF('Config'!$E$8:$E$15,$D975)&gt;0,"Entrada",IF(COUNTIF('Config'!$G$8:$G$23,$D975)&gt;0,"Saída","Verificar")))</f>
        <v/>
      </c>
    </row>
    <row r="976" spans="7:7" ht="16.5" customHeight="1">
      <c r="G976" s="66">
        <f>IF($D976="","",IF(COUNTIF('Config'!$E$8:$E$15,$D976)&gt;0,"Entrada",IF(COUNTIF('Config'!$G$8:$G$23,$D976)&gt;0,"Saída","Verificar")))</f>
        <v/>
      </c>
    </row>
    <row r="977" spans="7:7" ht="16.5" customHeight="1">
      <c r="G977" s="66">
        <f>IF($D977="","",IF(COUNTIF('Config'!$E$8:$E$15,$D977)&gt;0,"Entrada",IF(COUNTIF('Config'!$G$8:$G$23,$D977)&gt;0,"Saída","Verificar")))</f>
        <v/>
      </c>
    </row>
    <row r="978" spans="7:7" ht="16.5" customHeight="1">
      <c r="G978" s="66">
        <f>IF($D978="","",IF(COUNTIF('Config'!$E$8:$E$15,$D978)&gt;0,"Entrada",IF(COUNTIF('Config'!$G$8:$G$23,$D978)&gt;0,"Saída","Verificar")))</f>
        <v/>
      </c>
    </row>
    <row r="979" spans="7:7" ht="16.5" customHeight="1">
      <c r="G979" s="66">
        <f>IF($D979="","",IF(COUNTIF('Config'!$E$8:$E$15,$D979)&gt;0,"Entrada",IF(COUNTIF('Config'!$G$8:$G$23,$D979)&gt;0,"Saída","Verificar")))</f>
        <v/>
      </c>
    </row>
    <row r="980" spans="7:7" ht="16.5" customHeight="1">
      <c r="G980" s="66">
        <f>IF($D980="","",IF(COUNTIF('Config'!$E$8:$E$15,$D980)&gt;0,"Entrada",IF(COUNTIF('Config'!$G$8:$G$23,$D980)&gt;0,"Saída","Verificar")))</f>
        <v/>
      </c>
    </row>
    <row r="981" spans="7:7" ht="16.5" customHeight="1">
      <c r="G981" s="66">
        <f>IF($D981="","",IF(COUNTIF('Config'!$E$8:$E$15,$D981)&gt;0,"Entrada",IF(COUNTIF('Config'!$G$8:$G$23,$D981)&gt;0,"Saída","Verificar")))</f>
        <v/>
      </c>
    </row>
    <row r="982" spans="7:7" ht="16.5" customHeight="1">
      <c r="G982" s="66">
        <f>IF($D982="","",IF(COUNTIF('Config'!$E$8:$E$15,$D982)&gt;0,"Entrada",IF(COUNTIF('Config'!$G$8:$G$23,$D982)&gt;0,"Saída","Verificar")))</f>
        <v/>
      </c>
    </row>
    <row r="983" spans="7:7" ht="16.5" customHeight="1">
      <c r="G983" s="66">
        <f>IF($D983="","",IF(COUNTIF('Config'!$E$8:$E$15,$D983)&gt;0,"Entrada",IF(COUNTIF('Config'!$G$8:$G$23,$D983)&gt;0,"Saída","Verificar")))</f>
        <v/>
      </c>
    </row>
    <row r="984" spans="7:7" ht="16.5" customHeight="1">
      <c r="G984" s="66">
        <f>IF($D984="","",IF(COUNTIF('Config'!$E$8:$E$15,$D984)&gt;0,"Entrada",IF(COUNTIF('Config'!$G$8:$G$23,$D984)&gt;0,"Saída","Verificar")))</f>
        <v/>
      </c>
    </row>
    <row r="985" spans="7:7" ht="16.5" customHeight="1">
      <c r="G985" s="66">
        <f>IF($D985="","",IF(COUNTIF('Config'!$E$8:$E$15,$D985)&gt;0,"Entrada",IF(COUNTIF('Config'!$G$8:$G$23,$D985)&gt;0,"Saída","Verificar")))</f>
        <v/>
      </c>
    </row>
    <row r="986" spans="7:7" ht="16.5" customHeight="1">
      <c r="G986" s="66">
        <f>IF($D986="","",IF(COUNTIF('Config'!$E$8:$E$15,$D986)&gt;0,"Entrada",IF(COUNTIF('Config'!$G$8:$G$23,$D986)&gt;0,"Saída","Verificar")))</f>
        <v/>
      </c>
    </row>
    <row r="987" spans="7:7" ht="16.5" customHeight="1">
      <c r="G987" s="66">
        <f>IF($D987="","",IF(COUNTIF('Config'!$E$8:$E$15,$D987)&gt;0,"Entrada",IF(COUNTIF('Config'!$G$8:$G$23,$D987)&gt;0,"Saída","Verificar")))</f>
        <v/>
      </c>
    </row>
    <row r="988" spans="7:7" ht="16.5" customHeight="1">
      <c r="G988" s="66">
        <f>IF($D988="","",IF(COUNTIF('Config'!$E$8:$E$15,$D988)&gt;0,"Entrada",IF(COUNTIF('Config'!$G$8:$G$23,$D988)&gt;0,"Saída","Verificar")))</f>
        <v/>
      </c>
    </row>
    <row r="989" spans="7:7" ht="16.5" customHeight="1">
      <c r="G989" s="66">
        <f>IF($D989="","",IF(COUNTIF('Config'!$E$8:$E$15,$D989)&gt;0,"Entrada",IF(COUNTIF('Config'!$G$8:$G$23,$D989)&gt;0,"Saída","Verificar")))</f>
        <v/>
      </c>
    </row>
    <row r="990" spans="7:7" ht="16.5" customHeight="1">
      <c r="G990" s="66">
        <f>IF($D990="","",IF(COUNTIF('Config'!$E$8:$E$15,$D990)&gt;0,"Entrada",IF(COUNTIF('Config'!$G$8:$G$23,$D990)&gt;0,"Saída","Verificar")))</f>
        <v/>
      </c>
    </row>
    <row r="991" spans="7:7" ht="16.5" customHeight="1">
      <c r="G991" s="66">
        <f>IF($D991="","",IF(COUNTIF('Config'!$E$8:$E$15,$D991)&gt;0,"Entrada",IF(COUNTIF('Config'!$G$8:$G$23,$D991)&gt;0,"Saída","Verificar")))</f>
        <v/>
      </c>
    </row>
    <row r="992" spans="7:7" ht="16.5" customHeight="1">
      <c r="G992" s="66">
        <f>IF($D992="","",IF(COUNTIF('Config'!$E$8:$E$15,$D992)&gt;0,"Entrada",IF(COUNTIF('Config'!$G$8:$G$23,$D992)&gt;0,"Saída","Verificar")))</f>
        <v/>
      </c>
    </row>
    <row r="993" spans="7:7" ht="16.5" customHeight="1">
      <c r="G993" s="66">
        <f>IF($D993="","",IF(COUNTIF('Config'!$E$8:$E$15,$D993)&gt;0,"Entrada",IF(COUNTIF('Config'!$G$8:$G$23,$D993)&gt;0,"Saída","Verificar")))</f>
        <v/>
      </c>
    </row>
    <row r="994" spans="7:7" ht="16.5" customHeight="1">
      <c r="G994" s="66">
        <f>IF($D994="","",IF(COUNTIF('Config'!$E$8:$E$15,$D994)&gt;0,"Entrada",IF(COUNTIF('Config'!$G$8:$G$23,$D994)&gt;0,"Saída","Verificar")))</f>
        <v/>
      </c>
    </row>
    <row r="995" spans="7:7" ht="16.5" customHeight="1">
      <c r="G995" s="66">
        <f>IF($D995="","",IF(COUNTIF('Config'!$E$8:$E$15,$D995)&gt;0,"Entrada",IF(COUNTIF('Config'!$G$8:$G$23,$D995)&gt;0,"Saída","Verificar")))</f>
        <v/>
      </c>
    </row>
    <row r="996" spans="7:7" ht="16.5" customHeight="1">
      <c r="G996" s="66">
        <f>IF($D996="","",IF(COUNTIF('Config'!$E$8:$E$15,$D996)&gt;0,"Entrada",IF(COUNTIF('Config'!$G$8:$G$23,$D996)&gt;0,"Saída","Verificar")))</f>
        <v/>
      </c>
    </row>
    <row r="997" spans="7:7" ht="16.5" customHeight="1">
      <c r="G997" s="66">
        <f>IF($D997="","",IF(COUNTIF('Config'!$E$8:$E$15,$D997)&gt;0,"Entrada",IF(COUNTIF('Config'!$G$8:$G$23,$D997)&gt;0,"Saída","Verificar")))</f>
        <v/>
      </c>
    </row>
    <row r="998" spans="7:7" ht="16.5" customHeight="1">
      <c r="G998" s="66">
        <f>IF($D998="","",IF(COUNTIF('Config'!$E$8:$E$15,$D998)&gt;0,"Entrada",IF(COUNTIF('Config'!$G$8:$G$23,$D998)&gt;0,"Saída","Verificar")))</f>
        <v/>
      </c>
    </row>
    <row r="999" spans="7:7" ht="16.5" customHeight="1">
      <c r="G999" s="66">
        <f>IF($D999="","",IF(COUNTIF('Config'!$E$8:$E$15,$D999)&gt;0,"Entrada",IF(COUNTIF('Config'!$G$8:$G$23,$D999)&gt;0,"Saída","Verificar")))</f>
        <v/>
      </c>
    </row>
    <row r="1000" spans="7:7" ht="16.5" customHeight="1">
      <c r="G1000" s="66">
        <f>IF($D1000="","",IF(COUNTIF('Config'!$E$8:$E$15,$D1000)&gt;0,"Entrada",IF(COUNTIF('Config'!$G$8:$G$23,$D1000)&gt;0,"Saída","Verificar")))</f>
        <v/>
      </c>
    </row>
    <row r="1001" spans="7:7" ht="16.5" customHeight="1">
      <c r="G1001" s="66">
        <f>IF($D1001="","",IF(COUNTIF('Config'!$E$8:$E$15,$D1001)&gt;0,"Entrada",IF(COUNTIF('Config'!$G$8:$G$23,$D1001)&gt;0,"Saída","Verificar")))</f>
        <v/>
      </c>
    </row>
    <row r="1002" spans="7:7" ht="16.5" customHeight="1">
      <c r="G1002" s="66">
        <f>IF($D1002="","",IF(COUNTIF('Config'!$E$8:$E$15,$D1002)&gt;0,"Entrada",IF(COUNTIF('Config'!$G$8:$G$23,$D1002)&gt;0,"Saída","Verificar")))</f>
        <v/>
      </c>
    </row>
    <row r="1003" spans="7:7" ht="16.5" customHeight="1">
      <c r="G1003" s="66">
        <f>IF($D1003="","",IF(COUNTIF('Config'!$E$8:$E$15,$D1003)&gt;0,"Entrada",IF(COUNTIF('Config'!$G$8:$G$23,$D1003)&gt;0,"Saída","Verificar")))</f>
        <v/>
      </c>
    </row>
    <row r="1004" spans="7:7" ht="16.5" customHeight="1">
      <c r="G1004" s="66">
        <f>IF($D1004="","",IF(COUNTIF('Config'!$E$8:$E$15,$D1004)&gt;0,"Entrada",IF(COUNTIF('Config'!$G$8:$G$23,$D1004)&gt;0,"Saída","Verificar")))</f>
        <v/>
      </c>
    </row>
    <row r="1005" spans="7:7" ht="16.5" customHeight="1">
      <c r="G1005" s="66">
        <f>IF($D1005="","",IF(COUNTIF('Config'!$E$8:$E$15,$D1005)&gt;0,"Entrada",IF(COUNTIF('Config'!$G$8:$G$23,$D1005)&gt;0,"Saída","Verificar")))</f>
        <v/>
      </c>
    </row>
    <row r="1006" spans="7:7" ht="16.5" customHeight="1">
      <c r="G1006" s="66">
        <f>IF($D1006="","",IF(COUNTIF('Config'!$E$8:$E$15,$D1006)&gt;0,"Entrada",IF(COUNTIF('Config'!$G$8:$G$23,$D1006)&gt;0,"Saída","Verificar")))</f>
        <v/>
      </c>
    </row>
    <row r="1007" spans="7:7" ht="16.5" customHeight="1">
      <c r="G1007" s="66">
        <f>IF($D1007="","",IF(COUNTIF('Config'!$E$8:$E$15,$D1007)&gt;0,"Entrada",IF(COUNTIF('Config'!$G$8:$G$23,$D1007)&gt;0,"Saída","Verificar")))</f>
        <v/>
      </c>
    </row>
    <row r="1008" spans="7:7" ht="16.5" customHeight="1">
      <c r="G1008" s="66">
        <f>IF($D1008="","",IF(COUNTIF('Config'!$E$8:$E$15,$D1008)&gt;0,"Entrada",IF(COUNTIF('Config'!$G$8:$G$23,$D1008)&gt;0,"Saída","Verificar")))</f>
        <v/>
      </c>
    </row>
    <row r="1009" spans="7:7" ht="16.5" customHeight="1">
      <c r="G1009" s="66">
        <f>IF($D1009="","",IF(COUNTIF('Config'!$E$8:$E$15,$D1009)&gt;0,"Entrada",IF(COUNTIF('Config'!$G$8:$G$23,$D1009)&gt;0,"Saída","Verificar")))</f>
        <v/>
      </c>
    </row>
    <row r="1010" spans="7:7" ht="16.5" customHeight="1">
      <c r="G1010" s="66">
        <f>IF($D1010="","",IF(COUNTIF('Config'!$E$8:$E$15,$D1010)&gt;0,"Entrada",IF(COUNTIF('Config'!$G$8:$G$23,$D1010)&gt;0,"Saída","Verificar")))</f>
        <v/>
      </c>
    </row>
    <row r="1011" spans="7:7" ht="16.5" customHeight="1">
      <c r="G1011" s="66">
        <f>IF($D1011="","",IF(COUNTIF('Config'!$E$8:$E$15,$D1011)&gt;0,"Entrada",IF(COUNTIF('Config'!$G$8:$G$23,$D1011)&gt;0,"Saída","Verificar")))</f>
        <v/>
      </c>
    </row>
    <row r="1012" spans="7:7" ht="16.5" customHeight="1">
      <c r="G1012" s="66">
        <f>IF($D1012="","",IF(COUNTIF('Config'!$E$8:$E$15,$D1012)&gt;0,"Entrada",IF(COUNTIF('Config'!$G$8:$G$23,$D1012)&gt;0,"Saída","Verificar")))</f>
        <v/>
      </c>
    </row>
    <row r="1013" spans="7:7" ht="16.5" customHeight="1">
      <c r="G1013" s="66">
        <f>IF($D1013="","",IF(COUNTIF('Config'!$E$8:$E$15,$D1013)&gt;0,"Entrada",IF(COUNTIF('Config'!$G$8:$G$23,$D1013)&gt;0,"Saída","Verificar")))</f>
        <v/>
      </c>
    </row>
    <row r="1014" spans="7:7" ht="16.5" customHeight="1">
      <c r="G1014" s="66">
        <f>IF($D1014="","",IF(COUNTIF('Config'!$E$8:$E$15,$D1014)&gt;0,"Entrada",IF(COUNTIF('Config'!$G$8:$G$23,$D1014)&gt;0,"Saída","Verificar")))</f>
        <v/>
      </c>
    </row>
    <row r="1015" spans="7:7" ht="16.5" customHeight="1">
      <c r="G1015" s="66">
        <f>IF($D1015="","",IF(COUNTIF('Config'!$E$8:$E$15,$D1015)&gt;0,"Entrada",IF(COUNTIF('Config'!$G$8:$G$23,$D1015)&gt;0,"Saída","Verificar")))</f>
        <v/>
      </c>
    </row>
    <row r="1016" spans="7:7" ht="16.5" customHeight="1">
      <c r="G1016" s="66">
        <f>IF($D1016="","",IF(COUNTIF('Config'!$E$8:$E$15,$D1016)&gt;0,"Entrada",IF(COUNTIF('Config'!$G$8:$G$23,$D1016)&gt;0,"Saída","Verificar")))</f>
        <v/>
      </c>
    </row>
    <row r="1017" spans="7:7" ht="16.5" customHeight="1">
      <c r="G1017" s="66">
        <f>IF($D1017="","",IF(COUNTIF('Config'!$E$8:$E$15,$D1017)&gt;0,"Entrada",IF(COUNTIF('Config'!$G$8:$G$23,$D1017)&gt;0,"Saída","Verificar")))</f>
        <v/>
      </c>
    </row>
    <row r="1018" spans="7:7" ht="16.5" customHeight="1">
      <c r="G1018" s="66">
        <f>IF($D1018="","",IF(COUNTIF('Config'!$E$8:$E$15,$D1018)&gt;0,"Entrada",IF(COUNTIF('Config'!$G$8:$G$23,$D1018)&gt;0,"Saída","Verificar")))</f>
        <v/>
      </c>
    </row>
    <row r="1019" spans="7:7" ht="16.5" customHeight="1">
      <c r="G1019" s="66">
        <f>IF($D1019="","",IF(COUNTIF('Config'!$E$8:$E$15,$D1019)&gt;0,"Entrada",IF(COUNTIF('Config'!$G$8:$G$23,$D1019)&gt;0,"Saída","Verificar")))</f>
        <v/>
      </c>
    </row>
    <row r="1020" spans="7:7" ht="16.5" customHeight="1">
      <c r="G1020" s="66">
        <f>IF($D1020="","",IF(COUNTIF('Config'!$E$8:$E$15,$D1020)&gt;0,"Entrada",IF(COUNTIF('Config'!$G$8:$G$23,$D1020)&gt;0,"Saída","Verificar")))</f>
        <v/>
      </c>
    </row>
    <row r="1021" spans="7:7" ht="16.5" customHeight="1">
      <c r="G1021" s="66">
        <f>IF($D1021="","",IF(COUNTIF('Config'!$E$8:$E$15,$D1021)&gt;0,"Entrada",IF(COUNTIF('Config'!$G$8:$G$23,$D1021)&gt;0,"Saída","Verificar")))</f>
        <v/>
      </c>
    </row>
    <row r="1022" spans="7:7" ht="16.5" customHeight="1">
      <c r="G1022" s="66">
        <f>IF($D1022="","",IF(COUNTIF('Config'!$E$8:$E$15,$D1022)&gt;0,"Entrada",IF(COUNTIF('Config'!$G$8:$G$23,$D1022)&gt;0,"Saída","Verificar")))</f>
        <v/>
      </c>
    </row>
    <row r="1023" spans="7:7" ht="16.5" customHeight="1">
      <c r="G1023" s="66">
        <f>IF($D1023="","",IF(COUNTIF('Config'!$E$8:$E$15,$D1023)&gt;0,"Entrada",IF(COUNTIF('Config'!$G$8:$G$23,$D1023)&gt;0,"Saída","Verificar")))</f>
        <v/>
      </c>
    </row>
    <row r="1024" spans="7:7" ht="16.5" customHeight="1">
      <c r="G1024" s="66">
        <f>IF($D1024="","",IF(COUNTIF('Config'!$E$8:$E$15,$D1024)&gt;0,"Entrada",IF(COUNTIF('Config'!$G$8:$G$23,$D1024)&gt;0,"Saída","Verificar")))</f>
        <v/>
      </c>
    </row>
    <row r="1025" spans="7:7" ht="16.5" customHeight="1">
      <c r="G1025" s="66">
        <f>IF($D1025="","",IF(COUNTIF('Config'!$E$8:$E$15,$D1025)&gt;0,"Entrada",IF(COUNTIF('Config'!$G$8:$G$23,$D1025)&gt;0,"Saída","Verificar")))</f>
        <v/>
      </c>
    </row>
    <row r="1026" spans="7:7" ht="16.5" customHeight="1">
      <c r="G1026" s="66">
        <f>IF($D1026="","",IF(COUNTIF('Config'!$E$8:$E$15,$D1026)&gt;0,"Entrada",IF(COUNTIF('Config'!$G$8:$G$23,$D1026)&gt;0,"Saída","Verificar")))</f>
        <v/>
      </c>
    </row>
    <row r="1027" spans="7:7" ht="16.5" customHeight="1">
      <c r="G1027" s="66">
        <f>IF($D1027="","",IF(COUNTIF('Config'!$E$8:$E$15,$D1027)&gt;0,"Entrada",IF(COUNTIF('Config'!$G$8:$G$23,$D1027)&gt;0,"Saída","Verificar")))</f>
        <v/>
      </c>
    </row>
    <row r="1028" spans="7:7" ht="16.5" customHeight="1">
      <c r="G1028" s="66">
        <f>IF($D1028="","",IF(COUNTIF('Config'!$E$8:$E$15,$D1028)&gt;0,"Entrada",IF(COUNTIF('Config'!$G$8:$G$23,$D1028)&gt;0,"Saída","Verificar")))</f>
        <v/>
      </c>
    </row>
    <row r="1029" spans="7:7" ht="16.5" customHeight="1">
      <c r="G1029" s="66">
        <f>IF($D1029="","",IF(COUNTIF('Config'!$E$8:$E$15,$D1029)&gt;0,"Entrada",IF(COUNTIF('Config'!$G$8:$G$23,$D1029)&gt;0,"Saída","Verificar")))</f>
        <v/>
      </c>
    </row>
    <row r="1030" spans="7:7" ht="16.5" customHeight="1">
      <c r="G1030" s="66">
        <f>IF($D1030="","",IF(COUNTIF('Config'!$E$8:$E$15,$D1030)&gt;0,"Entrada",IF(COUNTIF('Config'!$G$8:$G$23,$D1030)&gt;0,"Saída","Verificar")))</f>
        <v/>
      </c>
    </row>
    <row r="1031" spans="7:7" ht="16.5" customHeight="1">
      <c r="G1031" s="66">
        <f>IF($D1031="","",IF(COUNTIF('Config'!$E$8:$E$15,$D1031)&gt;0,"Entrada",IF(COUNTIF('Config'!$G$8:$G$23,$D1031)&gt;0,"Saída","Verificar")))</f>
        <v/>
      </c>
    </row>
    <row r="1032" spans="7:7" ht="16.5" customHeight="1">
      <c r="G1032" s="66">
        <f>IF($D1032="","",IF(COUNTIF('Config'!$E$8:$E$15,$D1032)&gt;0,"Entrada",IF(COUNTIF('Config'!$G$8:$G$23,$D1032)&gt;0,"Saída","Verificar")))</f>
        <v/>
      </c>
    </row>
    <row r="1033" spans="7:7" ht="16.5" customHeight="1">
      <c r="G1033" s="66">
        <f>IF($D1033="","",IF(COUNTIF('Config'!$E$8:$E$15,$D1033)&gt;0,"Entrada",IF(COUNTIF('Config'!$G$8:$G$23,$D1033)&gt;0,"Saída","Verificar")))</f>
        <v/>
      </c>
    </row>
    <row r="1034" spans="7:7" ht="16.5" customHeight="1">
      <c r="G1034" s="66">
        <f>IF($D1034="","",IF(COUNTIF('Config'!$E$8:$E$15,$D1034)&gt;0,"Entrada",IF(COUNTIF('Config'!$G$8:$G$23,$D1034)&gt;0,"Saída","Verificar")))</f>
        <v/>
      </c>
    </row>
    <row r="1035" spans="7:7" ht="16.5" customHeight="1">
      <c r="G1035" s="66">
        <f>IF($D1035="","",IF(COUNTIF('Config'!$E$8:$E$15,$D1035)&gt;0,"Entrada",IF(COUNTIF('Config'!$G$8:$G$23,$D1035)&gt;0,"Saída","Verificar")))</f>
        <v/>
      </c>
    </row>
    <row r="1036" spans="7:7" ht="16.5" customHeight="1">
      <c r="G1036" s="66">
        <f>IF($D1036="","",IF(COUNTIF('Config'!$E$8:$E$15,$D1036)&gt;0,"Entrada",IF(COUNTIF('Config'!$G$8:$G$23,$D1036)&gt;0,"Saída","Verificar")))</f>
        <v/>
      </c>
    </row>
    <row r="1037" spans="7:7" ht="16.5" customHeight="1">
      <c r="G1037" s="66">
        <f>IF($D1037="","",IF(COUNTIF('Config'!$E$8:$E$15,$D1037)&gt;0,"Entrada",IF(COUNTIF('Config'!$G$8:$G$23,$D1037)&gt;0,"Saída","Verificar")))</f>
        <v/>
      </c>
    </row>
    <row r="1038" spans="7:7" ht="16.5" customHeight="1">
      <c r="G1038" s="66">
        <f>IF($D1038="","",IF(COUNTIF('Config'!$E$8:$E$15,$D1038)&gt;0,"Entrada",IF(COUNTIF('Config'!$G$8:$G$23,$D1038)&gt;0,"Saída","Verificar")))</f>
        <v/>
      </c>
    </row>
    <row r="1039" spans="7:7" ht="16.5" customHeight="1">
      <c r="G1039" s="66">
        <f>IF($D1039="","",IF(COUNTIF('Config'!$E$8:$E$15,$D1039)&gt;0,"Entrada",IF(COUNTIF('Config'!$G$8:$G$23,$D1039)&gt;0,"Saída","Verificar")))</f>
        <v/>
      </c>
    </row>
    <row r="1040" spans="7:7" ht="16.5" customHeight="1">
      <c r="G1040" s="66">
        <f>IF($D1040="","",IF(COUNTIF('Config'!$E$8:$E$15,$D1040)&gt;0,"Entrada",IF(COUNTIF('Config'!$G$8:$G$23,$D1040)&gt;0,"Saída","Verificar")))</f>
        <v/>
      </c>
    </row>
    <row r="1041" spans="7:7" ht="16.5" customHeight="1">
      <c r="G1041" s="66">
        <f>IF($D1041="","",IF(COUNTIF('Config'!$E$8:$E$15,$D1041)&gt;0,"Entrada",IF(COUNTIF('Config'!$G$8:$G$23,$D1041)&gt;0,"Saída","Verificar")))</f>
        <v/>
      </c>
    </row>
    <row r="1042" spans="7:7" ht="16.5" customHeight="1">
      <c r="G1042" s="66">
        <f>IF($D1042="","",IF(COUNTIF('Config'!$E$8:$E$15,$D1042)&gt;0,"Entrada",IF(COUNTIF('Config'!$G$8:$G$23,$D1042)&gt;0,"Saída","Verificar")))</f>
        <v/>
      </c>
    </row>
    <row r="1043" spans="7:7" ht="16.5" customHeight="1">
      <c r="G1043" s="66">
        <f>IF($D1043="","",IF(COUNTIF('Config'!$E$8:$E$15,$D1043)&gt;0,"Entrada",IF(COUNTIF('Config'!$G$8:$G$23,$D1043)&gt;0,"Saída","Verificar")))</f>
        <v/>
      </c>
    </row>
    <row r="1044" spans="7:7" ht="16.5" customHeight="1">
      <c r="G1044" s="66">
        <f>IF($D1044="","",IF(COUNTIF('Config'!$E$8:$E$15,$D1044)&gt;0,"Entrada",IF(COUNTIF('Config'!$G$8:$G$23,$D1044)&gt;0,"Saída","Verificar")))</f>
        <v/>
      </c>
    </row>
    <row r="1045" spans="7:7" ht="16.5" customHeight="1">
      <c r="G1045" s="66">
        <f>IF($D1045="","",IF(COUNTIF('Config'!$E$8:$E$15,$D1045)&gt;0,"Entrada",IF(COUNTIF('Config'!$G$8:$G$23,$D1045)&gt;0,"Saída","Verificar")))</f>
        <v/>
      </c>
    </row>
    <row r="1046" spans="7:7" ht="16.5" customHeight="1">
      <c r="G1046" s="66">
        <f>IF($D1046="","",IF(COUNTIF('Config'!$E$8:$E$15,$D1046)&gt;0,"Entrada",IF(COUNTIF('Config'!$G$8:$G$23,$D1046)&gt;0,"Saída","Verificar")))</f>
        <v/>
      </c>
    </row>
    <row r="1047" spans="7:7" ht="16.5" customHeight="1">
      <c r="G1047" s="66">
        <f>IF($D1047="","",IF(COUNTIF('Config'!$E$8:$E$15,$D1047)&gt;0,"Entrada",IF(COUNTIF('Config'!$G$8:$G$23,$D1047)&gt;0,"Saída","Verificar")))</f>
        <v/>
      </c>
    </row>
    <row r="1048" spans="7:7" ht="16.5" customHeight="1">
      <c r="G1048" s="66">
        <f>IF($D1048="","",IF(COUNTIF('Config'!$E$8:$E$15,$D1048)&gt;0,"Entrada",IF(COUNTIF('Config'!$G$8:$G$23,$D1048)&gt;0,"Saída","Verificar")))</f>
        <v/>
      </c>
    </row>
    <row r="1049" spans="7:7" ht="16.5" customHeight="1">
      <c r="G1049" s="66">
        <f>IF($D1049="","",IF(COUNTIF('Config'!$E$8:$E$15,$D1049)&gt;0,"Entrada",IF(COUNTIF('Config'!$G$8:$G$23,$D1049)&gt;0,"Saída","Verificar")))</f>
        <v/>
      </c>
    </row>
    <row r="1050" spans="7:7" ht="16.5" customHeight="1">
      <c r="G1050" s="66">
        <f>IF($D1050="","",IF(COUNTIF('Config'!$E$8:$E$15,$D1050)&gt;0,"Entrada",IF(COUNTIF('Config'!$G$8:$G$23,$D1050)&gt;0,"Saída","Verificar")))</f>
        <v/>
      </c>
    </row>
    <row r="1051" spans="7:7" ht="16.5" customHeight="1">
      <c r="G1051" s="66">
        <f>IF($D1051="","",IF(COUNTIF('Config'!$E$8:$E$15,$D1051)&gt;0,"Entrada",IF(COUNTIF('Config'!$G$8:$G$23,$D1051)&gt;0,"Saída","Verificar")))</f>
        <v/>
      </c>
    </row>
    <row r="1052" spans="7:7" ht="16.5" customHeight="1">
      <c r="G1052" s="66">
        <f>IF($D1052="","",IF(COUNTIF('Config'!$E$8:$E$15,$D1052)&gt;0,"Entrada",IF(COUNTIF('Config'!$G$8:$G$23,$D1052)&gt;0,"Saída","Verificar")))</f>
        <v/>
      </c>
    </row>
    <row r="1053" spans="7:7" ht="16.5" customHeight="1">
      <c r="G1053" s="66">
        <f>IF($D1053="","",IF(COUNTIF('Config'!$E$8:$E$15,$D1053)&gt;0,"Entrada",IF(COUNTIF('Config'!$G$8:$G$23,$D1053)&gt;0,"Saída","Verificar")))</f>
        <v/>
      </c>
    </row>
    <row r="1054" spans="7:7" ht="16.5" customHeight="1">
      <c r="G1054" s="66">
        <f>IF($D1054="","",IF(COUNTIF('Config'!$E$8:$E$15,$D1054)&gt;0,"Entrada",IF(COUNTIF('Config'!$G$8:$G$23,$D1054)&gt;0,"Saída","Verificar")))</f>
        <v/>
      </c>
    </row>
    <row r="1055" spans="7:7" ht="16.5" customHeight="1">
      <c r="G1055" s="66">
        <f>IF($D1055="","",IF(COUNTIF('Config'!$E$8:$E$15,$D1055)&gt;0,"Entrada",IF(COUNTIF('Config'!$G$8:$G$23,$D1055)&gt;0,"Saída","Verificar")))</f>
        <v/>
      </c>
    </row>
    <row r="1056" spans="7:7" ht="16.5" customHeight="1">
      <c r="G1056" s="66">
        <f>IF($D1056="","",IF(COUNTIF('Config'!$E$8:$E$15,$D1056)&gt;0,"Entrada",IF(COUNTIF('Config'!$G$8:$G$23,$D1056)&gt;0,"Saída","Verificar")))</f>
        <v/>
      </c>
    </row>
    <row r="1057" spans="7:7" ht="16.5" customHeight="1">
      <c r="G1057" s="66">
        <f>IF($D1057="","",IF(COUNTIF('Config'!$E$8:$E$15,$D1057)&gt;0,"Entrada",IF(COUNTIF('Config'!$G$8:$G$23,$D1057)&gt;0,"Saída","Verificar")))</f>
        <v/>
      </c>
    </row>
    <row r="1058" spans="7:7" ht="16.5" customHeight="1">
      <c r="G1058" s="66">
        <f>IF($D1058="","",IF(COUNTIF('Config'!$E$8:$E$15,$D1058)&gt;0,"Entrada",IF(COUNTIF('Config'!$G$8:$G$23,$D1058)&gt;0,"Saída","Verificar")))</f>
        <v/>
      </c>
    </row>
    <row r="1059" spans="7:7" ht="16.5" customHeight="1">
      <c r="G1059" s="66">
        <f>IF($D1059="","",IF(COUNTIF('Config'!$E$8:$E$15,$D1059)&gt;0,"Entrada",IF(COUNTIF('Config'!$G$8:$G$23,$D1059)&gt;0,"Saída","Verificar")))</f>
        <v/>
      </c>
    </row>
    <row r="1060" spans="7:7" ht="16.5" customHeight="1">
      <c r="G1060" s="66">
        <f>IF($D1060="","",IF(COUNTIF('Config'!$E$8:$E$15,$D1060)&gt;0,"Entrada",IF(COUNTIF('Config'!$G$8:$G$23,$D1060)&gt;0,"Saída","Verificar")))</f>
        <v/>
      </c>
    </row>
    <row r="1061" spans="7:7" ht="16.5" customHeight="1">
      <c r="G1061" s="66">
        <f>IF($D1061="","",IF(COUNTIF('Config'!$E$8:$E$15,$D1061)&gt;0,"Entrada",IF(COUNTIF('Config'!$G$8:$G$23,$D1061)&gt;0,"Saída","Verificar")))</f>
        <v/>
      </c>
    </row>
    <row r="1062" spans="7:7" ht="16.5" customHeight="1">
      <c r="G1062" s="66">
        <f>IF($D1062="","",IF(COUNTIF('Config'!$E$8:$E$15,$D1062)&gt;0,"Entrada",IF(COUNTIF('Config'!$G$8:$G$23,$D1062)&gt;0,"Saída","Verificar")))</f>
        <v/>
      </c>
    </row>
    <row r="1063" spans="7:7" ht="16.5" customHeight="1">
      <c r="G1063" s="66">
        <f>IF($D1063="","",IF(COUNTIF('Config'!$E$8:$E$15,$D1063)&gt;0,"Entrada",IF(COUNTIF('Config'!$G$8:$G$23,$D1063)&gt;0,"Saída","Verificar")))</f>
        <v/>
      </c>
    </row>
    <row r="1064" spans="7:7" ht="16.5" customHeight="1">
      <c r="G1064" s="66">
        <f>IF($D1064="","",IF(COUNTIF('Config'!$E$8:$E$15,$D1064)&gt;0,"Entrada",IF(COUNTIF('Config'!$G$8:$G$23,$D1064)&gt;0,"Saída","Verificar")))</f>
        <v/>
      </c>
    </row>
    <row r="1065" spans="7:7" ht="16.5" customHeight="1">
      <c r="G1065" s="66">
        <f>IF($D1065="","",IF(COUNTIF('Config'!$E$8:$E$15,$D1065)&gt;0,"Entrada",IF(COUNTIF('Config'!$G$8:$G$23,$D1065)&gt;0,"Saída","Verificar")))</f>
        <v/>
      </c>
    </row>
    <row r="1066" spans="7:7" ht="16.5" customHeight="1">
      <c r="G1066" s="66">
        <f>IF($D1066="","",IF(COUNTIF('Config'!$E$8:$E$15,$D1066)&gt;0,"Entrada",IF(COUNTIF('Config'!$G$8:$G$23,$D1066)&gt;0,"Saída","Verificar")))</f>
        <v/>
      </c>
    </row>
    <row r="1067" spans="7:7" ht="16.5" customHeight="1">
      <c r="G1067" s="66">
        <f>IF($D1067="","",IF(COUNTIF('Config'!$E$8:$E$15,$D1067)&gt;0,"Entrada",IF(COUNTIF('Config'!$G$8:$G$23,$D1067)&gt;0,"Saída","Verificar")))</f>
        <v/>
      </c>
    </row>
    <row r="1068" spans="7:7" ht="16.5" customHeight="1">
      <c r="G1068" s="66">
        <f>IF($D1068="","",IF(COUNTIF('Config'!$E$8:$E$15,$D1068)&gt;0,"Entrada",IF(COUNTIF('Config'!$G$8:$G$23,$D1068)&gt;0,"Saída","Verificar")))</f>
        <v/>
      </c>
    </row>
    <row r="1069" spans="7:7" ht="16.5" customHeight="1">
      <c r="G1069" s="66">
        <f>IF($D1069="","",IF(COUNTIF('Config'!$E$8:$E$15,$D1069)&gt;0,"Entrada",IF(COUNTIF('Config'!$G$8:$G$23,$D1069)&gt;0,"Saída","Verificar")))</f>
        <v/>
      </c>
    </row>
    <row r="1070" spans="7:7" ht="16.5" customHeight="1">
      <c r="G1070" s="66">
        <f>IF($D1070="","",IF(COUNTIF('Config'!$E$8:$E$15,$D1070)&gt;0,"Entrada",IF(COUNTIF('Config'!$G$8:$G$23,$D1070)&gt;0,"Saída","Verificar")))</f>
        <v/>
      </c>
    </row>
    <row r="1071" spans="7:7" ht="16.5" customHeight="1">
      <c r="G1071" s="66">
        <f>IF($D1071="","",IF(COUNTIF('Config'!$E$8:$E$15,$D1071)&gt;0,"Entrada",IF(COUNTIF('Config'!$G$8:$G$23,$D1071)&gt;0,"Saída","Verificar")))</f>
        <v/>
      </c>
    </row>
    <row r="1072" spans="7:7" ht="16.5" customHeight="1">
      <c r="G1072" s="66">
        <f>IF($D1072="","",IF(COUNTIF('Config'!$E$8:$E$15,$D1072)&gt;0,"Entrada",IF(COUNTIF('Config'!$G$8:$G$23,$D1072)&gt;0,"Saída","Verificar")))</f>
        <v/>
      </c>
    </row>
    <row r="1073" spans="7:7" ht="16.5" customHeight="1">
      <c r="G1073" s="66">
        <f>IF($D1073="","",IF(COUNTIF('Config'!$E$8:$E$15,$D1073)&gt;0,"Entrada",IF(COUNTIF('Config'!$G$8:$G$23,$D1073)&gt;0,"Saída","Verificar")))</f>
        <v/>
      </c>
    </row>
    <row r="1074" spans="7:7" ht="16.5" customHeight="1">
      <c r="G1074" s="66">
        <f>IF($D1074="","",IF(COUNTIF('Config'!$E$8:$E$15,$D1074)&gt;0,"Entrada",IF(COUNTIF('Config'!$G$8:$G$23,$D1074)&gt;0,"Saída","Verificar")))</f>
        <v/>
      </c>
    </row>
    <row r="1075" spans="7:7" ht="16.5" customHeight="1">
      <c r="G1075" s="66">
        <f>IF($D1075="","",IF(COUNTIF('Config'!$E$8:$E$15,$D1075)&gt;0,"Entrada",IF(COUNTIF('Config'!$G$8:$G$23,$D1075)&gt;0,"Saída","Verificar")))</f>
        <v/>
      </c>
    </row>
    <row r="1076" spans="7:7" ht="16.5" customHeight="1">
      <c r="G1076" s="66">
        <f>IF($D1076="","",IF(COUNTIF('Config'!$E$8:$E$15,$D1076)&gt;0,"Entrada",IF(COUNTIF('Config'!$G$8:$G$23,$D1076)&gt;0,"Saída","Verificar")))</f>
        <v/>
      </c>
    </row>
    <row r="1077" spans="7:7" ht="16.5" customHeight="1">
      <c r="G1077" s="66">
        <f>IF($D1077="","",IF(COUNTIF('Config'!$E$8:$E$15,$D1077)&gt;0,"Entrada",IF(COUNTIF('Config'!$G$8:$G$23,$D1077)&gt;0,"Saída","Verificar")))</f>
        <v/>
      </c>
    </row>
    <row r="1078" spans="7:7" ht="16.5" customHeight="1">
      <c r="G1078" s="66">
        <f>IF($D1078="","",IF(COUNTIF('Config'!$E$8:$E$15,$D1078)&gt;0,"Entrada",IF(COUNTIF('Config'!$G$8:$G$23,$D1078)&gt;0,"Saída","Verificar")))</f>
        <v/>
      </c>
    </row>
    <row r="1079" spans="7:7" ht="16.5" customHeight="1">
      <c r="G1079" s="66">
        <f>IF($D1079="","",IF(COUNTIF('Config'!$E$8:$E$15,$D1079)&gt;0,"Entrada",IF(COUNTIF('Config'!$G$8:$G$23,$D1079)&gt;0,"Saída","Verificar")))</f>
        <v/>
      </c>
    </row>
    <row r="1080" spans="7:7" ht="16.5" customHeight="1">
      <c r="G1080" s="66">
        <f>IF($D1080="","",IF(COUNTIF('Config'!$E$8:$E$15,$D1080)&gt;0,"Entrada",IF(COUNTIF('Config'!$G$8:$G$23,$D1080)&gt;0,"Saída","Verificar")))</f>
        <v/>
      </c>
    </row>
    <row r="1081" spans="7:7" ht="16.5" customHeight="1">
      <c r="G1081" s="66">
        <f>IF($D1081="","",IF(COUNTIF('Config'!$E$8:$E$15,$D1081)&gt;0,"Entrada",IF(COUNTIF('Config'!$G$8:$G$23,$D1081)&gt;0,"Saída","Verificar")))</f>
        <v/>
      </c>
    </row>
    <row r="1082" spans="7:7" ht="16.5" customHeight="1">
      <c r="G1082" s="66">
        <f>IF($D1082="","",IF(COUNTIF('Config'!$E$8:$E$15,$D1082)&gt;0,"Entrada",IF(COUNTIF('Config'!$G$8:$G$23,$D1082)&gt;0,"Saída","Verificar")))</f>
        <v/>
      </c>
    </row>
    <row r="1083" spans="7:7" ht="16.5" customHeight="1">
      <c r="G1083" s="66">
        <f>IF($D1083="","",IF(COUNTIF('Config'!$E$8:$E$15,$D1083)&gt;0,"Entrada",IF(COUNTIF('Config'!$G$8:$G$23,$D1083)&gt;0,"Saída","Verificar")))</f>
        <v/>
      </c>
    </row>
    <row r="1084" spans="7:7" ht="16.5" customHeight="1">
      <c r="G1084" s="66">
        <f>IF($D1084="","",IF(COUNTIF('Config'!$E$8:$E$15,$D1084)&gt;0,"Entrada",IF(COUNTIF('Config'!$G$8:$G$23,$D1084)&gt;0,"Saída","Verificar")))</f>
        <v/>
      </c>
    </row>
    <row r="1085" spans="7:7" ht="16.5" customHeight="1">
      <c r="G1085" s="66">
        <f>IF($D1085="","",IF(COUNTIF('Config'!$E$8:$E$15,$D1085)&gt;0,"Entrada",IF(COUNTIF('Config'!$G$8:$G$23,$D1085)&gt;0,"Saída","Verificar")))</f>
        <v/>
      </c>
    </row>
    <row r="1086" spans="7:7" ht="16.5" customHeight="1">
      <c r="G1086" s="66">
        <f>IF($D1086="","",IF(COUNTIF('Config'!$E$8:$E$15,$D1086)&gt;0,"Entrada",IF(COUNTIF('Config'!$G$8:$G$23,$D1086)&gt;0,"Saída","Verificar")))</f>
        <v/>
      </c>
    </row>
    <row r="1087" spans="7:7" ht="16.5" customHeight="1">
      <c r="G1087" s="66">
        <f>IF($D1087="","",IF(COUNTIF('Config'!$E$8:$E$15,$D1087)&gt;0,"Entrada",IF(COUNTIF('Config'!$G$8:$G$23,$D1087)&gt;0,"Saída","Verificar")))</f>
        <v/>
      </c>
    </row>
    <row r="1088" spans="7:7" ht="16.5" customHeight="1">
      <c r="G1088" s="66">
        <f>IF($D1088="","",IF(COUNTIF('Config'!$E$8:$E$15,$D1088)&gt;0,"Entrada",IF(COUNTIF('Config'!$G$8:$G$23,$D1088)&gt;0,"Saída","Verificar")))</f>
        <v/>
      </c>
    </row>
    <row r="1089" spans="7:7" ht="16.5" customHeight="1">
      <c r="G1089" s="66">
        <f>IF($D1089="","",IF(COUNTIF('Config'!$E$8:$E$15,$D1089)&gt;0,"Entrada",IF(COUNTIF('Config'!$G$8:$G$23,$D1089)&gt;0,"Saída","Verificar")))</f>
        <v/>
      </c>
    </row>
    <row r="1090" spans="7:7" ht="16.5" customHeight="1">
      <c r="G1090" s="66">
        <f>IF($D1090="","",IF(COUNTIF('Config'!$E$8:$E$15,$D1090)&gt;0,"Entrada",IF(COUNTIF('Config'!$G$8:$G$23,$D1090)&gt;0,"Saída","Verificar")))</f>
        <v/>
      </c>
    </row>
    <row r="1091" spans="7:7" ht="16.5" customHeight="1">
      <c r="G1091" s="66">
        <f>IF($D1091="","",IF(COUNTIF('Config'!$E$8:$E$15,$D1091)&gt;0,"Entrada",IF(COUNTIF('Config'!$G$8:$G$23,$D1091)&gt;0,"Saída","Verificar")))</f>
        <v/>
      </c>
    </row>
    <row r="1092" spans="7:7" ht="16.5" customHeight="1">
      <c r="G1092" s="66">
        <f>IF($D1092="","",IF(COUNTIF('Config'!$E$8:$E$15,$D1092)&gt;0,"Entrada",IF(COUNTIF('Config'!$G$8:$G$23,$D1092)&gt;0,"Saída","Verificar")))</f>
        <v/>
      </c>
    </row>
    <row r="1093" spans="7:7" ht="16.5" customHeight="1">
      <c r="G1093" s="66">
        <f>IF($D1093="","",IF(COUNTIF('Config'!$E$8:$E$15,$D1093)&gt;0,"Entrada",IF(COUNTIF('Config'!$G$8:$G$23,$D1093)&gt;0,"Saída","Verificar")))</f>
        <v/>
      </c>
    </row>
    <row r="1094" spans="7:7" ht="16.5" customHeight="1">
      <c r="G1094" s="66">
        <f>IF($D1094="","",IF(COUNTIF('Config'!$E$8:$E$15,$D1094)&gt;0,"Entrada",IF(COUNTIF('Config'!$G$8:$G$23,$D1094)&gt;0,"Saída","Verificar")))</f>
        <v/>
      </c>
    </row>
    <row r="1095" spans="7:7" ht="16.5" customHeight="1">
      <c r="G1095" s="66">
        <f>IF($D1095="","",IF(COUNTIF('Config'!$E$8:$E$15,$D1095)&gt;0,"Entrada",IF(COUNTIF('Config'!$G$8:$G$23,$D1095)&gt;0,"Saída","Verificar")))</f>
        <v/>
      </c>
    </row>
    <row r="1096" spans="7:7" ht="16.5" customHeight="1">
      <c r="G1096" s="66">
        <f>IF($D1096="","",IF(COUNTIF('Config'!$E$8:$E$15,$D1096)&gt;0,"Entrada",IF(COUNTIF('Config'!$G$8:$G$23,$D1096)&gt;0,"Saída","Verificar")))</f>
        <v/>
      </c>
    </row>
    <row r="1097" spans="7:7" ht="16.5" customHeight="1">
      <c r="G1097" s="66">
        <f>IF($D1097="","",IF(COUNTIF('Config'!$E$8:$E$15,$D1097)&gt;0,"Entrada",IF(COUNTIF('Config'!$G$8:$G$23,$D1097)&gt;0,"Saída","Verificar")))</f>
        <v/>
      </c>
    </row>
    <row r="1098" spans="7:7" ht="16.5" customHeight="1">
      <c r="G1098" s="66">
        <f>IF($D1098="","",IF(COUNTIF('Config'!$E$8:$E$15,$D1098)&gt;0,"Entrada",IF(COUNTIF('Config'!$G$8:$G$23,$D1098)&gt;0,"Saída","Verificar")))</f>
        <v/>
      </c>
    </row>
    <row r="1099" spans="7:7" ht="16.5" customHeight="1">
      <c r="G1099" s="66">
        <f>IF($D1099="","",IF(COUNTIF('Config'!$E$8:$E$15,$D1099)&gt;0,"Entrada",IF(COUNTIF('Config'!$G$8:$G$23,$D1099)&gt;0,"Saída","Verificar")))</f>
        <v/>
      </c>
    </row>
    <row r="1100" spans="7:7" ht="16.5" customHeight="1">
      <c r="G1100" s="66">
        <f>IF($D1100="","",IF(COUNTIF('Config'!$E$8:$E$15,$D1100)&gt;0,"Entrada",IF(COUNTIF('Config'!$G$8:$G$23,$D1100)&gt;0,"Saída","Verificar")))</f>
        <v/>
      </c>
    </row>
    <row r="1101" spans="7:7" ht="16.5" customHeight="1">
      <c r="G1101" s="66">
        <f>IF($D1101="","",IF(COUNTIF('Config'!$E$8:$E$15,$D1101)&gt;0,"Entrada",IF(COUNTIF('Config'!$G$8:$G$23,$D1101)&gt;0,"Saída","Verificar")))</f>
        <v/>
      </c>
    </row>
    <row r="1102" spans="7:7" ht="16.5" customHeight="1">
      <c r="G1102" s="66">
        <f>IF($D1102="","",IF(COUNTIF('Config'!$E$8:$E$15,$D1102)&gt;0,"Entrada",IF(COUNTIF('Config'!$G$8:$G$23,$D1102)&gt;0,"Saída","Verificar")))</f>
        <v/>
      </c>
    </row>
    <row r="1103" spans="7:7" ht="16.5" customHeight="1">
      <c r="G1103" s="66">
        <f>IF($D1103="","",IF(COUNTIF('Config'!$E$8:$E$15,$D1103)&gt;0,"Entrada",IF(COUNTIF('Config'!$G$8:$G$23,$D1103)&gt;0,"Saída","Verificar")))</f>
        <v/>
      </c>
    </row>
    <row r="1104" spans="7:7" ht="16.5" customHeight="1">
      <c r="G1104" s="66">
        <f>IF($D1104="","",IF(COUNTIF('Config'!$E$8:$E$15,$D1104)&gt;0,"Entrada",IF(COUNTIF('Config'!$G$8:$G$23,$D1104)&gt;0,"Saída","Verificar")))</f>
        <v/>
      </c>
    </row>
    <row r="1105" spans="7:7" ht="16.5" customHeight="1">
      <c r="G1105" s="66">
        <f>IF($D1105="","",IF(COUNTIF('Config'!$E$8:$E$15,$D1105)&gt;0,"Entrada",IF(COUNTIF('Config'!$G$8:$G$23,$D1105)&gt;0,"Saída","Verificar")))</f>
        <v/>
      </c>
    </row>
    <row r="1106" spans="7:7" ht="16.5" customHeight="1">
      <c r="G1106" s="66">
        <f>IF($D1106="","",IF(COUNTIF('Config'!$E$8:$E$15,$D1106)&gt;0,"Entrada",IF(COUNTIF('Config'!$G$8:$G$23,$D1106)&gt;0,"Saída","Verificar")))</f>
        <v/>
      </c>
    </row>
    <row r="1107" spans="7:7" ht="16.5" customHeight="1">
      <c r="G1107" s="66">
        <f>IF($D1107="","",IF(COUNTIF('Config'!$E$8:$E$15,$D1107)&gt;0,"Entrada",IF(COUNTIF('Config'!$G$8:$G$23,$D1107)&gt;0,"Saída","Verificar")))</f>
        <v/>
      </c>
    </row>
    <row r="1108" spans="7:7" ht="16.5" customHeight="1">
      <c r="G1108" s="66">
        <f>IF($D1108="","",IF(COUNTIF('Config'!$E$8:$E$15,$D1108)&gt;0,"Entrada",IF(COUNTIF('Config'!$G$8:$G$23,$D1108)&gt;0,"Saída","Verificar")))</f>
        <v/>
      </c>
    </row>
    <row r="1109" spans="7:7" ht="16.5" customHeight="1">
      <c r="G1109" s="66">
        <f>IF($D1109="","",IF(COUNTIF('Config'!$E$8:$E$15,$D1109)&gt;0,"Entrada",IF(COUNTIF('Config'!$G$8:$G$23,$D1109)&gt;0,"Saída","Verificar")))</f>
        <v/>
      </c>
    </row>
    <row r="1110" spans="7:7" ht="16.5" customHeight="1">
      <c r="G1110" s="66">
        <f>IF($D1110="","",IF(COUNTIF('Config'!$E$8:$E$15,$D1110)&gt;0,"Entrada",IF(COUNTIF('Config'!$G$8:$G$23,$D1110)&gt;0,"Saída","Verificar")))</f>
        <v/>
      </c>
    </row>
    <row r="1111" spans="7:7" ht="16.5" customHeight="1">
      <c r="G1111" s="66">
        <f>IF($D1111="","",IF(COUNTIF('Config'!$E$8:$E$15,$D1111)&gt;0,"Entrada",IF(COUNTIF('Config'!$G$8:$G$23,$D1111)&gt;0,"Saída","Verificar")))</f>
        <v/>
      </c>
    </row>
    <row r="1112" spans="7:7" ht="16.5" customHeight="1">
      <c r="G1112" s="66">
        <f>IF($D1112="","",IF(COUNTIF('Config'!$E$8:$E$15,$D1112)&gt;0,"Entrada",IF(COUNTIF('Config'!$G$8:$G$23,$D1112)&gt;0,"Saída","Verificar")))</f>
        <v/>
      </c>
    </row>
    <row r="1113" spans="7:7" ht="16.5" customHeight="1">
      <c r="G1113" s="66">
        <f>IF($D1113="","",IF(COUNTIF('Config'!$E$8:$E$15,$D1113)&gt;0,"Entrada",IF(COUNTIF('Config'!$G$8:$G$23,$D1113)&gt;0,"Saída","Verificar")))</f>
        <v/>
      </c>
    </row>
    <row r="1114" spans="7:7" ht="16.5" customHeight="1">
      <c r="G1114" s="66">
        <f>IF($D1114="","",IF(COUNTIF('Config'!$E$8:$E$15,$D1114)&gt;0,"Entrada",IF(COUNTIF('Config'!$G$8:$G$23,$D1114)&gt;0,"Saída","Verificar")))</f>
        <v/>
      </c>
    </row>
    <row r="1115" spans="7:7" ht="16.5" customHeight="1">
      <c r="G1115" s="66">
        <f>IF($D1115="","",IF(COUNTIF('Config'!$E$8:$E$15,$D1115)&gt;0,"Entrada",IF(COUNTIF('Config'!$G$8:$G$23,$D1115)&gt;0,"Saída","Verificar")))</f>
        <v/>
      </c>
    </row>
    <row r="1116" spans="7:7" ht="16.5" customHeight="1">
      <c r="G1116" s="66">
        <f>IF($D1116="","",IF(COUNTIF('Config'!$E$8:$E$15,$D1116)&gt;0,"Entrada",IF(COUNTIF('Config'!$G$8:$G$23,$D1116)&gt;0,"Saída","Verificar")))</f>
        <v/>
      </c>
    </row>
    <row r="1117" spans="7:7" ht="16.5" customHeight="1">
      <c r="G1117" s="66">
        <f>IF($D1117="","",IF(COUNTIF('Config'!$E$8:$E$15,$D1117)&gt;0,"Entrada",IF(COUNTIF('Config'!$G$8:$G$23,$D1117)&gt;0,"Saída","Verificar")))</f>
        <v/>
      </c>
    </row>
    <row r="1118" spans="7:7" ht="16.5" customHeight="1">
      <c r="G1118" s="66">
        <f>IF($D1118="","",IF(COUNTIF('Config'!$E$8:$E$15,$D1118)&gt;0,"Entrada",IF(COUNTIF('Config'!$G$8:$G$23,$D1118)&gt;0,"Saída","Verificar")))</f>
        <v/>
      </c>
    </row>
    <row r="1119" spans="7:7" ht="16.5" customHeight="1">
      <c r="G1119" s="66">
        <f>IF($D1119="","",IF(COUNTIF('Config'!$E$8:$E$15,$D1119)&gt;0,"Entrada",IF(COUNTIF('Config'!$G$8:$G$23,$D1119)&gt;0,"Saída","Verificar")))</f>
        <v/>
      </c>
    </row>
    <row r="1120" spans="7:7" ht="16.5" customHeight="1">
      <c r="G1120" s="66">
        <f>IF($D1120="","",IF(COUNTIF('Config'!$E$8:$E$15,$D1120)&gt;0,"Entrada",IF(COUNTIF('Config'!$G$8:$G$23,$D1120)&gt;0,"Saída","Verificar")))</f>
        <v/>
      </c>
    </row>
    <row r="1121" spans="7:7" ht="16.5" customHeight="1">
      <c r="G1121" s="66">
        <f>IF($D1121="","",IF(COUNTIF('Config'!$E$8:$E$15,$D1121)&gt;0,"Entrada",IF(COUNTIF('Config'!$G$8:$G$23,$D1121)&gt;0,"Saída","Verificar")))</f>
        <v/>
      </c>
    </row>
    <row r="1122" spans="7:7" ht="16.5" customHeight="1">
      <c r="G1122" s="66">
        <f>IF($D1122="","",IF(COUNTIF('Config'!$E$8:$E$15,$D1122)&gt;0,"Entrada",IF(COUNTIF('Config'!$G$8:$G$23,$D1122)&gt;0,"Saída","Verificar")))</f>
        <v/>
      </c>
    </row>
    <row r="1123" spans="7:7" ht="16.5" customHeight="1">
      <c r="G1123" s="66">
        <f>IF($D1123="","",IF(COUNTIF('Config'!$E$8:$E$15,$D1123)&gt;0,"Entrada",IF(COUNTIF('Config'!$G$8:$G$23,$D1123)&gt;0,"Saída","Verificar")))</f>
        <v/>
      </c>
    </row>
    <row r="1124" spans="7:7" ht="16.5" customHeight="1">
      <c r="G1124" s="66">
        <f>IF($D1124="","",IF(COUNTIF('Config'!$E$8:$E$15,$D1124)&gt;0,"Entrada",IF(COUNTIF('Config'!$G$8:$G$23,$D1124)&gt;0,"Saída","Verificar")))</f>
        <v/>
      </c>
    </row>
    <row r="1125" spans="7:7" ht="16.5" customHeight="1">
      <c r="G1125" s="66">
        <f>IF($D1125="","",IF(COUNTIF('Config'!$E$8:$E$15,$D1125)&gt;0,"Entrada",IF(COUNTIF('Config'!$G$8:$G$23,$D1125)&gt;0,"Saída","Verificar")))</f>
        <v/>
      </c>
    </row>
    <row r="1126" spans="7:7" ht="16.5" customHeight="1">
      <c r="G1126" s="66">
        <f>IF($D1126="","",IF(COUNTIF('Config'!$E$8:$E$15,$D1126)&gt;0,"Entrada",IF(COUNTIF('Config'!$G$8:$G$23,$D1126)&gt;0,"Saída","Verificar")))</f>
        <v/>
      </c>
    </row>
    <row r="1127" spans="7:7" ht="16.5" customHeight="1">
      <c r="G1127" s="66">
        <f>IF($D1127="","",IF(COUNTIF('Config'!$E$8:$E$15,$D1127)&gt;0,"Entrada",IF(COUNTIF('Config'!$G$8:$G$23,$D1127)&gt;0,"Saída","Verificar")))</f>
        <v/>
      </c>
    </row>
    <row r="1128" spans="7:7" ht="16.5" customHeight="1">
      <c r="G1128" s="66">
        <f>IF($D1128="","",IF(COUNTIF('Config'!$E$8:$E$15,$D1128)&gt;0,"Entrada",IF(COUNTIF('Config'!$G$8:$G$23,$D1128)&gt;0,"Saída","Verificar")))</f>
        <v/>
      </c>
    </row>
    <row r="1129" spans="7:7" ht="16.5" customHeight="1">
      <c r="G1129" s="66">
        <f>IF($D1129="","",IF(COUNTIF('Config'!$E$8:$E$15,$D1129)&gt;0,"Entrada",IF(COUNTIF('Config'!$G$8:$G$23,$D1129)&gt;0,"Saída","Verificar")))</f>
        <v/>
      </c>
    </row>
    <row r="1130" spans="7:7" ht="16.5" customHeight="1">
      <c r="G1130" s="66">
        <f>IF($D1130="","",IF(COUNTIF('Config'!$E$8:$E$15,$D1130)&gt;0,"Entrada",IF(COUNTIF('Config'!$G$8:$G$23,$D1130)&gt;0,"Saída","Verificar")))</f>
        <v/>
      </c>
    </row>
    <row r="1131" spans="7:7" ht="16.5" customHeight="1">
      <c r="G1131" s="66">
        <f>IF($D1131="","",IF(COUNTIF('Config'!$E$8:$E$15,$D1131)&gt;0,"Entrada",IF(COUNTIF('Config'!$G$8:$G$23,$D1131)&gt;0,"Saída","Verificar")))</f>
        <v/>
      </c>
    </row>
    <row r="1132" spans="7:7" ht="16.5" customHeight="1">
      <c r="G1132" s="66">
        <f>IF($D1132="","",IF(COUNTIF('Config'!$E$8:$E$15,$D1132)&gt;0,"Entrada",IF(COUNTIF('Config'!$G$8:$G$23,$D1132)&gt;0,"Saída","Verificar")))</f>
        <v/>
      </c>
    </row>
    <row r="1133" spans="7:7" ht="16.5" customHeight="1">
      <c r="G1133" s="66">
        <f>IF($D1133="","",IF(COUNTIF('Config'!$E$8:$E$15,$D1133)&gt;0,"Entrada",IF(COUNTIF('Config'!$G$8:$G$23,$D1133)&gt;0,"Saída","Verificar")))</f>
        <v/>
      </c>
    </row>
    <row r="1134" spans="7:7" ht="16.5" customHeight="1">
      <c r="G1134" s="66">
        <f>IF($D1134="","",IF(COUNTIF('Config'!$E$8:$E$15,$D1134)&gt;0,"Entrada",IF(COUNTIF('Config'!$G$8:$G$23,$D1134)&gt;0,"Saída","Verificar")))</f>
        <v/>
      </c>
    </row>
    <row r="1135" spans="7:7" ht="16.5" customHeight="1">
      <c r="G1135" s="66">
        <f>IF($D1135="","",IF(COUNTIF('Config'!$E$8:$E$15,$D1135)&gt;0,"Entrada",IF(COUNTIF('Config'!$G$8:$G$23,$D1135)&gt;0,"Saída","Verificar")))</f>
        <v/>
      </c>
    </row>
    <row r="1136" spans="7:7" ht="16.5" customHeight="1">
      <c r="G1136" s="66">
        <f>IF($D1136="","",IF(COUNTIF('Config'!$E$8:$E$15,$D1136)&gt;0,"Entrada",IF(COUNTIF('Config'!$G$8:$G$23,$D1136)&gt;0,"Saída","Verificar")))</f>
        <v/>
      </c>
    </row>
    <row r="1137" spans="7:7" ht="16.5" customHeight="1">
      <c r="G1137" s="66">
        <f>IF($D1137="","",IF(COUNTIF('Config'!$E$8:$E$15,$D1137)&gt;0,"Entrada",IF(COUNTIF('Config'!$G$8:$G$23,$D1137)&gt;0,"Saída","Verificar")))</f>
        <v/>
      </c>
    </row>
    <row r="1138" spans="7:7" ht="16.5" customHeight="1">
      <c r="G1138" s="66">
        <f>IF($D1138="","",IF(COUNTIF('Config'!$E$8:$E$15,$D1138)&gt;0,"Entrada",IF(COUNTIF('Config'!$G$8:$G$23,$D1138)&gt;0,"Saída","Verificar")))</f>
        <v/>
      </c>
    </row>
    <row r="1139" spans="7:7" ht="16.5" customHeight="1">
      <c r="G1139" s="66">
        <f>IF($D1139="","",IF(COUNTIF('Config'!$E$8:$E$15,$D1139)&gt;0,"Entrada",IF(COUNTIF('Config'!$G$8:$G$23,$D1139)&gt;0,"Saída","Verificar")))</f>
        <v/>
      </c>
    </row>
    <row r="1140" spans="7:7" ht="16.5" customHeight="1">
      <c r="G1140" s="66">
        <f>IF($D1140="","",IF(COUNTIF('Config'!$E$8:$E$15,$D1140)&gt;0,"Entrada",IF(COUNTIF('Config'!$G$8:$G$23,$D1140)&gt;0,"Saída","Verificar")))</f>
        <v/>
      </c>
    </row>
    <row r="1141" spans="7:7" ht="16.5" customHeight="1">
      <c r="G1141" s="66">
        <f>IF($D1141="","",IF(COUNTIF('Config'!$E$8:$E$15,$D1141)&gt;0,"Entrada",IF(COUNTIF('Config'!$G$8:$G$23,$D1141)&gt;0,"Saída","Verificar")))</f>
        <v/>
      </c>
    </row>
    <row r="1142" spans="7:7" ht="16.5" customHeight="1">
      <c r="G1142" s="66">
        <f>IF($D1142="","",IF(COUNTIF('Config'!$E$8:$E$15,$D1142)&gt;0,"Entrada",IF(COUNTIF('Config'!$G$8:$G$23,$D1142)&gt;0,"Saída","Verificar")))</f>
        <v/>
      </c>
    </row>
    <row r="1143" spans="7:7" ht="16.5" customHeight="1">
      <c r="G1143" s="66">
        <f>IF($D1143="","",IF(COUNTIF('Config'!$E$8:$E$15,$D1143)&gt;0,"Entrada",IF(COUNTIF('Config'!$G$8:$G$23,$D1143)&gt;0,"Saída","Verificar")))</f>
        <v/>
      </c>
    </row>
    <row r="1144" spans="7:7" ht="16.5" customHeight="1">
      <c r="G1144" s="66">
        <f>IF($D1144="","",IF(COUNTIF('Config'!$E$8:$E$15,$D1144)&gt;0,"Entrada",IF(COUNTIF('Config'!$G$8:$G$23,$D1144)&gt;0,"Saída","Verificar")))</f>
        <v/>
      </c>
    </row>
    <row r="1145" spans="7:7" ht="16.5" customHeight="1">
      <c r="G1145" s="66">
        <f>IF($D1145="","",IF(COUNTIF('Config'!$E$8:$E$15,$D1145)&gt;0,"Entrada",IF(COUNTIF('Config'!$G$8:$G$23,$D1145)&gt;0,"Saída","Verificar")))</f>
        <v/>
      </c>
    </row>
    <row r="1146" spans="7:7" ht="16.5" customHeight="1">
      <c r="G1146" s="66">
        <f>IF($D1146="","",IF(COUNTIF('Config'!$E$8:$E$15,$D1146)&gt;0,"Entrada",IF(COUNTIF('Config'!$G$8:$G$23,$D1146)&gt;0,"Saída","Verificar")))</f>
        <v/>
      </c>
    </row>
    <row r="1147" spans="7:7" ht="16.5" customHeight="1">
      <c r="G1147" s="66">
        <f>IF($D1147="","",IF(COUNTIF('Config'!$E$8:$E$15,$D1147)&gt;0,"Entrada",IF(COUNTIF('Config'!$G$8:$G$23,$D1147)&gt;0,"Saída","Verificar")))</f>
        <v/>
      </c>
    </row>
    <row r="1148" spans="7:7" ht="16.5" customHeight="1">
      <c r="G1148" s="66">
        <f>IF($D1148="","",IF(COUNTIF('Config'!$E$8:$E$15,$D1148)&gt;0,"Entrada",IF(COUNTIF('Config'!$G$8:$G$23,$D1148)&gt;0,"Saída","Verificar")))</f>
        <v/>
      </c>
    </row>
    <row r="1149" spans="7:7" ht="16.5" customHeight="1">
      <c r="G1149" s="66">
        <f>IF($D1149="","",IF(COUNTIF('Config'!$E$8:$E$15,$D1149)&gt;0,"Entrada",IF(COUNTIF('Config'!$G$8:$G$23,$D1149)&gt;0,"Saída","Verificar")))</f>
        <v/>
      </c>
    </row>
    <row r="1150" spans="7:7" ht="16.5" customHeight="1">
      <c r="G1150" s="66">
        <f>IF($D1150="","",IF(COUNTIF('Config'!$E$8:$E$15,$D1150)&gt;0,"Entrada",IF(COUNTIF('Config'!$G$8:$G$23,$D1150)&gt;0,"Saída","Verificar")))</f>
        <v/>
      </c>
    </row>
    <row r="1151" spans="7:7" ht="16.5" customHeight="1">
      <c r="G1151" s="66">
        <f>IF($D1151="","",IF(COUNTIF('Config'!$E$8:$E$15,$D1151)&gt;0,"Entrada",IF(COUNTIF('Config'!$G$8:$G$23,$D1151)&gt;0,"Saída","Verificar")))</f>
        <v/>
      </c>
    </row>
    <row r="1152" spans="7:7" ht="16.5" customHeight="1">
      <c r="G1152" s="66">
        <f>IF($D1152="","",IF(COUNTIF('Config'!$E$8:$E$15,$D1152)&gt;0,"Entrada",IF(COUNTIF('Config'!$G$8:$G$23,$D1152)&gt;0,"Saída","Verificar")))</f>
        <v/>
      </c>
    </row>
    <row r="1153" spans="7:7" ht="16.5" customHeight="1">
      <c r="G1153" s="66">
        <f>IF($D1153="","",IF(COUNTIF('Config'!$E$8:$E$15,$D1153)&gt;0,"Entrada",IF(COUNTIF('Config'!$G$8:$G$23,$D1153)&gt;0,"Saída","Verificar")))</f>
        <v/>
      </c>
    </row>
    <row r="1154" spans="7:7" ht="16.5" customHeight="1">
      <c r="G1154" s="66">
        <f>IF($D1154="","",IF(COUNTIF('Config'!$E$8:$E$15,$D1154)&gt;0,"Entrada",IF(COUNTIF('Config'!$G$8:$G$23,$D1154)&gt;0,"Saída","Verificar")))</f>
        <v/>
      </c>
    </row>
    <row r="1155" spans="7:7" ht="16.5" customHeight="1">
      <c r="G1155" s="66">
        <f>IF($D1155="","",IF(COUNTIF('Config'!$E$8:$E$15,$D1155)&gt;0,"Entrada",IF(COUNTIF('Config'!$G$8:$G$23,$D1155)&gt;0,"Saída","Verificar")))</f>
        <v/>
      </c>
    </row>
    <row r="1156" spans="7:7" ht="16.5" customHeight="1">
      <c r="G1156" s="66">
        <f>IF($D1156="","",IF(COUNTIF('Config'!$E$8:$E$15,$D1156)&gt;0,"Entrada",IF(COUNTIF('Config'!$G$8:$G$23,$D1156)&gt;0,"Saída","Verificar")))</f>
        <v/>
      </c>
    </row>
    <row r="1157" spans="7:7" ht="16.5" customHeight="1">
      <c r="G1157" s="66">
        <f>IF($D1157="","",IF(COUNTIF('Config'!$E$8:$E$15,$D1157)&gt;0,"Entrada",IF(COUNTIF('Config'!$G$8:$G$23,$D1157)&gt;0,"Saída","Verificar")))</f>
        <v/>
      </c>
    </row>
    <row r="1158" spans="7:7" ht="16.5" customHeight="1">
      <c r="G1158" s="66">
        <f>IF($D1158="","",IF(COUNTIF('Config'!$E$8:$E$15,$D1158)&gt;0,"Entrada",IF(COUNTIF('Config'!$G$8:$G$23,$D1158)&gt;0,"Saída","Verificar")))</f>
        <v/>
      </c>
    </row>
    <row r="1159" spans="7:7" ht="16.5" customHeight="1">
      <c r="G1159" s="66">
        <f>IF($D1159="","",IF(COUNTIF('Config'!$E$8:$E$15,$D1159)&gt;0,"Entrada",IF(COUNTIF('Config'!$G$8:$G$23,$D1159)&gt;0,"Saída","Verificar")))</f>
        <v/>
      </c>
    </row>
    <row r="1160" spans="7:7" ht="16.5" customHeight="1">
      <c r="G1160" s="66">
        <f>IF($D1160="","",IF(COUNTIF('Config'!$E$8:$E$15,$D1160)&gt;0,"Entrada",IF(COUNTIF('Config'!$G$8:$G$23,$D1160)&gt;0,"Saída","Verificar")))</f>
        <v/>
      </c>
    </row>
    <row r="1161" spans="7:7" ht="16.5" customHeight="1">
      <c r="G1161" s="66">
        <f>IF($D1161="","",IF(COUNTIF('Config'!$E$8:$E$15,$D1161)&gt;0,"Entrada",IF(COUNTIF('Config'!$G$8:$G$23,$D1161)&gt;0,"Saída","Verificar")))</f>
        <v/>
      </c>
    </row>
    <row r="1162" spans="7:7" ht="16.5" customHeight="1">
      <c r="G1162" s="66">
        <f>IF($D1162="","",IF(COUNTIF('Config'!$E$8:$E$15,$D1162)&gt;0,"Entrada",IF(COUNTIF('Config'!$G$8:$G$23,$D1162)&gt;0,"Saída","Verificar")))</f>
        <v/>
      </c>
    </row>
    <row r="1163" spans="7:7" ht="16.5" customHeight="1">
      <c r="G1163" s="66">
        <f>IF($D1163="","",IF(COUNTIF('Config'!$E$8:$E$15,$D1163)&gt;0,"Entrada",IF(COUNTIF('Config'!$G$8:$G$23,$D1163)&gt;0,"Saída","Verificar")))</f>
        <v/>
      </c>
    </row>
    <row r="1164" spans="7:7" ht="16.5" customHeight="1">
      <c r="G1164" s="66">
        <f>IF($D1164="","",IF(COUNTIF('Config'!$E$8:$E$15,$D1164)&gt;0,"Entrada",IF(COUNTIF('Config'!$G$8:$G$23,$D1164)&gt;0,"Saída","Verificar")))</f>
        <v/>
      </c>
    </row>
    <row r="1165" spans="7:7" ht="16.5" customHeight="1">
      <c r="G1165" s="66">
        <f>IF($D1165="","",IF(COUNTIF('Config'!$E$8:$E$15,$D1165)&gt;0,"Entrada",IF(COUNTIF('Config'!$G$8:$G$23,$D1165)&gt;0,"Saída","Verificar")))</f>
        <v/>
      </c>
    </row>
    <row r="1166" spans="7:7" ht="16.5" customHeight="1">
      <c r="G1166" s="66">
        <f>IF($D1166="","",IF(COUNTIF('Config'!$E$8:$E$15,$D1166)&gt;0,"Entrada",IF(COUNTIF('Config'!$G$8:$G$23,$D1166)&gt;0,"Saída","Verificar")))</f>
        <v/>
      </c>
    </row>
    <row r="1167" spans="7:7" ht="16.5" customHeight="1">
      <c r="G1167" s="66">
        <f>IF($D1167="","",IF(COUNTIF('Config'!$E$8:$E$15,$D1167)&gt;0,"Entrada",IF(COUNTIF('Config'!$G$8:$G$23,$D1167)&gt;0,"Saída","Verificar")))</f>
        <v/>
      </c>
    </row>
    <row r="1168" spans="7:7" ht="16.5" customHeight="1">
      <c r="G1168" s="66">
        <f>IF($D1168="","",IF(COUNTIF('Config'!$E$8:$E$15,$D1168)&gt;0,"Entrada",IF(COUNTIF('Config'!$G$8:$G$23,$D1168)&gt;0,"Saída","Verificar")))</f>
        <v/>
      </c>
    </row>
    <row r="1169" spans="7:7" ht="16.5" customHeight="1">
      <c r="G1169" s="66">
        <f>IF($D1169="","",IF(COUNTIF('Config'!$E$8:$E$15,$D1169)&gt;0,"Entrada",IF(COUNTIF('Config'!$G$8:$G$23,$D1169)&gt;0,"Saída","Verificar")))</f>
        <v/>
      </c>
    </row>
    <row r="1170" spans="7:7" ht="16.5" customHeight="1">
      <c r="G1170" s="66">
        <f>IF($D1170="","",IF(COUNTIF('Config'!$E$8:$E$15,$D1170)&gt;0,"Entrada",IF(COUNTIF('Config'!$G$8:$G$23,$D1170)&gt;0,"Saída","Verificar")))</f>
        <v/>
      </c>
    </row>
    <row r="1171" spans="7:7" ht="16.5" customHeight="1">
      <c r="G1171" s="66">
        <f>IF($D1171="","",IF(COUNTIF('Config'!$E$8:$E$15,$D1171)&gt;0,"Entrada",IF(COUNTIF('Config'!$G$8:$G$23,$D1171)&gt;0,"Saída","Verificar")))</f>
        <v/>
      </c>
    </row>
    <row r="1172" spans="7:7" ht="16.5" customHeight="1">
      <c r="G1172" s="66">
        <f>IF($D1172="","",IF(COUNTIF('Config'!$E$8:$E$15,$D1172)&gt;0,"Entrada",IF(COUNTIF('Config'!$G$8:$G$23,$D1172)&gt;0,"Saída","Verificar")))</f>
        <v/>
      </c>
    </row>
    <row r="1173" spans="7:7" ht="16.5" customHeight="1">
      <c r="G1173" s="66">
        <f>IF($D1173="","",IF(COUNTIF('Config'!$E$8:$E$15,$D1173)&gt;0,"Entrada",IF(COUNTIF('Config'!$G$8:$G$23,$D1173)&gt;0,"Saída","Verificar")))</f>
        <v/>
      </c>
    </row>
    <row r="1174" spans="7:7" ht="16.5" customHeight="1">
      <c r="G1174" s="66">
        <f>IF($D1174="","",IF(COUNTIF('Config'!$E$8:$E$15,$D1174)&gt;0,"Entrada",IF(COUNTIF('Config'!$G$8:$G$23,$D1174)&gt;0,"Saída","Verificar")))</f>
        <v/>
      </c>
    </row>
    <row r="1175" spans="7:7" ht="16.5" customHeight="1">
      <c r="G1175" s="66">
        <f>IF($D1175="","",IF(COUNTIF('Config'!$E$8:$E$15,$D1175)&gt;0,"Entrada",IF(COUNTIF('Config'!$G$8:$G$23,$D1175)&gt;0,"Saída","Verificar")))</f>
        <v/>
      </c>
    </row>
    <row r="1176" spans="7:7" ht="16.5" customHeight="1">
      <c r="G1176" s="66">
        <f>IF($D1176="","",IF(COUNTIF('Config'!$E$8:$E$15,$D1176)&gt;0,"Entrada",IF(COUNTIF('Config'!$G$8:$G$23,$D1176)&gt;0,"Saída","Verificar")))</f>
        <v/>
      </c>
    </row>
    <row r="1177" spans="7:7" ht="16.5" customHeight="1">
      <c r="G1177" s="66">
        <f>IF($D1177="","",IF(COUNTIF('Config'!$E$8:$E$15,$D1177)&gt;0,"Entrada",IF(COUNTIF('Config'!$G$8:$G$23,$D1177)&gt;0,"Saída","Verificar")))</f>
        <v/>
      </c>
    </row>
    <row r="1178" spans="7:7" ht="16.5" customHeight="1">
      <c r="G1178" s="66">
        <f>IF($D1178="","",IF(COUNTIF('Config'!$E$8:$E$15,$D1178)&gt;0,"Entrada",IF(COUNTIF('Config'!$G$8:$G$23,$D1178)&gt;0,"Saída","Verificar")))</f>
        <v/>
      </c>
    </row>
    <row r="1179" spans="7:7" ht="16.5" customHeight="1">
      <c r="G1179" s="66">
        <f>IF($D1179="","",IF(COUNTIF('Config'!$E$8:$E$15,$D1179)&gt;0,"Entrada",IF(COUNTIF('Config'!$G$8:$G$23,$D1179)&gt;0,"Saída","Verificar")))</f>
        <v/>
      </c>
    </row>
    <row r="1180" spans="7:7" ht="16.5" customHeight="1">
      <c r="G1180" s="66">
        <f>IF($D1180="","",IF(COUNTIF('Config'!$E$8:$E$15,$D1180)&gt;0,"Entrada",IF(COUNTIF('Config'!$G$8:$G$23,$D1180)&gt;0,"Saída","Verificar")))</f>
        <v/>
      </c>
    </row>
    <row r="1181" spans="7:7" ht="16.5" customHeight="1">
      <c r="G1181" s="66">
        <f>IF($D1181="","",IF(COUNTIF('Config'!$E$8:$E$15,$D1181)&gt;0,"Entrada",IF(COUNTIF('Config'!$G$8:$G$23,$D1181)&gt;0,"Saída","Verificar")))</f>
        <v/>
      </c>
    </row>
    <row r="1182" spans="7:7" ht="16.5" customHeight="1">
      <c r="G1182" s="66">
        <f>IF($D1182="","",IF(COUNTIF('Config'!$E$8:$E$15,$D1182)&gt;0,"Entrada",IF(COUNTIF('Config'!$G$8:$G$23,$D1182)&gt;0,"Saída","Verificar")))</f>
        <v/>
      </c>
    </row>
    <row r="1183" spans="7:7" ht="16.5" customHeight="1">
      <c r="G1183" s="66">
        <f>IF($D1183="","",IF(COUNTIF('Config'!$E$8:$E$15,$D1183)&gt;0,"Entrada",IF(COUNTIF('Config'!$G$8:$G$23,$D1183)&gt;0,"Saída","Verificar")))</f>
        <v/>
      </c>
    </row>
    <row r="1184" spans="7:7" ht="16.5" customHeight="1">
      <c r="G1184" s="66">
        <f>IF($D1184="","",IF(COUNTIF('Config'!$E$8:$E$15,$D1184)&gt;0,"Entrada",IF(COUNTIF('Config'!$G$8:$G$23,$D1184)&gt;0,"Saída","Verificar")))</f>
        <v/>
      </c>
    </row>
    <row r="1185" spans="7:7" ht="16.5" customHeight="1">
      <c r="G1185" s="66">
        <f>IF($D1185="","",IF(COUNTIF('Config'!$E$8:$E$15,$D1185)&gt;0,"Entrada",IF(COUNTIF('Config'!$G$8:$G$23,$D1185)&gt;0,"Saída","Verificar")))</f>
        <v/>
      </c>
    </row>
    <row r="1186" spans="7:7" ht="16.5" customHeight="1">
      <c r="G1186" s="66">
        <f>IF($D1186="","",IF(COUNTIF('Config'!$E$8:$E$15,$D1186)&gt;0,"Entrada",IF(COUNTIF('Config'!$G$8:$G$23,$D1186)&gt;0,"Saída","Verificar")))</f>
        <v/>
      </c>
    </row>
    <row r="1187" spans="7:7" ht="16.5" customHeight="1">
      <c r="G1187" s="66">
        <f>IF($D1187="","",IF(COUNTIF('Config'!$E$8:$E$15,$D1187)&gt;0,"Entrada",IF(COUNTIF('Config'!$G$8:$G$23,$D1187)&gt;0,"Saída","Verificar")))</f>
        <v/>
      </c>
    </row>
    <row r="1188" spans="7:7" ht="16.5" customHeight="1">
      <c r="G1188" s="66">
        <f>IF($D1188="","",IF(COUNTIF('Config'!$E$8:$E$15,$D1188)&gt;0,"Entrada",IF(COUNTIF('Config'!$G$8:$G$23,$D1188)&gt;0,"Saída","Verificar")))</f>
        <v/>
      </c>
    </row>
    <row r="1189" spans="7:7" ht="16.5" customHeight="1">
      <c r="G1189" s="66">
        <f>IF($D1189="","",IF(COUNTIF('Config'!$E$8:$E$15,$D1189)&gt;0,"Entrada",IF(COUNTIF('Config'!$G$8:$G$23,$D1189)&gt;0,"Saída","Verificar")))</f>
        <v/>
      </c>
    </row>
    <row r="1190" spans="7:7" ht="16.5" customHeight="1">
      <c r="G1190" s="66">
        <f>IF($D1190="","",IF(COUNTIF('Config'!$E$8:$E$15,$D1190)&gt;0,"Entrada",IF(COUNTIF('Config'!$G$8:$G$23,$D1190)&gt;0,"Saída","Verificar")))</f>
        <v/>
      </c>
    </row>
    <row r="1191" spans="7:7" ht="16.5" customHeight="1">
      <c r="G1191" s="66">
        <f>IF($D1191="","",IF(COUNTIF('Config'!$E$8:$E$15,$D1191)&gt;0,"Entrada",IF(COUNTIF('Config'!$G$8:$G$23,$D1191)&gt;0,"Saída","Verificar")))</f>
        <v/>
      </c>
    </row>
    <row r="1192" spans="7:7" ht="16.5" customHeight="1">
      <c r="G1192" s="66">
        <f>IF($D1192="","",IF(COUNTIF('Config'!$E$8:$E$15,$D1192)&gt;0,"Entrada",IF(COUNTIF('Config'!$G$8:$G$23,$D1192)&gt;0,"Saída","Verificar")))</f>
        <v/>
      </c>
    </row>
    <row r="1193" spans="7:7" ht="16.5" customHeight="1">
      <c r="G1193" s="66">
        <f>IF($D1193="","",IF(COUNTIF('Config'!$E$8:$E$15,$D1193)&gt;0,"Entrada",IF(COUNTIF('Config'!$G$8:$G$23,$D1193)&gt;0,"Saída","Verificar")))</f>
        <v/>
      </c>
    </row>
    <row r="1194" spans="7:7" ht="16.5" customHeight="1">
      <c r="G1194" s="66">
        <f>IF($D1194="","",IF(COUNTIF('Config'!$E$8:$E$15,$D1194)&gt;0,"Entrada",IF(COUNTIF('Config'!$G$8:$G$23,$D1194)&gt;0,"Saída","Verificar")))</f>
        <v/>
      </c>
    </row>
    <row r="1195" spans="7:7" ht="16.5" customHeight="1">
      <c r="G1195" s="66">
        <f>IF($D1195="","",IF(COUNTIF('Config'!$E$8:$E$15,$D1195)&gt;0,"Entrada",IF(COUNTIF('Config'!$G$8:$G$23,$D1195)&gt;0,"Saída","Verificar")))</f>
        <v/>
      </c>
    </row>
    <row r="1196" spans="7:7" ht="16.5" customHeight="1">
      <c r="G1196" s="66">
        <f>IF($D1196="","",IF(COUNTIF('Config'!$E$8:$E$15,$D1196)&gt;0,"Entrada",IF(COUNTIF('Config'!$G$8:$G$23,$D1196)&gt;0,"Saída","Verificar")))</f>
        <v/>
      </c>
    </row>
    <row r="1197" spans="7:7" ht="16.5" customHeight="1">
      <c r="G1197" s="66">
        <f>IF($D1197="","",IF(COUNTIF('Config'!$E$8:$E$15,$D1197)&gt;0,"Entrada",IF(COUNTIF('Config'!$G$8:$G$23,$D1197)&gt;0,"Saída","Verificar")))</f>
        <v/>
      </c>
    </row>
    <row r="1198" spans="7:7" ht="16.5" customHeight="1">
      <c r="G1198" s="66">
        <f>IF($D1198="","",IF(COUNTIF('Config'!$E$8:$E$15,$D1198)&gt;0,"Entrada",IF(COUNTIF('Config'!$G$8:$G$23,$D1198)&gt;0,"Saída","Verificar")))</f>
        <v/>
      </c>
    </row>
    <row r="1199" spans="7:7" ht="16.5" customHeight="1">
      <c r="G1199" s="66">
        <f>IF($D1199="","",IF(COUNTIF('Config'!$E$8:$E$15,$D1199)&gt;0,"Entrada",IF(COUNTIF('Config'!$G$8:$G$23,$D1199)&gt;0,"Saída","Verificar")))</f>
        <v/>
      </c>
    </row>
    <row r="1200" spans="7:7" ht="16.5" customHeight="1">
      <c r="G1200" s="66">
        <f>IF($D1200="","",IF(COUNTIF('Config'!$E$8:$E$15,$D1200)&gt;0,"Entrada",IF(COUNTIF('Config'!$G$8:$G$23,$D1200)&gt;0,"Saída","Verificar")))</f>
        <v/>
      </c>
    </row>
    <row r="1201" spans="7:7" ht="16.5" customHeight="1">
      <c r="G1201" s="66">
        <f>IF($D1201="","",IF(COUNTIF('Config'!$E$8:$E$15,$D1201)&gt;0,"Entrada",IF(COUNTIF('Config'!$G$8:$G$23,$D1201)&gt;0,"Saída","Verificar")))</f>
        <v/>
      </c>
    </row>
    <row r="1202" spans="7:7" ht="16.5" customHeight="1">
      <c r="G1202" s="66">
        <f>IF($D1202="","",IF(COUNTIF('Config'!$E$8:$E$15,$D1202)&gt;0,"Entrada",IF(COUNTIF('Config'!$G$8:$G$23,$D1202)&gt;0,"Saída","Verificar")))</f>
        <v/>
      </c>
    </row>
    <row r="1203" spans="7:7" ht="16.5" customHeight="1">
      <c r="G1203" s="66">
        <f>IF($D1203="","",IF(COUNTIF('Config'!$E$8:$E$15,$D1203)&gt;0,"Entrada",IF(COUNTIF('Config'!$G$8:$G$23,$D1203)&gt;0,"Saída","Verificar")))</f>
        <v/>
      </c>
    </row>
    <row r="1204" spans="7:7" ht="16.5" customHeight="1">
      <c r="G1204" s="66">
        <f>IF($D1204="","",IF(COUNTIF('Config'!$E$8:$E$15,$D1204)&gt;0,"Entrada",IF(COUNTIF('Config'!$G$8:$G$23,$D1204)&gt;0,"Saída","Verificar")))</f>
        <v/>
      </c>
    </row>
    <row r="1205" spans="7:7" ht="16.5" customHeight="1">
      <c r="G1205" s="66">
        <f>IF($D1205="","",IF(COUNTIF('Config'!$E$8:$E$15,$D1205)&gt;0,"Entrada",IF(COUNTIF('Config'!$G$8:$G$23,$D1205)&gt;0,"Saída","Verificar")))</f>
        <v/>
      </c>
    </row>
    <row r="1206" spans="7:7" ht="16.5" customHeight="1">
      <c r="G1206" s="66">
        <f>IF($D1206="","",IF(COUNTIF('Config'!$E$8:$E$15,$D1206)&gt;0,"Entrada",IF(COUNTIF('Config'!$G$8:$G$23,$D1206)&gt;0,"Saída","Verificar")))</f>
        <v/>
      </c>
    </row>
    <row r="1207" spans="7:7" ht="16.5" customHeight="1">
      <c r="G1207" s="66">
        <f>IF($D1207="","",IF(COUNTIF('Config'!$E$8:$E$15,$D1207)&gt;0,"Entrada",IF(COUNTIF('Config'!$G$8:$G$23,$D1207)&gt;0,"Saída","Verificar")))</f>
        <v/>
      </c>
    </row>
    <row r="1208" spans="7:7" ht="16.5" customHeight="1">
      <c r="G1208" s="66">
        <f>IF($D1208="","",IF(COUNTIF('Config'!$E$8:$E$15,$D1208)&gt;0,"Entrada",IF(COUNTIF('Config'!$G$8:$G$23,$D1208)&gt;0,"Saída","Verificar")))</f>
        <v/>
      </c>
    </row>
    <row r="1209" spans="7:7" ht="16.5" customHeight="1">
      <c r="G1209" s="66">
        <f>IF($D1209="","",IF(COUNTIF('Config'!$E$8:$E$15,$D1209)&gt;0,"Entrada",IF(COUNTIF('Config'!$G$8:$G$23,$D1209)&gt;0,"Saída","Verificar")))</f>
        <v/>
      </c>
    </row>
    <row r="1210" spans="7:7" ht="16.5" customHeight="1">
      <c r="G1210" s="66">
        <f>IF($D1210="","",IF(COUNTIF('Config'!$E$8:$E$15,$D1210)&gt;0,"Entrada",IF(COUNTIF('Config'!$G$8:$G$23,$D1210)&gt;0,"Saída","Verificar")))</f>
        <v/>
      </c>
    </row>
    <row r="1211" spans="7:7" ht="16.5" customHeight="1">
      <c r="G1211" s="66">
        <f>IF($D1211="","",IF(COUNTIF('Config'!$E$8:$E$15,$D1211)&gt;0,"Entrada",IF(COUNTIF('Config'!$G$8:$G$23,$D1211)&gt;0,"Saída","Verificar")))</f>
        <v/>
      </c>
    </row>
    <row r="1212" spans="7:7" ht="16.5" customHeight="1">
      <c r="G1212" s="66">
        <f>IF($D1212="","",IF(COUNTIF('Config'!$E$8:$E$15,$D1212)&gt;0,"Entrada",IF(COUNTIF('Config'!$G$8:$G$23,$D1212)&gt;0,"Saída","Verificar")))</f>
        <v/>
      </c>
    </row>
    <row r="1213" spans="7:7" ht="16.5" customHeight="1">
      <c r="G1213" s="66">
        <f>IF($D1213="","",IF(COUNTIF('Config'!$E$8:$E$15,$D1213)&gt;0,"Entrada",IF(COUNTIF('Config'!$G$8:$G$23,$D1213)&gt;0,"Saída","Verificar")))</f>
        <v/>
      </c>
    </row>
    <row r="1214" spans="7:7" ht="16.5" customHeight="1">
      <c r="G1214" s="66">
        <f>IF($D1214="","",IF(COUNTIF('Config'!$E$8:$E$15,$D1214)&gt;0,"Entrada",IF(COUNTIF('Config'!$G$8:$G$23,$D1214)&gt;0,"Saída","Verificar")))</f>
        <v/>
      </c>
    </row>
    <row r="1215" spans="7:7" ht="16.5" customHeight="1">
      <c r="G1215" s="66">
        <f>IF($D1215="","",IF(COUNTIF('Config'!$E$8:$E$15,$D1215)&gt;0,"Entrada",IF(COUNTIF('Config'!$G$8:$G$23,$D1215)&gt;0,"Saída","Verificar")))</f>
        <v/>
      </c>
    </row>
    <row r="1216" spans="7:7" ht="16.5" customHeight="1">
      <c r="G1216" s="66">
        <f>IF($D1216="","",IF(COUNTIF('Config'!$E$8:$E$15,$D1216)&gt;0,"Entrada",IF(COUNTIF('Config'!$G$8:$G$23,$D1216)&gt;0,"Saída","Verificar")))</f>
        <v/>
      </c>
    </row>
    <row r="1217" spans="7:7" ht="16.5" customHeight="1">
      <c r="G1217" s="66">
        <f>IF($D1217="","",IF(COUNTIF('Config'!$E$8:$E$15,$D1217)&gt;0,"Entrada",IF(COUNTIF('Config'!$G$8:$G$23,$D1217)&gt;0,"Saída","Verificar")))</f>
        <v/>
      </c>
    </row>
    <row r="1218" spans="7:7" ht="16.5" customHeight="1">
      <c r="G1218" s="66">
        <f>IF($D1218="","",IF(COUNTIF('Config'!$E$8:$E$15,$D1218)&gt;0,"Entrada",IF(COUNTIF('Config'!$G$8:$G$23,$D1218)&gt;0,"Saída","Verificar")))</f>
        <v/>
      </c>
    </row>
    <row r="1219" spans="7:7" ht="16.5" customHeight="1">
      <c r="G1219" s="66">
        <f>IF($D1219="","",IF(COUNTIF('Config'!$E$8:$E$15,$D1219)&gt;0,"Entrada",IF(COUNTIF('Config'!$G$8:$G$23,$D1219)&gt;0,"Saída","Verificar")))</f>
        <v/>
      </c>
    </row>
    <row r="1220" spans="7:7" ht="16.5" customHeight="1">
      <c r="G1220" s="66">
        <f>IF($D1220="","",IF(COUNTIF('Config'!$E$8:$E$15,$D1220)&gt;0,"Entrada",IF(COUNTIF('Config'!$G$8:$G$23,$D1220)&gt;0,"Saída","Verificar")))</f>
        <v/>
      </c>
    </row>
    <row r="1221" spans="7:7" ht="16.5" customHeight="1">
      <c r="G1221" s="66">
        <f>IF($D1221="","",IF(COUNTIF('Config'!$E$8:$E$15,$D1221)&gt;0,"Entrada",IF(COUNTIF('Config'!$G$8:$G$23,$D1221)&gt;0,"Saída","Verificar")))</f>
        <v/>
      </c>
    </row>
    <row r="1222" spans="7:7" ht="16.5" customHeight="1">
      <c r="G1222" s="66">
        <f>IF($D1222="","",IF(COUNTIF('Config'!$E$8:$E$15,$D1222)&gt;0,"Entrada",IF(COUNTIF('Config'!$G$8:$G$23,$D1222)&gt;0,"Saída","Verificar")))</f>
        <v/>
      </c>
    </row>
    <row r="1223" spans="7:7" ht="16.5" customHeight="1">
      <c r="G1223" s="66">
        <f>IF($D1223="","",IF(COUNTIF('Config'!$E$8:$E$15,$D1223)&gt;0,"Entrada",IF(COUNTIF('Config'!$G$8:$G$23,$D1223)&gt;0,"Saída","Verificar")))</f>
        <v/>
      </c>
    </row>
    <row r="1224" spans="7:7" ht="16.5" customHeight="1">
      <c r="G1224" s="66">
        <f>IF($D1224="","",IF(COUNTIF('Config'!$E$8:$E$15,$D1224)&gt;0,"Entrada",IF(COUNTIF('Config'!$G$8:$G$23,$D1224)&gt;0,"Saída","Verificar")))</f>
        <v/>
      </c>
    </row>
    <row r="1225" spans="7:7" ht="16.5" customHeight="1">
      <c r="G1225" s="66">
        <f>IF($D1225="","",IF(COUNTIF('Config'!$E$8:$E$15,$D1225)&gt;0,"Entrada",IF(COUNTIF('Config'!$G$8:$G$23,$D1225)&gt;0,"Saída","Verificar")))</f>
        <v/>
      </c>
    </row>
    <row r="1226" spans="7:7" ht="16.5" customHeight="1">
      <c r="G1226" s="66">
        <f>IF($D1226="","",IF(COUNTIF('Config'!$E$8:$E$15,$D1226)&gt;0,"Entrada",IF(COUNTIF('Config'!$G$8:$G$23,$D1226)&gt;0,"Saída","Verificar")))</f>
        <v/>
      </c>
    </row>
    <row r="1227" spans="7:7" ht="16.5" customHeight="1">
      <c r="G1227" s="66">
        <f>IF($D1227="","",IF(COUNTIF('Config'!$E$8:$E$15,$D1227)&gt;0,"Entrada",IF(COUNTIF('Config'!$G$8:$G$23,$D1227)&gt;0,"Saída","Verificar")))</f>
        <v/>
      </c>
    </row>
    <row r="1228" spans="7:7" ht="16.5" customHeight="1">
      <c r="G1228" s="66">
        <f>IF($D1228="","",IF(COUNTIF('Config'!$E$8:$E$15,$D1228)&gt;0,"Entrada",IF(COUNTIF('Config'!$G$8:$G$23,$D1228)&gt;0,"Saída","Verificar")))</f>
        <v/>
      </c>
    </row>
    <row r="1229" spans="7:7" ht="16.5" customHeight="1">
      <c r="G1229" s="66">
        <f>IF($D1229="","",IF(COUNTIF('Config'!$E$8:$E$15,$D1229)&gt;0,"Entrada",IF(COUNTIF('Config'!$G$8:$G$23,$D1229)&gt;0,"Saída","Verificar")))</f>
        <v/>
      </c>
    </row>
    <row r="1230" spans="7:7" ht="16.5" customHeight="1">
      <c r="G1230" s="66">
        <f>IF($D1230="","",IF(COUNTIF('Config'!$E$8:$E$15,$D1230)&gt;0,"Entrada",IF(COUNTIF('Config'!$G$8:$G$23,$D1230)&gt;0,"Saída","Verificar")))</f>
        <v/>
      </c>
    </row>
    <row r="1231" spans="7:7" ht="16.5" customHeight="1">
      <c r="G1231" s="66">
        <f>IF($D1231="","",IF(COUNTIF('Config'!$E$8:$E$15,$D1231)&gt;0,"Entrada",IF(COUNTIF('Config'!$G$8:$G$23,$D1231)&gt;0,"Saída","Verificar")))</f>
        <v/>
      </c>
    </row>
    <row r="1232" spans="7:7" ht="16.5" customHeight="1">
      <c r="G1232" s="66">
        <f>IF($D1232="","",IF(COUNTIF('Config'!$E$8:$E$15,$D1232)&gt;0,"Entrada",IF(COUNTIF('Config'!$G$8:$G$23,$D1232)&gt;0,"Saída","Verificar")))</f>
        <v/>
      </c>
    </row>
    <row r="1233" spans="7:7" ht="16.5" customHeight="1">
      <c r="G1233" s="66">
        <f>IF($D1233="","",IF(COUNTIF('Config'!$E$8:$E$15,$D1233)&gt;0,"Entrada",IF(COUNTIF('Config'!$G$8:$G$23,$D1233)&gt;0,"Saída","Verificar")))</f>
        <v/>
      </c>
    </row>
    <row r="1234" spans="7:7" ht="16.5" customHeight="1">
      <c r="G1234" s="66">
        <f>IF($D1234="","",IF(COUNTIF('Config'!$E$8:$E$15,$D1234)&gt;0,"Entrada",IF(COUNTIF('Config'!$G$8:$G$23,$D1234)&gt;0,"Saída","Verificar")))</f>
        <v/>
      </c>
    </row>
    <row r="1235" spans="7:7" ht="16.5" customHeight="1">
      <c r="G1235" s="66">
        <f>IF($D1235="","",IF(COUNTIF('Config'!$E$8:$E$15,$D1235)&gt;0,"Entrada",IF(COUNTIF('Config'!$G$8:$G$23,$D1235)&gt;0,"Saída","Verificar")))</f>
        <v/>
      </c>
    </row>
    <row r="1236" spans="7:7" ht="16.5" customHeight="1">
      <c r="G1236" s="66">
        <f>IF($D1236="","",IF(COUNTIF('Config'!$E$8:$E$15,$D1236)&gt;0,"Entrada",IF(COUNTIF('Config'!$G$8:$G$23,$D1236)&gt;0,"Saída","Verificar")))</f>
        <v/>
      </c>
    </row>
    <row r="1237" spans="7:7" ht="16.5" customHeight="1">
      <c r="G1237" s="66">
        <f>IF($D1237="","",IF(COUNTIF('Config'!$E$8:$E$15,$D1237)&gt;0,"Entrada",IF(COUNTIF('Config'!$G$8:$G$23,$D1237)&gt;0,"Saída","Verificar")))</f>
        <v/>
      </c>
    </row>
    <row r="1238" spans="7:7" ht="16.5" customHeight="1">
      <c r="G1238" s="66">
        <f>IF($D1238="","",IF(COUNTIF('Config'!$E$8:$E$15,$D1238)&gt;0,"Entrada",IF(COUNTIF('Config'!$G$8:$G$23,$D1238)&gt;0,"Saída","Verificar")))</f>
        <v/>
      </c>
    </row>
    <row r="1239" spans="7:7" ht="16.5" customHeight="1">
      <c r="G1239" s="66">
        <f>IF($D1239="","",IF(COUNTIF('Config'!$E$8:$E$15,$D1239)&gt;0,"Entrada",IF(COUNTIF('Config'!$G$8:$G$23,$D1239)&gt;0,"Saída","Verificar")))</f>
        <v/>
      </c>
    </row>
    <row r="1240" spans="7:7" ht="16.5" customHeight="1">
      <c r="G1240" s="66">
        <f>IF($D1240="","",IF(COUNTIF('Config'!$E$8:$E$15,$D1240)&gt;0,"Entrada",IF(COUNTIF('Config'!$G$8:$G$23,$D1240)&gt;0,"Saída","Verificar")))</f>
        <v/>
      </c>
    </row>
    <row r="1241" spans="7:7" ht="16.5" customHeight="1">
      <c r="G1241" s="66">
        <f>IF($D1241="","",IF(COUNTIF('Config'!$E$8:$E$15,$D1241)&gt;0,"Entrada",IF(COUNTIF('Config'!$G$8:$G$23,$D1241)&gt;0,"Saída","Verificar")))</f>
        <v/>
      </c>
    </row>
    <row r="1242" spans="7:7" ht="16.5" customHeight="1">
      <c r="G1242" s="66">
        <f>IF($D1242="","",IF(COUNTIF('Config'!$E$8:$E$15,$D1242)&gt;0,"Entrada",IF(COUNTIF('Config'!$G$8:$G$23,$D1242)&gt;0,"Saída","Verificar")))</f>
        <v/>
      </c>
    </row>
    <row r="1243" spans="7:7" ht="16.5" customHeight="1">
      <c r="G1243" s="66">
        <f>IF($D1243="","",IF(COUNTIF('Config'!$E$8:$E$15,$D1243)&gt;0,"Entrada",IF(COUNTIF('Config'!$G$8:$G$23,$D1243)&gt;0,"Saída","Verificar")))</f>
        <v/>
      </c>
    </row>
    <row r="1244" spans="7:7" ht="16.5" customHeight="1">
      <c r="G1244" s="66">
        <f>IF($D1244="","",IF(COUNTIF('Config'!$E$8:$E$15,$D1244)&gt;0,"Entrada",IF(COUNTIF('Config'!$G$8:$G$23,$D1244)&gt;0,"Saída","Verificar")))</f>
        <v/>
      </c>
    </row>
    <row r="1245" spans="7:7" ht="16.5" customHeight="1">
      <c r="G1245" s="66">
        <f>IF($D1245="","",IF(COUNTIF('Config'!$E$8:$E$15,$D1245)&gt;0,"Entrada",IF(COUNTIF('Config'!$G$8:$G$23,$D1245)&gt;0,"Saída","Verificar")))</f>
        <v/>
      </c>
    </row>
    <row r="1246" spans="7:7" ht="16.5" customHeight="1">
      <c r="G1246" s="66">
        <f>IF($D1246="","",IF(COUNTIF('Config'!$E$8:$E$15,$D1246)&gt;0,"Entrada",IF(COUNTIF('Config'!$G$8:$G$23,$D1246)&gt;0,"Saída","Verificar")))</f>
        <v/>
      </c>
    </row>
    <row r="1247" spans="7:7" ht="16.5" customHeight="1">
      <c r="G1247" s="66">
        <f>IF($D1247="","",IF(COUNTIF('Config'!$E$8:$E$15,$D1247)&gt;0,"Entrada",IF(COUNTIF('Config'!$G$8:$G$23,$D1247)&gt;0,"Saída","Verificar")))</f>
        <v/>
      </c>
    </row>
    <row r="1248" spans="7:7" ht="16.5" customHeight="1">
      <c r="G1248" s="66">
        <f>IF($D1248="","",IF(COUNTIF('Config'!$E$8:$E$15,$D1248)&gt;0,"Entrada",IF(COUNTIF('Config'!$G$8:$G$23,$D1248)&gt;0,"Saída","Verificar")))</f>
        <v/>
      </c>
    </row>
    <row r="1249" spans="7:7" ht="16.5" customHeight="1">
      <c r="G1249" s="66">
        <f>IF($D1249="","",IF(COUNTIF('Config'!$E$8:$E$15,$D1249)&gt;0,"Entrada",IF(COUNTIF('Config'!$G$8:$G$23,$D1249)&gt;0,"Saída","Verificar")))</f>
        <v/>
      </c>
    </row>
    <row r="1250" spans="7:7" ht="16.5" customHeight="1">
      <c r="G1250" s="66">
        <f>IF($D1250="","",IF(COUNTIF('Config'!$E$8:$E$15,$D1250)&gt;0,"Entrada",IF(COUNTIF('Config'!$G$8:$G$23,$D1250)&gt;0,"Saída","Verificar")))</f>
        <v/>
      </c>
    </row>
    <row r="1251" spans="7:7" ht="16.5" customHeight="1">
      <c r="G1251" s="66">
        <f>IF($D1251="","",IF(COUNTIF('Config'!$E$8:$E$15,$D1251)&gt;0,"Entrada",IF(COUNTIF('Config'!$G$8:$G$23,$D1251)&gt;0,"Saída","Verificar")))</f>
        <v/>
      </c>
    </row>
    <row r="1252" spans="7:7" ht="16.5" customHeight="1">
      <c r="G1252" s="66">
        <f>IF($D1252="","",IF(COUNTIF('Config'!$E$8:$E$15,$D1252)&gt;0,"Entrada",IF(COUNTIF('Config'!$G$8:$G$23,$D1252)&gt;0,"Saída","Verificar")))</f>
        <v/>
      </c>
    </row>
    <row r="1253" spans="7:7" ht="16.5" customHeight="1">
      <c r="G1253" s="66">
        <f>IF($D1253="","",IF(COUNTIF('Config'!$E$8:$E$15,$D1253)&gt;0,"Entrada",IF(COUNTIF('Config'!$G$8:$G$23,$D1253)&gt;0,"Saída","Verificar")))</f>
        <v/>
      </c>
    </row>
    <row r="1254" spans="7:7" ht="16.5" customHeight="1">
      <c r="G1254" s="66">
        <f>IF($D1254="","",IF(COUNTIF('Config'!$E$8:$E$15,$D1254)&gt;0,"Entrada",IF(COUNTIF('Config'!$G$8:$G$23,$D1254)&gt;0,"Saída","Verificar")))</f>
        <v/>
      </c>
    </row>
    <row r="1255" spans="7:7" ht="16.5" customHeight="1">
      <c r="G1255" s="66">
        <f>IF($D1255="","",IF(COUNTIF('Config'!$E$8:$E$15,$D1255)&gt;0,"Entrada",IF(COUNTIF('Config'!$G$8:$G$23,$D1255)&gt;0,"Saída","Verificar")))</f>
        <v/>
      </c>
    </row>
    <row r="1256" spans="7:7" ht="16.5" customHeight="1">
      <c r="G1256" s="66">
        <f>IF($D1256="","",IF(COUNTIF('Config'!$E$8:$E$15,$D1256)&gt;0,"Entrada",IF(COUNTIF('Config'!$G$8:$G$23,$D1256)&gt;0,"Saída","Verificar")))</f>
        <v/>
      </c>
    </row>
    <row r="1257" spans="7:7" ht="16.5" customHeight="1">
      <c r="G1257" s="66">
        <f>IF($D1257="","",IF(COUNTIF('Config'!$E$8:$E$15,$D1257)&gt;0,"Entrada",IF(COUNTIF('Config'!$G$8:$G$23,$D1257)&gt;0,"Saída","Verificar")))</f>
        <v/>
      </c>
    </row>
    <row r="1258" spans="7:7" ht="16.5" customHeight="1">
      <c r="G1258" s="66">
        <f>IF($D1258="","",IF(COUNTIF('Config'!$E$8:$E$15,$D1258)&gt;0,"Entrada",IF(COUNTIF('Config'!$G$8:$G$23,$D1258)&gt;0,"Saída","Verificar")))</f>
        <v/>
      </c>
    </row>
    <row r="1259" spans="7:7" ht="16.5" customHeight="1">
      <c r="G1259" s="66">
        <f>IF($D1259="","",IF(COUNTIF('Config'!$E$8:$E$15,$D1259)&gt;0,"Entrada",IF(COUNTIF('Config'!$G$8:$G$23,$D1259)&gt;0,"Saída","Verificar")))</f>
        <v/>
      </c>
    </row>
    <row r="1260" spans="7:7" ht="16.5" customHeight="1">
      <c r="G1260" s="66">
        <f>IF($D1260="","",IF(COUNTIF('Config'!$E$8:$E$15,$D1260)&gt;0,"Entrada",IF(COUNTIF('Config'!$G$8:$G$23,$D1260)&gt;0,"Saída","Verificar")))</f>
        <v/>
      </c>
    </row>
    <row r="1261" spans="7:7" ht="16.5" customHeight="1">
      <c r="G1261" s="66">
        <f>IF($D1261="","",IF(COUNTIF('Config'!$E$8:$E$15,$D1261)&gt;0,"Entrada",IF(COUNTIF('Config'!$G$8:$G$23,$D1261)&gt;0,"Saída","Verificar")))</f>
        <v/>
      </c>
    </row>
    <row r="1262" spans="7:7" ht="16.5" customHeight="1">
      <c r="G1262" s="66">
        <f>IF($D1262="","",IF(COUNTIF('Config'!$E$8:$E$15,$D1262)&gt;0,"Entrada",IF(COUNTIF('Config'!$G$8:$G$23,$D1262)&gt;0,"Saída","Verificar")))</f>
        <v/>
      </c>
    </row>
    <row r="1263" spans="7:7" ht="16.5" customHeight="1">
      <c r="G1263" s="66">
        <f>IF($D1263="","",IF(COUNTIF('Config'!$E$8:$E$15,$D1263)&gt;0,"Entrada",IF(COUNTIF('Config'!$G$8:$G$23,$D1263)&gt;0,"Saída","Verificar")))</f>
        <v/>
      </c>
    </row>
    <row r="1264" spans="7:7" ht="16.5" customHeight="1">
      <c r="G1264" s="66">
        <f>IF($D1264="","",IF(COUNTIF('Config'!$E$8:$E$15,$D1264)&gt;0,"Entrada",IF(COUNTIF('Config'!$G$8:$G$23,$D1264)&gt;0,"Saída","Verificar")))</f>
        <v/>
      </c>
    </row>
    <row r="1265" spans="7:7" ht="16.5" customHeight="1">
      <c r="G1265" s="66">
        <f>IF($D1265="","",IF(COUNTIF('Config'!$E$8:$E$15,$D1265)&gt;0,"Entrada",IF(COUNTIF('Config'!$G$8:$G$23,$D1265)&gt;0,"Saída","Verificar")))</f>
        <v/>
      </c>
    </row>
    <row r="1266" spans="7:7" ht="16.5" customHeight="1">
      <c r="G1266" s="66">
        <f>IF($D1266="","",IF(COUNTIF('Config'!$E$8:$E$15,$D1266)&gt;0,"Entrada",IF(COUNTIF('Config'!$G$8:$G$23,$D1266)&gt;0,"Saída","Verificar")))</f>
        <v/>
      </c>
    </row>
    <row r="1267" spans="7:7" ht="16.5" customHeight="1">
      <c r="G1267" s="66">
        <f>IF($D1267="","",IF(COUNTIF('Config'!$E$8:$E$15,$D1267)&gt;0,"Entrada",IF(COUNTIF('Config'!$G$8:$G$23,$D1267)&gt;0,"Saída","Verificar")))</f>
        <v/>
      </c>
    </row>
    <row r="1268" spans="7:7" ht="16.5" customHeight="1">
      <c r="G1268" s="66">
        <f>IF($D1268="","",IF(COUNTIF('Config'!$E$8:$E$15,$D1268)&gt;0,"Entrada",IF(COUNTIF('Config'!$G$8:$G$23,$D1268)&gt;0,"Saída","Verificar")))</f>
        <v/>
      </c>
    </row>
    <row r="1269" spans="7:7" ht="16.5" customHeight="1">
      <c r="G1269" s="66">
        <f>IF($D1269="","",IF(COUNTIF('Config'!$E$8:$E$15,$D1269)&gt;0,"Entrada",IF(COUNTIF('Config'!$G$8:$G$23,$D1269)&gt;0,"Saída","Verificar")))</f>
        <v/>
      </c>
    </row>
    <row r="1270" spans="7:7" ht="16.5" customHeight="1">
      <c r="G1270" s="66">
        <f>IF($D1270="","",IF(COUNTIF('Config'!$E$8:$E$15,$D1270)&gt;0,"Entrada",IF(COUNTIF('Config'!$G$8:$G$23,$D1270)&gt;0,"Saída","Verificar")))</f>
        <v/>
      </c>
    </row>
    <row r="1271" spans="7:7" ht="16.5" customHeight="1">
      <c r="G1271" s="66">
        <f>IF($D1271="","",IF(COUNTIF('Config'!$E$8:$E$15,$D1271)&gt;0,"Entrada",IF(COUNTIF('Config'!$G$8:$G$23,$D1271)&gt;0,"Saída","Verificar")))</f>
        <v/>
      </c>
    </row>
    <row r="1272" spans="7:7" ht="16.5" customHeight="1">
      <c r="G1272" s="66">
        <f>IF($D1272="","",IF(COUNTIF('Config'!$E$8:$E$15,$D1272)&gt;0,"Entrada",IF(COUNTIF('Config'!$G$8:$G$23,$D1272)&gt;0,"Saída","Verificar")))</f>
        <v/>
      </c>
    </row>
    <row r="1273" spans="7:7" ht="16.5" customHeight="1">
      <c r="G1273" s="66">
        <f>IF($D1273="","",IF(COUNTIF('Config'!$E$8:$E$15,$D1273)&gt;0,"Entrada",IF(COUNTIF('Config'!$G$8:$G$23,$D1273)&gt;0,"Saída","Verificar")))</f>
        <v/>
      </c>
    </row>
    <row r="1274" spans="7:7" ht="16.5" customHeight="1">
      <c r="G1274" s="66">
        <f>IF($D1274="","",IF(COUNTIF('Config'!$E$8:$E$15,$D1274)&gt;0,"Entrada",IF(COUNTIF('Config'!$G$8:$G$23,$D1274)&gt;0,"Saída","Verificar")))</f>
        <v/>
      </c>
    </row>
    <row r="1275" spans="7:7" ht="16.5" customHeight="1">
      <c r="G1275" s="66">
        <f>IF($D1275="","",IF(COUNTIF('Config'!$E$8:$E$15,$D1275)&gt;0,"Entrada",IF(COUNTIF('Config'!$G$8:$G$23,$D1275)&gt;0,"Saída","Verificar")))</f>
        <v/>
      </c>
    </row>
    <row r="1276" spans="7:7" ht="16.5" customHeight="1">
      <c r="G1276" s="66">
        <f>IF($D1276="","",IF(COUNTIF('Config'!$E$8:$E$15,$D1276)&gt;0,"Entrada",IF(COUNTIF('Config'!$G$8:$G$23,$D1276)&gt;0,"Saída","Verificar")))</f>
        <v/>
      </c>
    </row>
    <row r="1277" spans="7:7" ht="16.5" customHeight="1">
      <c r="G1277" s="66">
        <f>IF($D1277="","",IF(COUNTIF('Config'!$E$8:$E$15,$D1277)&gt;0,"Entrada",IF(COUNTIF('Config'!$G$8:$G$23,$D1277)&gt;0,"Saída","Verificar")))</f>
        <v/>
      </c>
    </row>
    <row r="1278" spans="7:7" ht="16.5" customHeight="1">
      <c r="G1278" s="66">
        <f>IF($D1278="","",IF(COUNTIF('Config'!$E$8:$E$15,$D1278)&gt;0,"Entrada",IF(COUNTIF('Config'!$G$8:$G$23,$D1278)&gt;0,"Saída","Verificar")))</f>
        <v/>
      </c>
    </row>
    <row r="1279" spans="7:7" ht="16.5" customHeight="1">
      <c r="G1279" s="66">
        <f>IF($D1279="","",IF(COUNTIF('Config'!$E$8:$E$15,$D1279)&gt;0,"Entrada",IF(COUNTIF('Config'!$G$8:$G$23,$D1279)&gt;0,"Saída","Verificar")))</f>
        <v/>
      </c>
    </row>
    <row r="1280" spans="7:7" ht="16.5" customHeight="1">
      <c r="G1280" s="66">
        <f>IF($D1280="","",IF(COUNTIF('Config'!$E$8:$E$15,$D1280)&gt;0,"Entrada",IF(COUNTIF('Config'!$G$8:$G$23,$D1280)&gt;0,"Saída","Verificar")))</f>
        <v/>
      </c>
    </row>
    <row r="1281" spans="7:7" ht="16.5" customHeight="1">
      <c r="G1281" s="66">
        <f>IF($D1281="","",IF(COUNTIF('Config'!$E$8:$E$15,$D1281)&gt;0,"Entrada",IF(COUNTIF('Config'!$G$8:$G$23,$D1281)&gt;0,"Saída","Verificar")))</f>
        <v/>
      </c>
    </row>
    <row r="1282" spans="7:7" ht="16.5" customHeight="1">
      <c r="G1282" s="66">
        <f>IF($D1282="","",IF(COUNTIF('Config'!$E$8:$E$15,$D1282)&gt;0,"Entrada",IF(COUNTIF('Config'!$G$8:$G$23,$D1282)&gt;0,"Saída","Verificar")))</f>
        <v/>
      </c>
    </row>
    <row r="1283" spans="7:7" ht="16.5" customHeight="1">
      <c r="G1283" s="66">
        <f>IF($D1283="","",IF(COUNTIF('Config'!$E$8:$E$15,$D1283)&gt;0,"Entrada",IF(COUNTIF('Config'!$G$8:$G$23,$D1283)&gt;0,"Saída","Verificar")))</f>
        <v/>
      </c>
    </row>
    <row r="1284" spans="7:7" ht="16.5" customHeight="1">
      <c r="G1284" s="66">
        <f>IF($D1284="","",IF(COUNTIF('Config'!$E$8:$E$15,$D1284)&gt;0,"Entrada",IF(COUNTIF('Config'!$G$8:$G$23,$D1284)&gt;0,"Saída","Verificar")))</f>
        <v/>
      </c>
    </row>
    <row r="1285" spans="7:7" ht="16.5" customHeight="1">
      <c r="G1285" s="66">
        <f>IF($D1285="","",IF(COUNTIF('Config'!$E$8:$E$15,$D1285)&gt;0,"Entrada",IF(COUNTIF('Config'!$G$8:$G$23,$D1285)&gt;0,"Saída","Verificar")))</f>
        <v/>
      </c>
    </row>
    <row r="1286" spans="7:7" ht="16.5" customHeight="1">
      <c r="G1286" s="66">
        <f>IF($D1286="","",IF(COUNTIF('Config'!$E$8:$E$15,$D1286)&gt;0,"Entrada",IF(COUNTIF('Config'!$G$8:$G$23,$D1286)&gt;0,"Saída","Verificar")))</f>
        <v/>
      </c>
    </row>
    <row r="1287" spans="7:7" ht="16.5" customHeight="1">
      <c r="G1287" s="66">
        <f>IF($D1287="","",IF(COUNTIF('Config'!$E$8:$E$15,$D1287)&gt;0,"Entrada",IF(COUNTIF('Config'!$G$8:$G$23,$D1287)&gt;0,"Saída","Verificar")))</f>
        <v/>
      </c>
    </row>
    <row r="1288" spans="7:7" ht="16.5" customHeight="1">
      <c r="G1288" s="66">
        <f>IF($D1288="","",IF(COUNTIF('Config'!$E$8:$E$15,$D1288)&gt;0,"Entrada",IF(COUNTIF('Config'!$G$8:$G$23,$D1288)&gt;0,"Saída","Verificar")))</f>
        <v/>
      </c>
    </row>
    <row r="1289" spans="7:7" ht="16.5" customHeight="1">
      <c r="G1289" s="66">
        <f>IF($D1289="","",IF(COUNTIF('Config'!$E$8:$E$15,$D1289)&gt;0,"Entrada",IF(COUNTIF('Config'!$G$8:$G$23,$D1289)&gt;0,"Saída","Verificar")))</f>
        <v/>
      </c>
    </row>
    <row r="1290" spans="7:7" ht="16.5" customHeight="1">
      <c r="G1290" s="66">
        <f>IF($D1290="","",IF(COUNTIF('Config'!$E$8:$E$15,$D1290)&gt;0,"Entrada",IF(COUNTIF('Config'!$G$8:$G$23,$D1290)&gt;0,"Saída","Verificar")))</f>
        <v/>
      </c>
    </row>
    <row r="1291" spans="7:7" ht="16.5" customHeight="1">
      <c r="G1291" s="66">
        <f>IF($D1291="","",IF(COUNTIF('Config'!$E$8:$E$15,$D1291)&gt;0,"Entrada",IF(COUNTIF('Config'!$G$8:$G$23,$D1291)&gt;0,"Saída","Verificar")))</f>
        <v/>
      </c>
    </row>
    <row r="1292" spans="7:7" ht="16.5" customHeight="1">
      <c r="G1292" s="66">
        <f>IF($D1292="","",IF(COUNTIF('Config'!$E$8:$E$15,$D1292)&gt;0,"Entrada",IF(COUNTIF('Config'!$G$8:$G$23,$D1292)&gt;0,"Saída","Verificar")))</f>
        <v/>
      </c>
    </row>
    <row r="1293" spans="7:7" ht="16.5" customHeight="1">
      <c r="G1293" s="66">
        <f>IF($D1293="","",IF(COUNTIF('Config'!$E$8:$E$15,$D1293)&gt;0,"Entrada",IF(COUNTIF('Config'!$G$8:$G$23,$D1293)&gt;0,"Saída","Verificar")))</f>
        <v/>
      </c>
    </row>
    <row r="1294" spans="7:7" ht="16.5" customHeight="1">
      <c r="G1294" s="66">
        <f>IF($D1294="","",IF(COUNTIF('Config'!$E$8:$E$15,$D1294)&gt;0,"Entrada",IF(COUNTIF('Config'!$G$8:$G$23,$D1294)&gt;0,"Saída","Verificar")))</f>
        <v/>
      </c>
    </row>
    <row r="1295" spans="7:7" ht="16.5" customHeight="1">
      <c r="G1295" s="66">
        <f>IF($D1295="","",IF(COUNTIF('Config'!$E$8:$E$15,$D1295)&gt;0,"Entrada",IF(COUNTIF('Config'!$G$8:$G$23,$D1295)&gt;0,"Saída","Verificar")))</f>
        <v/>
      </c>
    </row>
    <row r="1296" spans="7:7" ht="16.5" customHeight="1">
      <c r="G1296" s="66">
        <f>IF($D1296="","",IF(COUNTIF('Config'!$E$8:$E$15,$D1296)&gt;0,"Entrada",IF(COUNTIF('Config'!$G$8:$G$23,$D1296)&gt;0,"Saída","Verificar")))</f>
        <v/>
      </c>
    </row>
    <row r="1297" spans="7:7" ht="16.5" customHeight="1">
      <c r="G1297" s="66">
        <f>IF($D1297="","",IF(COUNTIF('Config'!$E$8:$E$15,$D1297)&gt;0,"Entrada",IF(COUNTIF('Config'!$G$8:$G$23,$D1297)&gt;0,"Saída","Verificar")))</f>
        <v/>
      </c>
    </row>
    <row r="1298" spans="7:7" ht="16.5" customHeight="1">
      <c r="G1298" s="66">
        <f>IF($D1298="","",IF(COUNTIF('Config'!$E$8:$E$15,$D1298)&gt;0,"Entrada",IF(COUNTIF('Config'!$G$8:$G$23,$D1298)&gt;0,"Saída","Verificar")))</f>
        <v/>
      </c>
    </row>
    <row r="1299" spans="7:7" ht="16.5" customHeight="1">
      <c r="G1299" s="66">
        <f>IF($D1299="","",IF(COUNTIF('Config'!$E$8:$E$15,$D1299)&gt;0,"Entrada",IF(COUNTIF('Config'!$G$8:$G$23,$D1299)&gt;0,"Saída","Verificar")))</f>
        <v/>
      </c>
    </row>
    <row r="1300" spans="7:7" ht="16.5" customHeight="1">
      <c r="G1300" s="66">
        <f>IF($D1300="","",IF(COUNTIF('Config'!$E$8:$E$15,$D1300)&gt;0,"Entrada",IF(COUNTIF('Config'!$G$8:$G$23,$D1300)&gt;0,"Saída","Verificar")))</f>
        <v/>
      </c>
    </row>
    <row r="1301" spans="7:7" ht="16.5" customHeight="1">
      <c r="G1301" s="66">
        <f>IF($D1301="","",IF(COUNTIF('Config'!$E$8:$E$15,$D1301)&gt;0,"Entrada",IF(COUNTIF('Config'!$G$8:$G$23,$D1301)&gt;0,"Saída","Verificar")))</f>
        <v/>
      </c>
    </row>
    <row r="1302" spans="7:7" ht="16.5" customHeight="1">
      <c r="G1302" s="66">
        <f>IF($D1302="","",IF(COUNTIF('Config'!$E$8:$E$15,$D1302)&gt;0,"Entrada",IF(COUNTIF('Config'!$G$8:$G$23,$D1302)&gt;0,"Saída","Verificar")))</f>
        <v/>
      </c>
    </row>
    <row r="1303" spans="7:7" ht="16.5" customHeight="1">
      <c r="G1303" s="66">
        <f>IF($D1303="","",IF(COUNTIF('Config'!$E$8:$E$15,$D1303)&gt;0,"Entrada",IF(COUNTIF('Config'!$G$8:$G$23,$D1303)&gt;0,"Saída","Verificar")))</f>
        <v/>
      </c>
    </row>
    <row r="1304" spans="7:7" ht="16.5" customHeight="1">
      <c r="G1304" s="66">
        <f>IF($D1304="","",IF(COUNTIF('Config'!$E$8:$E$15,$D1304)&gt;0,"Entrada",IF(COUNTIF('Config'!$G$8:$G$23,$D1304)&gt;0,"Saída","Verificar")))</f>
        <v/>
      </c>
    </row>
    <row r="1305" spans="7:7" ht="16.5" customHeight="1">
      <c r="G1305" s="66">
        <f>IF($D1305="","",IF(COUNTIF('Config'!$E$8:$E$15,$D1305)&gt;0,"Entrada",IF(COUNTIF('Config'!$G$8:$G$23,$D1305)&gt;0,"Saída","Verificar")))</f>
        <v/>
      </c>
    </row>
    <row r="1306" spans="7:7" ht="16.5" customHeight="1">
      <c r="G1306" s="66">
        <f>IF($D1306="","",IF(COUNTIF('Config'!$E$8:$E$15,$D1306)&gt;0,"Entrada",IF(COUNTIF('Config'!$G$8:$G$23,$D1306)&gt;0,"Saída","Verificar")))</f>
        <v/>
      </c>
    </row>
    <row r="1307" spans="7:7" ht="16.5" customHeight="1">
      <c r="G1307" s="66">
        <f>IF($D1307="","",IF(COUNTIF('Config'!$E$8:$E$15,$D1307)&gt;0,"Entrada",IF(COUNTIF('Config'!$G$8:$G$23,$D1307)&gt;0,"Saída","Verificar")))</f>
        <v/>
      </c>
    </row>
    <row r="1308" spans="7:7" ht="16.5" customHeight="1">
      <c r="G1308" s="66">
        <f>IF($D1308="","",IF(COUNTIF('Config'!$E$8:$E$15,$D1308)&gt;0,"Entrada",IF(COUNTIF('Config'!$G$8:$G$23,$D1308)&gt;0,"Saída","Verificar")))</f>
        <v/>
      </c>
    </row>
    <row r="1309" spans="7:7" ht="16.5" customHeight="1">
      <c r="G1309" s="66">
        <f>IF($D1309="","",IF(COUNTIF('Config'!$E$8:$E$15,$D1309)&gt;0,"Entrada",IF(COUNTIF('Config'!$G$8:$G$23,$D1309)&gt;0,"Saída","Verificar")))</f>
        <v/>
      </c>
    </row>
    <row r="1310" spans="7:7" ht="16.5" customHeight="1">
      <c r="G1310" s="66">
        <f>IF($D1310="","",IF(COUNTIF('Config'!$E$8:$E$15,$D1310)&gt;0,"Entrada",IF(COUNTIF('Config'!$G$8:$G$23,$D1310)&gt;0,"Saída","Verificar")))</f>
        <v/>
      </c>
    </row>
    <row r="1311" spans="7:7" ht="16.5" customHeight="1">
      <c r="G1311" s="66">
        <f>IF($D1311="","",IF(COUNTIF('Config'!$E$8:$E$15,$D1311)&gt;0,"Entrada",IF(COUNTIF('Config'!$G$8:$G$23,$D1311)&gt;0,"Saída","Verificar")))</f>
        <v/>
      </c>
    </row>
    <row r="1312" spans="7:7" ht="16.5" customHeight="1">
      <c r="G1312" s="66">
        <f>IF($D1312="","",IF(COUNTIF('Config'!$E$8:$E$15,$D1312)&gt;0,"Entrada",IF(COUNTIF('Config'!$G$8:$G$23,$D1312)&gt;0,"Saída","Verificar")))</f>
        <v/>
      </c>
    </row>
    <row r="1313" spans="7:7" ht="16.5" customHeight="1">
      <c r="G1313" s="66">
        <f>IF($D1313="","",IF(COUNTIF('Config'!$E$8:$E$15,$D1313)&gt;0,"Entrada",IF(COUNTIF('Config'!$G$8:$G$23,$D1313)&gt;0,"Saída","Verificar")))</f>
        <v/>
      </c>
    </row>
    <row r="1314" spans="7:7" ht="16.5" customHeight="1">
      <c r="G1314" s="66">
        <f>IF($D1314="","",IF(COUNTIF('Config'!$E$8:$E$15,$D1314)&gt;0,"Entrada",IF(COUNTIF('Config'!$G$8:$G$23,$D1314)&gt;0,"Saída","Verificar")))</f>
        <v/>
      </c>
    </row>
    <row r="1315" spans="7:7" ht="16.5" customHeight="1">
      <c r="G1315" s="66">
        <f>IF($D1315="","",IF(COUNTIF('Config'!$E$8:$E$15,$D1315)&gt;0,"Entrada",IF(COUNTIF('Config'!$G$8:$G$23,$D1315)&gt;0,"Saída","Verificar")))</f>
        <v/>
      </c>
    </row>
    <row r="1316" spans="7:7" ht="16.5" customHeight="1">
      <c r="G1316" s="66">
        <f>IF($D1316="","",IF(COUNTIF('Config'!$E$8:$E$15,$D1316)&gt;0,"Entrada",IF(COUNTIF('Config'!$G$8:$G$23,$D1316)&gt;0,"Saída","Verificar")))</f>
        <v/>
      </c>
    </row>
    <row r="1317" spans="7:7" ht="16.5" customHeight="1">
      <c r="G1317" s="66">
        <f>IF($D1317="","",IF(COUNTIF('Config'!$E$8:$E$15,$D1317)&gt;0,"Entrada",IF(COUNTIF('Config'!$G$8:$G$23,$D1317)&gt;0,"Saída","Verificar")))</f>
        <v/>
      </c>
    </row>
    <row r="1318" spans="7:7" ht="16.5" customHeight="1">
      <c r="G1318" s="66">
        <f>IF($D1318="","",IF(COUNTIF('Config'!$E$8:$E$15,$D1318)&gt;0,"Entrada",IF(COUNTIF('Config'!$G$8:$G$23,$D1318)&gt;0,"Saída","Verificar")))</f>
        <v/>
      </c>
    </row>
    <row r="1319" spans="7:7" ht="16.5" customHeight="1">
      <c r="G1319" s="66">
        <f>IF($D1319="","",IF(COUNTIF('Config'!$E$8:$E$15,$D1319)&gt;0,"Entrada",IF(COUNTIF('Config'!$G$8:$G$23,$D1319)&gt;0,"Saída","Verificar")))</f>
        <v/>
      </c>
    </row>
    <row r="1320" spans="7:7" ht="16.5" customHeight="1">
      <c r="G1320" s="66">
        <f>IF($D1320="","",IF(COUNTIF('Config'!$E$8:$E$15,$D1320)&gt;0,"Entrada",IF(COUNTIF('Config'!$G$8:$G$23,$D1320)&gt;0,"Saída","Verificar")))</f>
        <v/>
      </c>
    </row>
    <row r="1321" spans="7:7" ht="16.5" customHeight="1">
      <c r="G1321" s="66">
        <f>IF($D1321="","",IF(COUNTIF('Config'!$E$8:$E$15,$D1321)&gt;0,"Entrada",IF(COUNTIF('Config'!$G$8:$G$23,$D1321)&gt;0,"Saída","Verificar")))</f>
        <v/>
      </c>
    </row>
    <row r="1322" spans="7:7" ht="16.5" customHeight="1">
      <c r="G1322" s="66">
        <f>IF($D1322="","",IF(COUNTIF('Config'!$E$8:$E$15,$D1322)&gt;0,"Entrada",IF(COUNTIF('Config'!$G$8:$G$23,$D1322)&gt;0,"Saída","Verificar")))</f>
        <v/>
      </c>
    </row>
    <row r="1323" spans="7:7" ht="16.5" customHeight="1">
      <c r="G1323" s="66">
        <f>IF($D1323="","",IF(COUNTIF('Config'!$E$8:$E$15,$D1323)&gt;0,"Entrada",IF(COUNTIF('Config'!$G$8:$G$23,$D1323)&gt;0,"Saída","Verificar")))</f>
        <v/>
      </c>
    </row>
    <row r="1324" spans="7:7" ht="16.5" customHeight="1">
      <c r="G1324" s="66">
        <f>IF($D1324="","",IF(COUNTIF('Config'!$E$8:$E$15,$D1324)&gt;0,"Entrada",IF(COUNTIF('Config'!$G$8:$G$23,$D1324)&gt;0,"Saída","Verificar")))</f>
        <v/>
      </c>
    </row>
    <row r="1325" spans="7:7" ht="16.5" customHeight="1">
      <c r="G1325" s="66">
        <f>IF($D1325="","",IF(COUNTIF('Config'!$E$8:$E$15,$D1325)&gt;0,"Entrada",IF(COUNTIF('Config'!$G$8:$G$23,$D1325)&gt;0,"Saída","Verificar")))</f>
        <v/>
      </c>
    </row>
    <row r="1326" spans="7:7" ht="16.5" customHeight="1">
      <c r="G1326" s="66">
        <f>IF($D1326="","",IF(COUNTIF('Config'!$E$8:$E$15,$D1326)&gt;0,"Entrada",IF(COUNTIF('Config'!$G$8:$G$23,$D1326)&gt;0,"Saída","Verificar")))</f>
        <v/>
      </c>
    </row>
    <row r="1327" spans="7:7" ht="16.5" customHeight="1">
      <c r="G1327" s="66">
        <f>IF($D1327="","",IF(COUNTIF('Config'!$E$8:$E$15,$D1327)&gt;0,"Entrada",IF(COUNTIF('Config'!$G$8:$G$23,$D1327)&gt;0,"Saída","Verificar")))</f>
        <v/>
      </c>
    </row>
    <row r="1328" spans="7:7" ht="16.5" customHeight="1">
      <c r="G1328" s="66">
        <f>IF($D1328="","",IF(COUNTIF('Config'!$E$8:$E$15,$D1328)&gt;0,"Entrada",IF(COUNTIF('Config'!$G$8:$G$23,$D1328)&gt;0,"Saída","Verificar")))</f>
        <v/>
      </c>
    </row>
    <row r="1329" spans="7:7" ht="16.5" customHeight="1">
      <c r="G1329" s="66">
        <f>IF($D1329="","",IF(COUNTIF('Config'!$E$8:$E$15,$D1329)&gt;0,"Entrada",IF(COUNTIF('Config'!$G$8:$G$23,$D1329)&gt;0,"Saída","Verificar")))</f>
        <v/>
      </c>
    </row>
    <row r="1330" spans="7:7" ht="16.5" customHeight="1">
      <c r="G1330" s="66">
        <f>IF($D1330="","",IF(COUNTIF('Config'!$E$8:$E$15,$D1330)&gt;0,"Entrada",IF(COUNTIF('Config'!$G$8:$G$23,$D1330)&gt;0,"Saída","Verificar")))</f>
        <v/>
      </c>
    </row>
    <row r="1331" spans="7:7" ht="16.5" customHeight="1">
      <c r="G1331" s="66">
        <f>IF($D1331="","",IF(COUNTIF('Config'!$E$8:$E$15,$D1331)&gt;0,"Entrada",IF(COUNTIF('Config'!$G$8:$G$23,$D1331)&gt;0,"Saída","Verificar")))</f>
        <v/>
      </c>
    </row>
    <row r="1332" spans="7:7" ht="16.5" customHeight="1">
      <c r="G1332" s="66">
        <f>IF($D1332="","",IF(COUNTIF('Config'!$E$8:$E$15,$D1332)&gt;0,"Entrada",IF(COUNTIF('Config'!$G$8:$G$23,$D1332)&gt;0,"Saída","Verificar")))</f>
        <v/>
      </c>
    </row>
    <row r="1333" spans="7:7" ht="16.5" customHeight="1">
      <c r="G1333" s="66">
        <f>IF($D1333="","",IF(COUNTIF('Config'!$E$8:$E$15,$D1333)&gt;0,"Entrada",IF(COUNTIF('Config'!$G$8:$G$23,$D1333)&gt;0,"Saída","Verificar")))</f>
        <v/>
      </c>
    </row>
    <row r="1334" spans="7:7" ht="16.5" customHeight="1">
      <c r="G1334" s="66">
        <f>IF($D1334="","",IF(COUNTIF('Config'!$E$8:$E$15,$D1334)&gt;0,"Entrada",IF(COUNTIF('Config'!$G$8:$G$23,$D1334)&gt;0,"Saída","Verificar")))</f>
        <v/>
      </c>
    </row>
    <row r="1335" spans="7:7" ht="16.5" customHeight="1">
      <c r="G1335" s="66">
        <f>IF($D1335="","",IF(COUNTIF('Config'!$E$8:$E$15,$D1335)&gt;0,"Entrada",IF(COUNTIF('Config'!$G$8:$G$23,$D1335)&gt;0,"Saída","Verificar")))</f>
        <v/>
      </c>
    </row>
    <row r="1336" spans="7:7" ht="16.5" customHeight="1">
      <c r="G1336" s="66">
        <f>IF($D1336="","",IF(COUNTIF('Config'!$E$8:$E$15,$D1336)&gt;0,"Entrada",IF(COUNTIF('Config'!$G$8:$G$23,$D1336)&gt;0,"Saída","Verificar")))</f>
        <v/>
      </c>
    </row>
    <row r="1337" spans="7:7" ht="16.5" customHeight="1">
      <c r="G1337" s="66">
        <f>IF($D1337="","",IF(COUNTIF('Config'!$E$8:$E$15,$D1337)&gt;0,"Entrada",IF(COUNTIF('Config'!$G$8:$G$23,$D1337)&gt;0,"Saída","Verificar")))</f>
        <v/>
      </c>
    </row>
    <row r="1338" spans="7:7" ht="16.5" customHeight="1">
      <c r="G1338" s="66">
        <f>IF($D1338="","",IF(COUNTIF('Config'!$E$8:$E$15,$D1338)&gt;0,"Entrada",IF(COUNTIF('Config'!$G$8:$G$23,$D1338)&gt;0,"Saída","Verificar")))</f>
        <v/>
      </c>
    </row>
    <row r="1339" spans="7:7" ht="16.5" customHeight="1">
      <c r="G1339" s="66">
        <f>IF($D1339="","",IF(COUNTIF('Config'!$E$8:$E$15,$D1339)&gt;0,"Entrada",IF(COUNTIF('Config'!$G$8:$G$23,$D1339)&gt;0,"Saída","Verificar")))</f>
        <v/>
      </c>
    </row>
    <row r="1340" spans="7:7" ht="16.5" customHeight="1">
      <c r="G1340" s="66">
        <f>IF($D1340="","",IF(COUNTIF('Config'!$E$8:$E$15,$D1340)&gt;0,"Entrada",IF(COUNTIF('Config'!$G$8:$G$23,$D1340)&gt;0,"Saída","Verificar")))</f>
        <v/>
      </c>
    </row>
    <row r="1341" spans="7:7" ht="16.5" customHeight="1">
      <c r="G1341" s="66">
        <f>IF($D1341="","",IF(COUNTIF('Config'!$E$8:$E$15,$D1341)&gt;0,"Entrada",IF(COUNTIF('Config'!$G$8:$G$23,$D1341)&gt;0,"Saída","Verificar")))</f>
        <v/>
      </c>
    </row>
    <row r="1342" spans="7:7" ht="16.5" customHeight="1">
      <c r="G1342" s="66">
        <f>IF($D1342="","",IF(COUNTIF('Config'!$E$8:$E$15,$D1342)&gt;0,"Entrada",IF(COUNTIF('Config'!$G$8:$G$23,$D1342)&gt;0,"Saída","Verificar")))</f>
        <v/>
      </c>
    </row>
    <row r="1343" spans="7:7" ht="16.5" customHeight="1">
      <c r="G1343" s="66">
        <f>IF($D1343="","",IF(COUNTIF('Config'!$E$8:$E$15,$D1343)&gt;0,"Entrada",IF(COUNTIF('Config'!$G$8:$G$23,$D1343)&gt;0,"Saída","Verificar")))</f>
        <v/>
      </c>
    </row>
    <row r="1344" spans="7:7" ht="16.5" customHeight="1">
      <c r="G1344" s="66">
        <f>IF($D1344="","",IF(COUNTIF('Config'!$E$8:$E$15,$D1344)&gt;0,"Entrada",IF(COUNTIF('Config'!$G$8:$G$23,$D1344)&gt;0,"Saída","Verificar")))</f>
        <v/>
      </c>
    </row>
    <row r="1345" spans="7:7" ht="16.5" customHeight="1">
      <c r="G1345" s="66">
        <f>IF($D1345="","",IF(COUNTIF('Config'!$E$8:$E$15,$D1345)&gt;0,"Entrada",IF(COUNTIF('Config'!$G$8:$G$23,$D1345)&gt;0,"Saída","Verificar")))</f>
        <v/>
      </c>
    </row>
    <row r="1346" spans="7:7" ht="16.5" customHeight="1">
      <c r="G1346" s="66">
        <f>IF($D1346="","",IF(COUNTIF('Config'!$E$8:$E$15,$D1346)&gt;0,"Entrada",IF(COUNTIF('Config'!$G$8:$G$23,$D1346)&gt;0,"Saída","Verificar")))</f>
        <v/>
      </c>
    </row>
    <row r="1347" spans="7:7" ht="16.5" customHeight="1">
      <c r="G1347" s="66">
        <f>IF($D1347="","",IF(COUNTIF('Config'!$E$8:$E$15,$D1347)&gt;0,"Entrada",IF(COUNTIF('Config'!$G$8:$G$23,$D1347)&gt;0,"Saída","Verificar")))</f>
        <v/>
      </c>
    </row>
    <row r="1348" spans="7:7" ht="16.5" customHeight="1">
      <c r="G1348" s="66">
        <f>IF($D1348="","",IF(COUNTIF('Config'!$E$8:$E$15,$D1348)&gt;0,"Entrada",IF(COUNTIF('Config'!$G$8:$G$23,$D1348)&gt;0,"Saída","Verificar")))</f>
        <v/>
      </c>
    </row>
    <row r="1349" spans="7:7" ht="16.5" customHeight="1">
      <c r="G1349" s="66">
        <f>IF($D1349="","",IF(COUNTIF('Config'!$E$8:$E$15,$D1349)&gt;0,"Entrada",IF(COUNTIF('Config'!$G$8:$G$23,$D1349)&gt;0,"Saída","Verificar")))</f>
        <v/>
      </c>
    </row>
    <row r="1350" spans="7:7" ht="16.5" customHeight="1">
      <c r="G1350" s="66">
        <f>IF($D1350="","",IF(COUNTIF('Config'!$E$8:$E$15,$D1350)&gt;0,"Entrada",IF(COUNTIF('Config'!$G$8:$G$23,$D1350)&gt;0,"Saída","Verificar")))</f>
        <v/>
      </c>
    </row>
    <row r="1351" spans="7:7" ht="16.5" customHeight="1">
      <c r="G1351" s="66">
        <f>IF($D1351="","",IF(COUNTIF('Config'!$E$8:$E$15,$D1351)&gt;0,"Entrada",IF(COUNTIF('Config'!$G$8:$G$23,$D1351)&gt;0,"Saída","Verificar")))</f>
        <v/>
      </c>
    </row>
    <row r="1352" spans="7:7" ht="16.5" customHeight="1">
      <c r="G1352" s="66">
        <f>IF($D1352="","",IF(COUNTIF('Config'!$E$8:$E$15,$D1352)&gt;0,"Entrada",IF(COUNTIF('Config'!$G$8:$G$23,$D1352)&gt;0,"Saída","Verificar")))</f>
        <v/>
      </c>
    </row>
    <row r="1353" spans="7:7" ht="16.5" customHeight="1">
      <c r="G1353" s="66">
        <f>IF($D1353="","",IF(COUNTIF('Config'!$E$8:$E$15,$D1353)&gt;0,"Entrada",IF(COUNTIF('Config'!$G$8:$G$23,$D1353)&gt;0,"Saída","Verificar")))</f>
        <v/>
      </c>
    </row>
    <row r="1354" spans="7:7" ht="16.5" customHeight="1">
      <c r="G1354" s="66">
        <f>IF($D1354="","",IF(COUNTIF('Config'!$E$8:$E$15,$D1354)&gt;0,"Entrada",IF(COUNTIF('Config'!$G$8:$G$23,$D1354)&gt;0,"Saída","Verificar")))</f>
        <v/>
      </c>
    </row>
    <row r="1355" spans="7:7" ht="16.5" customHeight="1">
      <c r="G1355" s="66">
        <f>IF($D1355="","",IF(COUNTIF('Config'!$E$8:$E$15,$D1355)&gt;0,"Entrada",IF(COUNTIF('Config'!$G$8:$G$23,$D1355)&gt;0,"Saída","Verificar")))</f>
        <v/>
      </c>
    </row>
    <row r="1356" spans="7:7" ht="16.5" customHeight="1">
      <c r="G1356" s="66">
        <f>IF($D1356="","",IF(COUNTIF('Config'!$E$8:$E$15,$D1356)&gt;0,"Entrada",IF(COUNTIF('Config'!$G$8:$G$23,$D1356)&gt;0,"Saída","Verificar")))</f>
        <v/>
      </c>
    </row>
    <row r="1357" spans="7:7" ht="16.5" customHeight="1">
      <c r="G1357" s="66">
        <f>IF($D1357="","",IF(COUNTIF('Config'!$E$8:$E$15,$D1357)&gt;0,"Entrada",IF(COUNTIF('Config'!$G$8:$G$23,$D1357)&gt;0,"Saída","Verificar")))</f>
        <v/>
      </c>
    </row>
    <row r="1358" spans="7:7" ht="16.5" customHeight="1">
      <c r="G1358" s="66">
        <f>IF($D1358="","",IF(COUNTIF('Config'!$E$8:$E$15,$D1358)&gt;0,"Entrada",IF(COUNTIF('Config'!$G$8:$G$23,$D1358)&gt;0,"Saída","Verificar")))</f>
        <v/>
      </c>
    </row>
    <row r="1359" spans="7:7" ht="16.5" customHeight="1">
      <c r="G1359" s="66">
        <f>IF($D1359="","",IF(COUNTIF('Config'!$E$8:$E$15,$D1359)&gt;0,"Entrada",IF(COUNTIF('Config'!$G$8:$G$23,$D1359)&gt;0,"Saída","Verificar")))</f>
        <v/>
      </c>
    </row>
    <row r="1360" spans="7:7" ht="16.5" customHeight="1">
      <c r="G1360" s="66">
        <f>IF($D1360="","",IF(COUNTIF('Config'!$E$8:$E$15,$D1360)&gt;0,"Entrada",IF(COUNTIF('Config'!$G$8:$G$23,$D1360)&gt;0,"Saída","Verificar")))</f>
        <v/>
      </c>
    </row>
    <row r="1361" spans="7:7" ht="16.5" customHeight="1">
      <c r="G1361" s="66">
        <f>IF($D1361="","",IF(COUNTIF('Config'!$E$8:$E$15,$D1361)&gt;0,"Entrada",IF(COUNTIF('Config'!$G$8:$G$23,$D1361)&gt;0,"Saída","Verificar")))</f>
        <v/>
      </c>
    </row>
    <row r="1362" spans="7:7" ht="16.5" customHeight="1">
      <c r="G1362" s="66">
        <f>IF($D1362="","",IF(COUNTIF('Config'!$E$8:$E$15,$D1362)&gt;0,"Entrada",IF(COUNTIF('Config'!$G$8:$G$23,$D1362)&gt;0,"Saída","Verificar")))</f>
        <v/>
      </c>
    </row>
    <row r="1363" spans="7:7" ht="16.5" customHeight="1">
      <c r="G1363" s="66">
        <f>IF($D1363="","",IF(COUNTIF('Config'!$E$8:$E$15,$D1363)&gt;0,"Entrada",IF(COUNTIF('Config'!$G$8:$G$23,$D1363)&gt;0,"Saída","Verificar")))</f>
        <v/>
      </c>
    </row>
    <row r="1364" spans="7:7" ht="16.5" customHeight="1">
      <c r="G1364" s="66">
        <f>IF($D1364="","",IF(COUNTIF('Config'!$E$8:$E$15,$D1364)&gt;0,"Entrada",IF(COUNTIF('Config'!$G$8:$G$23,$D1364)&gt;0,"Saída","Verificar")))</f>
        <v/>
      </c>
    </row>
    <row r="1365" spans="7:7" ht="16.5" customHeight="1">
      <c r="G1365" s="66">
        <f>IF($D1365="","",IF(COUNTIF('Config'!$E$8:$E$15,$D1365)&gt;0,"Entrada",IF(COUNTIF('Config'!$G$8:$G$23,$D1365)&gt;0,"Saída","Verificar")))</f>
        <v/>
      </c>
    </row>
    <row r="1366" spans="7:7" ht="16.5" customHeight="1">
      <c r="G1366" s="66">
        <f>IF($D1366="","",IF(COUNTIF('Config'!$E$8:$E$15,$D1366)&gt;0,"Entrada",IF(COUNTIF('Config'!$G$8:$G$23,$D1366)&gt;0,"Saída","Verificar")))</f>
        <v/>
      </c>
    </row>
    <row r="1367" spans="7:7" ht="16.5" customHeight="1">
      <c r="G1367" s="66">
        <f>IF($D1367="","",IF(COUNTIF('Config'!$E$8:$E$15,$D1367)&gt;0,"Entrada",IF(COUNTIF('Config'!$G$8:$G$23,$D1367)&gt;0,"Saída","Verificar")))</f>
        <v/>
      </c>
    </row>
    <row r="1368" spans="7:7" ht="16.5" customHeight="1">
      <c r="G1368" s="66">
        <f>IF($D1368="","",IF(COUNTIF('Config'!$E$8:$E$15,$D1368)&gt;0,"Entrada",IF(COUNTIF('Config'!$G$8:$G$23,$D1368)&gt;0,"Saída","Verificar")))</f>
        <v/>
      </c>
    </row>
    <row r="1369" spans="7:7" ht="16.5" customHeight="1">
      <c r="G1369" s="66">
        <f>IF($D1369="","",IF(COUNTIF('Config'!$E$8:$E$15,$D1369)&gt;0,"Entrada",IF(COUNTIF('Config'!$G$8:$G$23,$D1369)&gt;0,"Saída","Verificar")))</f>
        <v/>
      </c>
    </row>
    <row r="1370" spans="7:7" ht="16.5" customHeight="1">
      <c r="G1370" s="66">
        <f>IF($D1370="","",IF(COUNTIF('Config'!$E$8:$E$15,$D1370)&gt;0,"Entrada",IF(COUNTIF('Config'!$G$8:$G$23,$D1370)&gt;0,"Saída","Verificar")))</f>
        <v/>
      </c>
    </row>
    <row r="1371" spans="7:7" ht="16.5" customHeight="1">
      <c r="G1371" s="66">
        <f>IF($D1371="","",IF(COUNTIF('Config'!$E$8:$E$15,$D1371)&gt;0,"Entrada",IF(COUNTIF('Config'!$G$8:$G$23,$D1371)&gt;0,"Saída","Verificar")))</f>
        <v/>
      </c>
    </row>
    <row r="1372" spans="7:7" ht="16.5" customHeight="1">
      <c r="G1372" s="66">
        <f>IF($D1372="","",IF(COUNTIF('Config'!$E$8:$E$15,$D1372)&gt;0,"Entrada",IF(COUNTIF('Config'!$G$8:$G$23,$D1372)&gt;0,"Saída","Verificar")))</f>
        <v/>
      </c>
    </row>
    <row r="1373" spans="7:7" ht="16.5" customHeight="1">
      <c r="G1373" s="66">
        <f>IF($D1373="","",IF(COUNTIF('Config'!$E$8:$E$15,$D1373)&gt;0,"Entrada",IF(COUNTIF('Config'!$G$8:$G$23,$D1373)&gt;0,"Saída","Verificar")))</f>
        <v/>
      </c>
    </row>
    <row r="1374" spans="7:7" ht="16.5" customHeight="1">
      <c r="G1374" s="66">
        <f>IF($D1374="","",IF(COUNTIF('Config'!$E$8:$E$15,$D1374)&gt;0,"Entrada",IF(COUNTIF('Config'!$G$8:$G$23,$D1374)&gt;0,"Saída","Verificar")))</f>
        <v/>
      </c>
    </row>
    <row r="1375" spans="7:7" ht="16.5" customHeight="1">
      <c r="G1375" s="66">
        <f>IF($D1375="","",IF(COUNTIF('Config'!$E$8:$E$15,$D1375)&gt;0,"Entrada",IF(COUNTIF('Config'!$G$8:$G$23,$D1375)&gt;0,"Saída","Verificar")))</f>
        <v/>
      </c>
    </row>
    <row r="1376" spans="7:7" ht="16.5" customHeight="1">
      <c r="G1376" s="66">
        <f>IF($D1376="","",IF(COUNTIF('Config'!$E$8:$E$15,$D1376)&gt;0,"Entrada",IF(COUNTIF('Config'!$G$8:$G$23,$D1376)&gt;0,"Saída","Verificar")))</f>
        <v/>
      </c>
    </row>
    <row r="1377" spans="7:7" ht="16.5" customHeight="1">
      <c r="G1377" s="66">
        <f>IF($D1377="","",IF(COUNTIF('Config'!$E$8:$E$15,$D1377)&gt;0,"Entrada",IF(COUNTIF('Config'!$G$8:$G$23,$D1377)&gt;0,"Saída","Verificar")))</f>
        <v/>
      </c>
    </row>
    <row r="1378" spans="7:7" ht="16.5" customHeight="1">
      <c r="G1378" s="66">
        <f>IF($D1378="","",IF(COUNTIF('Config'!$E$8:$E$15,$D1378)&gt;0,"Entrada",IF(COUNTIF('Config'!$G$8:$G$23,$D1378)&gt;0,"Saída","Verificar")))</f>
        <v/>
      </c>
    </row>
    <row r="1379" spans="7:7" ht="16.5" customHeight="1">
      <c r="G1379" s="66">
        <f>IF($D1379="","",IF(COUNTIF('Config'!$E$8:$E$15,$D1379)&gt;0,"Entrada",IF(COUNTIF('Config'!$G$8:$G$23,$D1379)&gt;0,"Saída","Verificar")))</f>
        <v/>
      </c>
    </row>
    <row r="1380" spans="7:7" ht="16.5" customHeight="1">
      <c r="G1380" s="66">
        <f>IF($D1380="","",IF(COUNTIF('Config'!$E$8:$E$15,$D1380)&gt;0,"Entrada",IF(COUNTIF('Config'!$G$8:$G$23,$D1380)&gt;0,"Saída","Verificar")))</f>
        <v/>
      </c>
    </row>
    <row r="1381" spans="7:7" ht="16.5" customHeight="1">
      <c r="G1381" s="66">
        <f>IF($D1381="","",IF(COUNTIF('Config'!$E$8:$E$15,$D1381)&gt;0,"Entrada",IF(COUNTIF('Config'!$G$8:$G$23,$D1381)&gt;0,"Saída","Verificar")))</f>
        <v/>
      </c>
    </row>
    <row r="1382" spans="7:7" ht="16.5" customHeight="1">
      <c r="G1382" s="66">
        <f>IF($D1382="","",IF(COUNTIF('Config'!$E$8:$E$15,$D1382)&gt;0,"Entrada",IF(COUNTIF('Config'!$G$8:$G$23,$D1382)&gt;0,"Saída","Verificar")))</f>
        <v/>
      </c>
    </row>
    <row r="1383" spans="7:7" ht="16.5" customHeight="1">
      <c r="G1383" s="66">
        <f>IF($D1383="","",IF(COUNTIF('Config'!$E$8:$E$15,$D1383)&gt;0,"Entrada",IF(COUNTIF('Config'!$G$8:$G$23,$D1383)&gt;0,"Saída","Verificar")))</f>
        <v/>
      </c>
    </row>
    <row r="1384" spans="7:7" ht="16.5" customHeight="1">
      <c r="G1384" s="66">
        <f>IF($D1384="","",IF(COUNTIF('Config'!$E$8:$E$15,$D1384)&gt;0,"Entrada",IF(COUNTIF('Config'!$G$8:$G$23,$D1384)&gt;0,"Saída","Verificar")))</f>
        <v/>
      </c>
    </row>
    <row r="1385" spans="7:7" ht="16.5" customHeight="1">
      <c r="G1385" s="66">
        <f>IF($D1385="","",IF(COUNTIF('Config'!$E$8:$E$15,$D1385)&gt;0,"Entrada",IF(COUNTIF('Config'!$G$8:$G$23,$D1385)&gt;0,"Saída","Verificar")))</f>
        <v/>
      </c>
    </row>
    <row r="1386" spans="7:7" ht="16.5" customHeight="1">
      <c r="G1386" s="66">
        <f>IF($D1386="","",IF(COUNTIF('Config'!$E$8:$E$15,$D1386)&gt;0,"Entrada",IF(COUNTIF('Config'!$G$8:$G$23,$D1386)&gt;0,"Saída","Verificar")))</f>
        <v/>
      </c>
    </row>
    <row r="1387" spans="7:7" ht="16.5" customHeight="1">
      <c r="G1387" s="66">
        <f>IF($D1387="","",IF(COUNTIF('Config'!$E$8:$E$15,$D1387)&gt;0,"Entrada",IF(COUNTIF('Config'!$G$8:$G$23,$D1387)&gt;0,"Saída","Verificar")))</f>
        <v/>
      </c>
    </row>
    <row r="1388" spans="7:7" ht="16.5" customHeight="1">
      <c r="G1388" s="66">
        <f>IF($D1388="","",IF(COUNTIF('Config'!$E$8:$E$15,$D1388)&gt;0,"Entrada",IF(COUNTIF('Config'!$G$8:$G$23,$D1388)&gt;0,"Saída","Verificar")))</f>
        <v/>
      </c>
    </row>
    <row r="1389" spans="7:7" ht="16.5" customHeight="1">
      <c r="G1389" s="66">
        <f>IF($D1389="","",IF(COUNTIF('Config'!$E$8:$E$15,$D1389)&gt;0,"Entrada",IF(COUNTIF('Config'!$G$8:$G$23,$D1389)&gt;0,"Saída","Verificar")))</f>
        <v/>
      </c>
    </row>
    <row r="1390" spans="7:7" ht="16.5" customHeight="1">
      <c r="G1390" s="66">
        <f>IF($D1390="","",IF(COUNTIF('Config'!$E$8:$E$15,$D1390)&gt;0,"Entrada",IF(COUNTIF('Config'!$G$8:$G$23,$D1390)&gt;0,"Saída","Verificar")))</f>
        <v/>
      </c>
    </row>
    <row r="1391" spans="7:7" ht="16.5" customHeight="1">
      <c r="G1391" s="66">
        <f>IF($D1391="","",IF(COUNTIF('Config'!$E$8:$E$15,$D1391)&gt;0,"Entrada",IF(COUNTIF('Config'!$G$8:$G$23,$D1391)&gt;0,"Saída","Verificar")))</f>
        <v/>
      </c>
    </row>
    <row r="1392" spans="7:7" ht="16.5" customHeight="1">
      <c r="G1392" s="66">
        <f>IF($D1392="","",IF(COUNTIF('Config'!$E$8:$E$15,$D1392)&gt;0,"Entrada",IF(COUNTIF('Config'!$G$8:$G$23,$D1392)&gt;0,"Saída","Verificar")))</f>
        <v/>
      </c>
    </row>
    <row r="1393" spans="7:7" ht="16.5" customHeight="1">
      <c r="G1393" s="66">
        <f>IF($D1393="","",IF(COUNTIF('Config'!$E$8:$E$15,$D1393)&gt;0,"Entrada",IF(COUNTIF('Config'!$G$8:$G$23,$D1393)&gt;0,"Saída","Verificar")))</f>
        <v/>
      </c>
    </row>
    <row r="1394" spans="7:7" ht="16.5" customHeight="1">
      <c r="G1394" s="66">
        <f>IF($D1394="","",IF(COUNTIF('Config'!$E$8:$E$15,$D1394)&gt;0,"Entrada",IF(COUNTIF('Config'!$G$8:$G$23,$D1394)&gt;0,"Saída","Verificar")))</f>
        <v/>
      </c>
    </row>
    <row r="1395" spans="7:7" ht="16.5" customHeight="1">
      <c r="G1395" s="66">
        <f>IF($D1395="","",IF(COUNTIF('Config'!$E$8:$E$15,$D1395)&gt;0,"Entrada",IF(COUNTIF('Config'!$G$8:$G$23,$D1395)&gt;0,"Saída","Verificar")))</f>
        <v/>
      </c>
    </row>
    <row r="1396" spans="7:7" ht="16.5" customHeight="1">
      <c r="G1396" s="66">
        <f>IF($D1396="","",IF(COUNTIF('Config'!$E$8:$E$15,$D1396)&gt;0,"Entrada",IF(COUNTIF('Config'!$G$8:$G$23,$D1396)&gt;0,"Saída","Verificar")))</f>
        <v/>
      </c>
    </row>
    <row r="1397" spans="7:7" ht="16.5" customHeight="1">
      <c r="G1397" s="66">
        <f>IF($D1397="","",IF(COUNTIF('Config'!$E$8:$E$15,$D1397)&gt;0,"Entrada",IF(COUNTIF('Config'!$G$8:$G$23,$D1397)&gt;0,"Saída","Verificar")))</f>
        <v/>
      </c>
    </row>
    <row r="1398" spans="7:7" ht="16.5" customHeight="1">
      <c r="G1398" s="66">
        <f>IF($D1398="","",IF(COUNTIF('Config'!$E$8:$E$15,$D1398)&gt;0,"Entrada",IF(COUNTIF('Config'!$G$8:$G$23,$D1398)&gt;0,"Saída","Verificar")))</f>
        <v/>
      </c>
    </row>
    <row r="1399" spans="7:7" ht="16.5" customHeight="1">
      <c r="G1399" s="66">
        <f>IF($D1399="","",IF(COUNTIF('Config'!$E$8:$E$15,$D1399)&gt;0,"Entrada",IF(COUNTIF('Config'!$G$8:$G$23,$D1399)&gt;0,"Saída","Verificar")))</f>
        <v/>
      </c>
    </row>
    <row r="1400" spans="7:7" ht="16.5" customHeight="1">
      <c r="G1400" s="66">
        <f>IF($D1400="","",IF(COUNTIF('Config'!$E$8:$E$15,$D1400)&gt;0,"Entrada",IF(COUNTIF('Config'!$G$8:$G$23,$D1400)&gt;0,"Saída","Verificar")))</f>
        <v/>
      </c>
    </row>
    <row r="1401" spans="7:7" ht="16.5" customHeight="1">
      <c r="G1401" s="66">
        <f>IF($D1401="","",IF(COUNTIF('Config'!$E$8:$E$15,$D1401)&gt;0,"Entrada",IF(COUNTIF('Config'!$G$8:$G$23,$D1401)&gt;0,"Saída","Verificar")))</f>
        <v/>
      </c>
    </row>
    <row r="1402" spans="7:7" ht="16.5" customHeight="1">
      <c r="G1402" s="66">
        <f>IF($D1402="","",IF(COUNTIF('Config'!$E$8:$E$15,$D1402)&gt;0,"Entrada",IF(COUNTIF('Config'!$G$8:$G$23,$D1402)&gt;0,"Saída","Verificar")))</f>
        <v/>
      </c>
    </row>
    <row r="1403" spans="7:7" ht="16.5" customHeight="1">
      <c r="G1403" s="66">
        <f>IF($D1403="","",IF(COUNTIF('Config'!$E$8:$E$15,$D1403)&gt;0,"Entrada",IF(COUNTIF('Config'!$G$8:$G$23,$D1403)&gt;0,"Saída","Verificar")))</f>
        <v/>
      </c>
    </row>
    <row r="1404" spans="7:7" ht="16.5" customHeight="1">
      <c r="G1404" s="66">
        <f>IF($D1404="","",IF(COUNTIF('Config'!$E$8:$E$15,$D1404)&gt;0,"Entrada",IF(COUNTIF('Config'!$G$8:$G$23,$D1404)&gt;0,"Saída","Verificar")))</f>
        <v/>
      </c>
    </row>
    <row r="1405" spans="7:7" ht="16.5" customHeight="1">
      <c r="G1405" s="66">
        <f>IF($D1405="","",IF(COUNTIF('Config'!$E$8:$E$15,$D1405)&gt;0,"Entrada",IF(COUNTIF('Config'!$G$8:$G$23,$D1405)&gt;0,"Saída","Verificar")))</f>
        <v/>
      </c>
    </row>
    <row r="1406" spans="7:7" ht="16.5" customHeight="1">
      <c r="G1406" s="66">
        <f>IF($D1406="","",IF(COUNTIF('Config'!$E$8:$E$15,$D1406)&gt;0,"Entrada",IF(COUNTIF('Config'!$G$8:$G$23,$D1406)&gt;0,"Saída","Verificar")))</f>
        <v/>
      </c>
    </row>
    <row r="1407" spans="7:7" ht="16.5" customHeight="1">
      <c r="G1407" s="66">
        <f>IF($D1407="","",IF(COUNTIF('Config'!$E$8:$E$15,$D1407)&gt;0,"Entrada",IF(COUNTIF('Config'!$G$8:$G$23,$D1407)&gt;0,"Saída","Verificar")))</f>
        <v/>
      </c>
    </row>
    <row r="1408" spans="7:7" ht="16.5" customHeight="1">
      <c r="G1408" s="66">
        <f>IF($D1408="","",IF(COUNTIF('Config'!$E$8:$E$15,$D1408)&gt;0,"Entrada",IF(COUNTIF('Config'!$G$8:$G$23,$D1408)&gt;0,"Saída","Verificar")))</f>
        <v/>
      </c>
    </row>
    <row r="1409" spans="7:7" ht="16.5" customHeight="1">
      <c r="G1409" s="66">
        <f>IF($D1409="","",IF(COUNTIF('Config'!$E$8:$E$15,$D1409)&gt;0,"Entrada",IF(COUNTIF('Config'!$G$8:$G$23,$D1409)&gt;0,"Saída","Verificar")))</f>
        <v/>
      </c>
    </row>
    <row r="1410" spans="7:7" ht="16.5" customHeight="1">
      <c r="G1410" s="66">
        <f>IF($D1410="","",IF(COUNTIF('Config'!$E$8:$E$15,$D1410)&gt;0,"Entrada",IF(COUNTIF('Config'!$G$8:$G$23,$D1410)&gt;0,"Saída","Verificar")))</f>
        <v/>
      </c>
    </row>
    <row r="1411" spans="7:7" ht="16.5" customHeight="1">
      <c r="G1411" s="66">
        <f>IF($D1411="","",IF(COUNTIF('Config'!$E$8:$E$15,$D1411)&gt;0,"Entrada",IF(COUNTIF('Config'!$G$8:$G$23,$D1411)&gt;0,"Saída","Verificar")))</f>
        <v/>
      </c>
    </row>
    <row r="1412" spans="7:7" ht="16.5" customHeight="1">
      <c r="G1412" s="66">
        <f>IF($D1412="","",IF(COUNTIF('Config'!$E$8:$E$15,$D1412)&gt;0,"Entrada",IF(COUNTIF('Config'!$G$8:$G$23,$D1412)&gt;0,"Saída","Verificar")))</f>
        <v/>
      </c>
    </row>
    <row r="1413" spans="7:7" ht="16.5" customHeight="1">
      <c r="G1413" s="66">
        <f>IF($D1413="","",IF(COUNTIF('Config'!$E$8:$E$15,$D1413)&gt;0,"Entrada",IF(COUNTIF('Config'!$G$8:$G$23,$D1413)&gt;0,"Saída","Verificar")))</f>
        <v/>
      </c>
    </row>
    <row r="1414" spans="7:7" ht="16.5" customHeight="1">
      <c r="G1414" s="66">
        <f>IF($D1414="","",IF(COUNTIF('Config'!$E$8:$E$15,$D1414)&gt;0,"Entrada",IF(COUNTIF('Config'!$G$8:$G$23,$D1414)&gt;0,"Saída","Verificar")))</f>
        <v/>
      </c>
    </row>
    <row r="1415" spans="7:7" ht="16.5" customHeight="1">
      <c r="G1415" s="66">
        <f>IF($D1415="","",IF(COUNTIF('Config'!$E$8:$E$15,$D1415)&gt;0,"Entrada",IF(COUNTIF('Config'!$G$8:$G$23,$D1415)&gt;0,"Saída","Verificar")))</f>
        <v/>
      </c>
    </row>
    <row r="1416" spans="7:7" ht="16.5" customHeight="1">
      <c r="G1416" s="66">
        <f>IF($D1416="","",IF(COUNTIF('Config'!$E$8:$E$15,$D1416)&gt;0,"Entrada",IF(COUNTIF('Config'!$G$8:$G$23,$D1416)&gt;0,"Saída","Verificar")))</f>
        <v/>
      </c>
    </row>
    <row r="1417" spans="7:7" ht="16.5" customHeight="1">
      <c r="G1417" s="66">
        <f>IF($D1417="","",IF(COUNTIF('Config'!$E$8:$E$15,$D1417)&gt;0,"Entrada",IF(COUNTIF('Config'!$G$8:$G$23,$D1417)&gt;0,"Saída","Verificar")))</f>
        <v/>
      </c>
    </row>
    <row r="1418" spans="7:7" ht="16.5" customHeight="1">
      <c r="G1418" s="66">
        <f>IF($D1418="","",IF(COUNTIF('Config'!$E$8:$E$15,$D1418)&gt;0,"Entrada",IF(COUNTIF('Config'!$G$8:$G$23,$D1418)&gt;0,"Saída","Verificar")))</f>
        <v/>
      </c>
    </row>
    <row r="1419" spans="7:7" ht="16.5" customHeight="1">
      <c r="G1419" s="66">
        <f>IF($D1419="","",IF(COUNTIF('Config'!$E$8:$E$15,$D1419)&gt;0,"Entrada",IF(COUNTIF('Config'!$G$8:$G$23,$D1419)&gt;0,"Saída","Verificar")))</f>
        <v/>
      </c>
    </row>
    <row r="1420" spans="7:7" ht="16.5" customHeight="1">
      <c r="G1420" s="66">
        <f>IF($D1420="","",IF(COUNTIF('Config'!$E$8:$E$15,$D1420)&gt;0,"Entrada",IF(COUNTIF('Config'!$G$8:$G$23,$D1420)&gt;0,"Saída","Verificar")))</f>
        <v/>
      </c>
    </row>
    <row r="1421" spans="7:7" ht="16.5" customHeight="1">
      <c r="G1421" s="66">
        <f>IF($D1421="","",IF(COUNTIF('Config'!$E$8:$E$15,$D1421)&gt;0,"Entrada",IF(COUNTIF('Config'!$G$8:$G$23,$D1421)&gt;0,"Saída","Verificar")))</f>
        <v/>
      </c>
    </row>
    <row r="1422" spans="7:7" ht="16.5" customHeight="1">
      <c r="G1422" s="66">
        <f>IF($D1422="","",IF(COUNTIF('Config'!$E$8:$E$15,$D1422)&gt;0,"Entrada",IF(COUNTIF('Config'!$G$8:$G$23,$D1422)&gt;0,"Saída","Verificar")))</f>
        <v/>
      </c>
    </row>
    <row r="1423" spans="7:7" ht="16.5" customHeight="1">
      <c r="G1423" s="66">
        <f>IF($D1423="","",IF(COUNTIF('Config'!$E$8:$E$15,$D1423)&gt;0,"Entrada",IF(COUNTIF('Config'!$G$8:$G$23,$D1423)&gt;0,"Saída","Verificar")))</f>
        <v/>
      </c>
    </row>
    <row r="1424" spans="7:7" ht="16.5" customHeight="1">
      <c r="G1424" s="66">
        <f>IF($D1424="","",IF(COUNTIF('Config'!$E$8:$E$15,$D1424)&gt;0,"Entrada",IF(COUNTIF('Config'!$G$8:$G$23,$D1424)&gt;0,"Saída","Verificar")))</f>
        <v/>
      </c>
    </row>
    <row r="1425" spans="7:7" ht="16.5" customHeight="1">
      <c r="G1425" s="66">
        <f>IF($D1425="","",IF(COUNTIF('Config'!$E$8:$E$15,$D1425)&gt;0,"Entrada",IF(COUNTIF('Config'!$G$8:$G$23,$D1425)&gt;0,"Saída","Verificar")))</f>
        <v/>
      </c>
    </row>
    <row r="1426" spans="7:7" ht="16.5" customHeight="1">
      <c r="G1426" s="66">
        <f>IF($D1426="","",IF(COUNTIF('Config'!$E$8:$E$15,$D1426)&gt;0,"Entrada",IF(COUNTIF('Config'!$G$8:$G$23,$D1426)&gt;0,"Saída","Verificar")))</f>
        <v/>
      </c>
    </row>
    <row r="1427" spans="7:7" ht="16.5" customHeight="1">
      <c r="G1427" s="66">
        <f>IF($D1427="","",IF(COUNTIF('Config'!$E$8:$E$15,$D1427)&gt;0,"Entrada",IF(COUNTIF('Config'!$G$8:$G$23,$D1427)&gt;0,"Saída","Verificar")))</f>
        <v/>
      </c>
    </row>
    <row r="1428" spans="7:7" ht="16.5" customHeight="1">
      <c r="G1428" s="66">
        <f>IF($D1428="","",IF(COUNTIF('Config'!$E$8:$E$15,$D1428)&gt;0,"Entrada",IF(COUNTIF('Config'!$G$8:$G$23,$D1428)&gt;0,"Saída","Verificar")))</f>
        <v/>
      </c>
    </row>
    <row r="1429" spans="7:7" ht="16.5" customHeight="1">
      <c r="G1429" s="66">
        <f>IF($D1429="","",IF(COUNTIF('Config'!$E$8:$E$15,$D1429)&gt;0,"Entrada",IF(COUNTIF('Config'!$G$8:$G$23,$D1429)&gt;0,"Saída","Verificar")))</f>
        <v/>
      </c>
    </row>
    <row r="1430" spans="7:7" ht="16.5" customHeight="1">
      <c r="G1430" s="66">
        <f>IF($D1430="","",IF(COUNTIF('Config'!$E$8:$E$15,$D1430)&gt;0,"Entrada",IF(COUNTIF('Config'!$G$8:$G$23,$D1430)&gt;0,"Saída","Verificar")))</f>
        <v/>
      </c>
    </row>
    <row r="1431" spans="7:7" ht="16.5" customHeight="1">
      <c r="G1431" s="66">
        <f>IF($D1431="","",IF(COUNTIF('Config'!$E$8:$E$15,$D1431)&gt;0,"Entrada",IF(COUNTIF('Config'!$G$8:$G$23,$D1431)&gt;0,"Saída","Verificar")))</f>
        <v/>
      </c>
    </row>
    <row r="1432" spans="7:7" ht="16.5" customHeight="1">
      <c r="G1432" s="66">
        <f>IF($D1432="","",IF(COUNTIF('Config'!$E$8:$E$15,$D1432)&gt;0,"Entrada",IF(COUNTIF('Config'!$G$8:$G$23,$D1432)&gt;0,"Saída","Verificar")))</f>
        <v/>
      </c>
    </row>
    <row r="1433" spans="7:7" ht="16.5" customHeight="1">
      <c r="G1433" s="66">
        <f>IF($D1433="","",IF(COUNTIF('Config'!$E$8:$E$15,$D1433)&gt;0,"Entrada",IF(COUNTIF('Config'!$G$8:$G$23,$D1433)&gt;0,"Saída","Verificar")))</f>
        <v/>
      </c>
    </row>
    <row r="1434" spans="7:7" ht="16.5" customHeight="1">
      <c r="G1434" s="66">
        <f>IF($D1434="","",IF(COUNTIF('Config'!$E$8:$E$15,$D1434)&gt;0,"Entrada",IF(COUNTIF('Config'!$G$8:$G$23,$D1434)&gt;0,"Saída","Verificar")))</f>
        <v/>
      </c>
    </row>
    <row r="1435" spans="7:7" ht="16.5" customHeight="1">
      <c r="G1435" s="66">
        <f>IF($D1435="","",IF(COUNTIF('Config'!$E$8:$E$15,$D1435)&gt;0,"Entrada",IF(COUNTIF('Config'!$G$8:$G$23,$D1435)&gt;0,"Saída","Verificar")))</f>
        <v/>
      </c>
    </row>
    <row r="1436" spans="7:7" ht="16.5" customHeight="1">
      <c r="G1436" s="66">
        <f>IF($D1436="","",IF(COUNTIF('Config'!$E$8:$E$15,$D1436)&gt;0,"Entrada",IF(COUNTIF('Config'!$G$8:$G$23,$D1436)&gt;0,"Saída","Verificar")))</f>
        <v/>
      </c>
    </row>
    <row r="1437" spans="7:7" ht="16.5" customHeight="1">
      <c r="G1437" s="66">
        <f>IF($D1437="","",IF(COUNTIF('Config'!$E$8:$E$15,$D1437)&gt;0,"Entrada",IF(COUNTIF('Config'!$G$8:$G$23,$D1437)&gt;0,"Saída","Verificar")))</f>
        <v/>
      </c>
    </row>
    <row r="1438" spans="7:7" ht="16.5" customHeight="1">
      <c r="G1438" s="66">
        <f>IF($D1438="","",IF(COUNTIF('Config'!$E$8:$E$15,$D1438)&gt;0,"Entrada",IF(COUNTIF('Config'!$G$8:$G$23,$D1438)&gt;0,"Saída","Verificar")))</f>
        <v/>
      </c>
    </row>
    <row r="1439" spans="7:7" ht="16.5" customHeight="1">
      <c r="G1439" s="66">
        <f>IF($D1439="","",IF(COUNTIF('Config'!$E$8:$E$15,$D1439)&gt;0,"Entrada",IF(COUNTIF('Config'!$G$8:$G$23,$D1439)&gt;0,"Saída","Verificar")))</f>
        <v/>
      </c>
    </row>
    <row r="1440" spans="7:7" ht="16.5" customHeight="1">
      <c r="G1440" s="66">
        <f>IF($D1440="","",IF(COUNTIF('Config'!$E$8:$E$15,$D1440)&gt;0,"Entrada",IF(COUNTIF('Config'!$G$8:$G$23,$D1440)&gt;0,"Saída","Verificar")))</f>
        <v/>
      </c>
    </row>
    <row r="1441" spans="7:7" ht="16.5" customHeight="1">
      <c r="G1441" s="66">
        <f>IF($D1441="","",IF(COUNTIF('Config'!$E$8:$E$15,$D1441)&gt;0,"Entrada",IF(COUNTIF('Config'!$G$8:$G$23,$D1441)&gt;0,"Saída","Verificar")))</f>
        <v/>
      </c>
    </row>
    <row r="1442" spans="7:7" ht="16.5" customHeight="1">
      <c r="G1442" s="66">
        <f>IF($D1442="","",IF(COUNTIF('Config'!$E$8:$E$15,$D1442)&gt;0,"Entrada",IF(COUNTIF('Config'!$G$8:$G$23,$D1442)&gt;0,"Saída","Verificar")))</f>
        <v/>
      </c>
    </row>
    <row r="1443" spans="7:7" ht="16.5" customHeight="1">
      <c r="G1443" s="66">
        <f>IF($D1443="","",IF(COUNTIF('Config'!$E$8:$E$15,$D1443)&gt;0,"Entrada",IF(COUNTIF('Config'!$G$8:$G$23,$D1443)&gt;0,"Saída","Verificar")))</f>
        <v/>
      </c>
    </row>
    <row r="1444" spans="7:7" ht="16.5" customHeight="1">
      <c r="G1444" s="66">
        <f>IF($D1444="","",IF(COUNTIF('Config'!$E$8:$E$15,$D1444)&gt;0,"Entrada",IF(COUNTIF('Config'!$G$8:$G$23,$D1444)&gt;0,"Saída","Verificar")))</f>
        <v/>
      </c>
    </row>
    <row r="1445" spans="7:7" ht="16.5" customHeight="1">
      <c r="G1445" s="66">
        <f>IF($D1445="","",IF(COUNTIF('Config'!$E$8:$E$15,$D1445)&gt;0,"Entrada",IF(COUNTIF('Config'!$G$8:$G$23,$D1445)&gt;0,"Saída","Verificar")))</f>
        <v/>
      </c>
    </row>
    <row r="1446" spans="7:7" ht="16.5" customHeight="1">
      <c r="G1446" s="66">
        <f>IF($D1446="","",IF(COUNTIF('Config'!$E$8:$E$15,$D1446)&gt;0,"Entrada",IF(COUNTIF('Config'!$G$8:$G$23,$D1446)&gt;0,"Saída","Verificar")))</f>
        <v/>
      </c>
    </row>
    <row r="1447" spans="7:7" ht="16.5" customHeight="1">
      <c r="G1447" s="66">
        <f>IF($D1447="","",IF(COUNTIF('Config'!$E$8:$E$15,$D1447)&gt;0,"Entrada",IF(COUNTIF('Config'!$G$8:$G$23,$D1447)&gt;0,"Saída","Verificar")))</f>
        <v/>
      </c>
    </row>
    <row r="1448" spans="7:7" ht="16.5" customHeight="1">
      <c r="G1448" s="66">
        <f>IF($D1448="","",IF(COUNTIF('Config'!$E$8:$E$15,$D1448)&gt;0,"Entrada",IF(COUNTIF('Config'!$G$8:$G$23,$D1448)&gt;0,"Saída","Verificar")))</f>
        <v/>
      </c>
    </row>
    <row r="1449" spans="7:7" ht="16.5" customHeight="1">
      <c r="G1449" s="66">
        <f>IF($D1449="","",IF(COUNTIF('Config'!$E$8:$E$15,$D1449)&gt;0,"Entrada",IF(COUNTIF('Config'!$G$8:$G$23,$D1449)&gt;0,"Saída","Verificar")))</f>
        <v/>
      </c>
    </row>
    <row r="1450" spans="7:7" ht="16.5" customHeight="1">
      <c r="G1450" s="66">
        <f>IF($D1450="","",IF(COUNTIF('Config'!$E$8:$E$15,$D1450)&gt;0,"Entrada",IF(COUNTIF('Config'!$G$8:$G$23,$D1450)&gt;0,"Saída","Verificar")))</f>
        <v/>
      </c>
    </row>
    <row r="1451" spans="7:7" ht="16.5" customHeight="1">
      <c r="G1451" s="66">
        <f>IF($D1451="","",IF(COUNTIF('Config'!$E$8:$E$15,$D1451)&gt;0,"Entrada",IF(COUNTIF('Config'!$G$8:$G$23,$D1451)&gt;0,"Saída","Verificar")))</f>
        <v/>
      </c>
    </row>
    <row r="1452" spans="7:7" ht="16.5" customHeight="1">
      <c r="G1452" s="66">
        <f>IF($D1452="","",IF(COUNTIF('Config'!$E$8:$E$15,$D1452)&gt;0,"Entrada",IF(COUNTIF('Config'!$G$8:$G$23,$D1452)&gt;0,"Saída","Verificar")))</f>
        <v/>
      </c>
    </row>
    <row r="1453" spans="7:7" ht="16.5" customHeight="1">
      <c r="G1453" s="66">
        <f>IF($D1453="","",IF(COUNTIF('Config'!$E$8:$E$15,$D1453)&gt;0,"Entrada",IF(COUNTIF('Config'!$G$8:$G$23,$D1453)&gt;0,"Saída","Verificar")))</f>
        <v/>
      </c>
    </row>
    <row r="1454" spans="7:7" ht="16.5" customHeight="1">
      <c r="G1454" s="66">
        <f>IF($D1454="","",IF(COUNTIF('Config'!$E$8:$E$15,$D1454)&gt;0,"Entrada",IF(COUNTIF('Config'!$G$8:$G$23,$D1454)&gt;0,"Saída","Verificar")))</f>
        <v/>
      </c>
    </row>
    <row r="1455" spans="7:7" ht="16.5" customHeight="1">
      <c r="G1455" s="66">
        <f>IF($D1455="","",IF(COUNTIF('Config'!$E$8:$E$15,$D1455)&gt;0,"Entrada",IF(COUNTIF('Config'!$G$8:$G$23,$D1455)&gt;0,"Saída","Verificar")))</f>
        <v/>
      </c>
    </row>
    <row r="1456" spans="7:7" ht="16.5" customHeight="1">
      <c r="G1456" s="66">
        <f>IF($D1456="","",IF(COUNTIF('Config'!$E$8:$E$15,$D1456)&gt;0,"Entrada",IF(COUNTIF('Config'!$G$8:$G$23,$D1456)&gt;0,"Saída","Verificar")))</f>
        <v/>
      </c>
    </row>
    <row r="1457" spans="7:7" ht="16.5" customHeight="1">
      <c r="G1457" s="66">
        <f>IF($D1457="","",IF(COUNTIF('Config'!$E$8:$E$15,$D1457)&gt;0,"Entrada",IF(COUNTIF('Config'!$G$8:$G$23,$D1457)&gt;0,"Saída","Verificar")))</f>
        <v/>
      </c>
    </row>
    <row r="1458" spans="7:7" ht="16.5" customHeight="1">
      <c r="G1458" s="66">
        <f>IF($D1458="","",IF(COUNTIF('Config'!$E$8:$E$15,$D1458)&gt;0,"Entrada",IF(COUNTIF('Config'!$G$8:$G$23,$D1458)&gt;0,"Saída","Verificar")))</f>
        <v/>
      </c>
    </row>
    <row r="1459" spans="7:7" ht="16.5" customHeight="1">
      <c r="G1459" s="66">
        <f>IF($D1459="","",IF(COUNTIF('Config'!$E$8:$E$15,$D1459)&gt;0,"Entrada",IF(COUNTIF('Config'!$G$8:$G$23,$D1459)&gt;0,"Saída","Verificar")))</f>
        <v/>
      </c>
    </row>
    <row r="1460" spans="7:7" ht="16.5" customHeight="1">
      <c r="G1460" s="66">
        <f>IF($D1460="","",IF(COUNTIF('Config'!$E$8:$E$15,$D1460)&gt;0,"Entrada",IF(COUNTIF('Config'!$G$8:$G$23,$D1460)&gt;0,"Saída","Verificar")))</f>
        <v/>
      </c>
    </row>
    <row r="1461" spans="7:7" ht="16.5" customHeight="1">
      <c r="G1461" s="66">
        <f>IF($D1461="","",IF(COUNTIF('Config'!$E$8:$E$15,$D1461)&gt;0,"Entrada",IF(COUNTIF('Config'!$G$8:$G$23,$D1461)&gt;0,"Saída","Verificar")))</f>
        <v/>
      </c>
    </row>
    <row r="1462" spans="7:7" ht="16.5" customHeight="1">
      <c r="G1462" s="66">
        <f>IF($D1462="","",IF(COUNTIF('Config'!$E$8:$E$15,$D1462)&gt;0,"Entrada",IF(COUNTIF('Config'!$G$8:$G$23,$D1462)&gt;0,"Saída","Verificar")))</f>
        <v/>
      </c>
    </row>
    <row r="1463" spans="7:7" ht="16.5" customHeight="1">
      <c r="G1463" s="66">
        <f>IF($D1463="","",IF(COUNTIF('Config'!$E$8:$E$15,$D1463)&gt;0,"Entrada",IF(COUNTIF('Config'!$G$8:$G$23,$D1463)&gt;0,"Saída","Verificar")))</f>
        <v/>
      </c>
    </row>
    <row r="1464" spans="7:7" ht="16.5" customHeight="1">
      <c r="G1464" s="66">
        <f>IF($D1464="","",IF(COUNTIF('Config'!$E$8:$E$15,$D1464)&gt;0,"Entrada",IF(COUNTIF('Config'!$G$8:$G$23,$D1464)&gt;0,"Saída","Verificar")))</f>
        <v/>
      </c>
    </row>
    <row r="1465" spans="7:7" ht="16.5" customHeight="1">
      <c r="G1465" s="66">
        <f>IF($D1465="","",IF(COUNTIF('Config'!$E$8:$E$15,$D1465)&gt;0,"Entrada",IF(COUNTIF('Config'!$G$8:$G$23,$D1465)&gt;0,"Saída","Verificar")))</f>
        <v/>
      </c>
    </row>
    <row r="1466" spans="7:7" ht="16.5" customHeight="1">
      <c r="G1466" s="66">
        <f>IF($D1466="","",IF(COUNTIF('Config'!$E$8:$E$15,$D1466)&gt;0,"Entrada",IF(COUNTIF('Config'!$G$8:$G$23,$D1466)&gt;0,"Saída","Verificar")))</f>
        <v/>
      </c>
    </row>
    <row r="1467" spans="7:7" ht="16.5" customHeight="1">
      <c r="G1467" s="66">
        <f>IF($D1467="","",IF(COUNTIF('Config'!$E$8:$E$15,$D1467)&gt;0,"Entrada",IF(COUNTIF('Config'!$G$8:$G$23,$D1467)&gt;0,"Saída","Verificar")))</f>
        <v/>
      </c>
    </row>
    <row r="1468" spans="7:7" ht="16.5" customHeight="1">
      <c r="G1468" s="66">
        <f>IF($D1468="","",IF(COUNTIF('Config'!$E$8:$E$15,$D1468)&gt;0,"Entrada",IF(COUNTIF('Config'!$G$8:$G$23,$D1468)&gt;0,"Saída","Verificar")))</f>
        <v/>
      </c>
    </row>
    <row r="1469" spans="7:7" ht="16.5" customHeight="1">
      <c r="G1469" s="66">
        <f>IF($D1469="","",IF(COUNTIF('Config'!$E$8:$E$15,$D1469)&gt;0,"Entrada",IF(COUNTIF('Config'!$G$8:$G$23,$D1469)&gt;0,"Saída","Verificar")))</f>
        <v/>
      </c>
    </row>
    <row r="1470" spans="7:7" ht="16.5" customHeight="1">
      <c r="G1470" s="66">
        <f>IF($D1470="","",IF(COUNTIF('Config'!$E$8:$E$15,$D1470)&gt;0,"Entrada",IF(COUNTIF('Config'!$G$8:$G$23,$D1470)&gt;0,"Saída","Verificar")))</f>
        <v/>
      </c>
    </row>
    <row r="1471" spans="7:7" ht="16.5" customHeight="1">
      <c r="G1471" s="66">
        <f>IF($D1471="","",IF(COUNTIF('Config'!$E$8:$E$15,$D1471)&gt;0,"Entrada",IF(COUNTIF('Config'!$G$8:$G$23,$D1471)&gt;0,"Saída","Verificar")))</f>
        <v/>
      </c>
    </row>
    <row r="1472" spans="7:7" ht="16.5" customHeight="1">
      <c r="G1472" s="66">
        <f>IF($D1472="","",IF(COUNTIF('Config'!$E$8:$E$15,$D1472)&gt;0,"Entrada",IF(COUNTIF('Config'!$G$8:$G$23,$D1472)&gt;0,"Saída","Verificar")))</f>
        <v/>
      </c>
    </row>
    <row r="1473" spans="7:7" ht="16.5" customHeight="1">
      <c r="G1473" s="66">
        <f>IF($D1473="","",IF(COUNTIF('Config'!$E$8:$E$15,$D1473)&gt;0,"Entrada",IF(COUNTIF('Config'!$G$8:$G$23,$D1473)&gt;0,"Saída","Verificar")))</f>
        <v/>
      </c>
    </row>
    <row r="1474" spans="7:7" ht="16.5" customHeight="1">
      <c r="G1474" s="66">
        <f>IF($D1474="","",IF(COUNTIF('Config'!$E$8:$E$15,$D1474)&gt;0,"Entrada",IF(COUNTIF('Config'!$G$8:$G$23,$D1474)&gt;0,"Saída","Verificar")))</f>
        <v/>
      </c>
    </row>
    <row r="1475" spans="7:7" ht="16.5" customHeight="1">
      <c r="G1475" s="66">
        <f>IF($D1475="","",IF(COUNTIF('Config'!$E$8:$E$15,$D1475)&gt;0,"Entrada",IF(COUNTIF('Config'!$G$8:$G$23,$D1475)&gt;0,"Saída","Verificar")))</f>
        <v/>
      </c>
    </row>
    <row r="1476" spans="7:7" ht="16.5" customHeight="1">
      <c r="G1476" s="66">
        <f>IF($D1476="","",IF(COUNTIF('Config'!$E$8:$E$15,$D1476)&gt;0,"Entrada",IF(COUNTIF('Config'!$G$8:$G$23,$D1476)&gt;0,"Saída","Verificar")))</f>
        <v/>
      </c>
    </row>
    <row r="1477" spans="7:7" ht="16.5" customHeight="1">
      <c r="G1477" s="66">
        <f>IF($D1477="","",IF(COUNTIF('Config'!$E$8:$E$15,$D1477)&gt;0,"Entrada",IF(COUNTIF('Config'!$G$8:$G$23,$D1477)&gt;0,"Saída","Verificar")))</f>
        <v/>
      </c>
    </row>
    <row r="1478" spans="7:7" ht="16.5" customHeight="1">
      <c r="G1478" s="66">
        <f>IF($D1478="","",IF(COUNTIF('Config'!$E$8:$E$15,$D1478)&gt;0,"Entrada",IF(COUNTIF('Config'!$G$8:$G$23,$D1478)&gt;0,"Saída","Verificar")))</f>
        <v/>
      </c>
    </row>
    <row r="1479" spans="7:7" ht="16.5" customHeight="1">
      <c r="G1479" s="66">
        <f>IF($D1479="","",IF(COUNTIF('Config'!$E$8:$E$15,$D1479)&gt;0,"Entrada",IF(COUNTIF('Config'!$G$8:$G$23,$D1479)&gt;0,"Saída","Verificar")))</f>
        <v/>
      </c>
    </row>
    <row r="1480" spans="7:7" ht="16.5" customHeight="1">
      <c r="G1480" s="66">
        <f>IF($D1480="","",IF(COUNTIF('Config'!$E$8:$E$15,$D1480)&gt;0,"Entrada",IF(COUNTIF('Config'!$G$8:$G$23,$D1480)&gt;0,"Saída","Verificar")))</f>
        <v/>
      </c>
    </row>
    <row r="1481" spans="7:7" ht="16.5" customHeight="1">
      <c r="G1481" s="66">
        <f>IF($D1481="","",IF(COUNTIF('Config'!$E$8:$E$15,$D1481)&gt;0,"Entrada",IF(COUNTIF('Config'!$G$8:$G$23,$D1481)&gt;0,"Saída","Verificar")))</f>
        <v/>
      </c>
    </row>
    <row r="1482" spans="7:7" ht="16.5" customHeight="1">
      <c r="G1482" s="66">
        <f>IF($D1482="","",IF(COUNTIF('Config'!$E$8:$E$15,$D1482)&gt;0,"Entrada",IF(COUNTIF('Config'!$G$8:$G$23,$D1482)&gt;0,"Saída","Verificar")))</f>
        <v/>
      </c>
    </row>
    <row r="1483" spans="7:7" ht="16.5" customHeight="1">
      <c r="G1483" s="66">
        <f>IF($D1483="","",IF(COUNTIF('Config'!$E$8:$E$15,$D1483)&gt;0,"Entrada",IF(COUNTIF('Config'!$G$8:$G$23,$D1483)&gt;0,"Saída","Verificar")))</f>
        <v/>
      </c>
    </row>
    <row r="1484" spans="7:7" ht="16.5" customHeight="1">
      <c r="G1484" s="66">
        <f>IF($D1484="","",IF(COUNTIF('Config'!$E$8:$E$15,$D1484)&gt;0,"Entrada",IF(COUNTIF('Config'!$G$8:$G$23,$D1484)&gt;0,"Saída","Verificar")))</f>
        <v/>
      </c>
    </row>
    <row r="1485" spans="7:7" ht="16.5" customHeight="1">
      <c r="G1485" s="66">
        <f>IF($D1485="","",IF(COUNTIF('Config'!$E$8:$E$15,$D1485)&gt;0,"Entrada",IF(COUNTIF('Config'!$G$8:$G$23,$D1485)&gt;0,"Saída","Verificar")))</f>
        <v/>
      </c>
    </row>
    <row r="1486" spans="7:7" ht="16.5" customHeight="1">
      <c r="G1486" s="66">
        <f>IF($D1486="","",IF(COUNTIF('Config'!$E$8:$E$15,$D1486)&gt;0,"Entrada",IF(COUNTIF('Config'!$G$8:$G$23,$D1486)&gt;0,"Saída","Verificar")))</f>
        <v/>
      </c>
    </row>
    <row r="1487" spans="7:7" ht="16.5" customHeight="1">
      <c r="G1487" s="66">
        <f>IF($D1487="","",IF(COUNTIF('Config'!$E$8:$E$15,$D1487)&gt;0,"Entrada",IF(COUNTIF('Config'!$G$8:$G$23,$D1487)&gt;0,"Saída","Verificar")))</f>
        <v/>
      </c>
    </row>
    <row r="1488" spans="7:7" ht="16.5" customHeight="1">
      <c r="G1488" s="66">
        <f>IF($D1488="","",IF(COUNTIF('Config'!$E$8:$E$15,$D1488)&gt;0,"Entrada",IF(COUNTIF('Config'!$G$8:$G$23,$D1488)&gt;0,"Saída","Verificar")))</f>
        <v/>
      </c>
    </row>
    <row r="1489" spans="7:7" ht="16.5" customHeight="1">
      <c r="G1489" s="66">
        <f>IF($D1489="","",IF(COUNTIF('Config'!$E$8:$E$15,$D1489)&gt;0,"Entrada",IF(COUNTIF('Config'!$G$8:$G$23,$D1489)&gt;0,"Saída","Verificar")))</f>
        <v/>
      </c>
    </row>
    <row r="1490" spans="7:7" ht="16.5" customHeight="1">
      <c r="G1490" s="66">
        <f>IF($D1490="","",IF(COUNTIF('Config'!$E$8:$E$15,$D1490)&gt;0,"Entrada",IF(COUNTIF('Config'!$G$8:$G$23,$D1490)&gt;0,"Saída","Verificar")))</f>
        <v/>
      </c>
    </row>
    <row r="1491" spans="7:7" ht="16.5" customHeight="1">
      <c r="G1491" s="66">
        <f>IF($D1491="","",IF(COUNTIF('Config'!$E$8:$E$15,$D1491)&gt;0,"Entrada",IF(COUNTIF('Config'!$G$8:$G$23,$D1491)&gt;0,"Saída","Verificar")))</f>
        <v/>
      </c>
    </row>
    <row r="1492" spans="7:7" ht="16.5" customHeight="1">
      <c r="G1492" s="66">
        <f>IF($D1492="","",IF(COUNTIF('Config'!$E$8:$E$15,$D1492)&gt;0,"Entrada",IF(COUNTIF('Config'!$G$8:$G$23,$D1492)&gt;0,"Saída","Verificar")))</f>
        <v/>
      </c>
    </row>
    <row r="1493" spans="7:7" ht="16.5" customHeight="1">
      <c r="G1493" s="66">
        <f>IF($D1493="","",IF(COUNTIF('Config'!$E$8:$E$15,$D1493)&gt;0,"Entrada",IF(COUNTIF('Config'!$G$8:$G$23,$D1493)&gt;0,"Saída","Verificar")))</f>
        <v/>
      </c>
    </row>
    <row r="1494" spans="7:7" ht="16.5" customHeight="1">
      <c r="G1494" s="66">
        <f>IF($D1494="","",IF(COUNTIF('Config'!$E$8:$E$15,$D1494)&gt;0,"Entrada",IF(COUNTIF('Config'!$G$8:$G$23,$D1494)&gt;0,"Saída","Verificar")))</f>
        <v/>
      </c>
    </row>
    <row r="1495" spans="7:7" ht="16.5" customHeight="1">
      <c r="G1495" s="66">
        <f>IF($D1495="","",IF(COUNTIF('Config'!$E$8:$E$15,$D1495)&gt;0,"Entrada",IF(COUNTIF('Config'!$G$8:$G$23,$D1495)&gt;0,"Saída","Verificar")))</f>
        <v/>
      </c>
    </row>
    <row r="1496" spans="7:7" ht="16.5" customHeight="1">
      <c r="G1496" s="66">
        <f>IF($D1496="","",IF(COUNTIF('Config'!$E$8:$E$15,$D1496)&gt;0,"Entrada",IF(COUNTIF('Config'!$G$8:$G$23,$D1496)&gt;0,"Saída","Verificar")))</f>
        <v/>
      </c>
    </row>
    <row r="1497" spans="7:7" ht="16.5" customHeight="1">
      <c r="G1497" s="66">
        <f>IF($D1497="","",IF(COUNTIF('Config'!$E$8:$E$15,$D1497)&gt;0,"Entrada",IF(COUNTIF('Config'!$G$8:$G$23,$D1497)&gt;0,"Saída","Verificar")))</f>
        <v/>
      </c>
    </row>
    <row r="1498" spans="7:7" ht="16.5" customHeight="1">
      <c r="G1498" s="66">
        <f>IF($D1498="","",IF(COUNTIF('Config'!$E$8:$E$15,$D1498)&gt;0,"Entrada",IF(COUNTIF('Config'!$G$8:$G$23,$D1498)&gt;0,"Saída","Verificar")))</f>
        <v/>
      </c>
    </row>
    <row r="1499" spans="7:7" ht="16.5" customHeight="1">
      <c r="G1499" s="66">
        <f>IF($D1499="","",IF(COUNTIF('Config'!$E$8:$E$15,$D1499)&gt;0,"Entrada",IF(COUNTIF('Config'!$G$8:$G$23,$D1499)&gt;0,"Saída","Verificar")))</f>
        <v/>
      </c>
    </row>
    <row r="1500" spans="7:7" ht="16.5" customHeight="1">
      <c r="G1500" s="66">
        <f>IF($D1500="","",IF(COUNTIF('Config'!$E$8:$E$15,$D1500)&gt;0,"Entrada",IF(COUNTIF('Config'!$G$8:$G$23,$D1500)&gt;0,"Saída","Verificar")))</f>
        <v/>
      </c>
    </row>
    <row r="1501" spans="7:7" ht="16.5" customHeight="1">
      <c r="G1501" s="66">
        <f>IF($D1501="","",IF(COUNTIF('Config'!$E$8:$E$15,$D1501)&gt;0,"Entrada",IF(COUNTIF('Config'!$G$8:$G$23,$D1501)&gt;0,"Saída","Verificar")))</f>
        <v/>
      </c>
    </row>
    <row r="1502" spans="7:7" ht="16.5" customHeight="1">
      <c r="G1502" s="66">
        <f>IF($D1502="","",IF(COUNTIF('Config'!$E$8:$E$15,$D1502)&gt;0,"Entrada",IF(COUNTIF('Config'!$G$8:$G$23,$D1502)&gt;0,"Saída","Verificar")))</f>
        <v/>
      </c>
    </row>
    <row r="1503" spans="7:7" ht="16.5" customHeight="1">
      <c r="G1503" s="66">
        <f>IF($D1503="","",IF(COUNTIF('Config'!$E$8:$E$15,$D1503)&gt;0,"Entrada",IF(COUNTIF('Config'!$G$8:$G$23,$D1503)&gt;0,"Saída","Verificar")))</f>
        <v/>
      </c>
    </row>
    <row r="1504" spans="7:7" ht="16.5" customHeight="1">
      <c r="G1504" s="66">
        <f>IF($D1504="","",IF(COUNTIF('Config'!$E$8:$E$15,$D1504)&gt;0,"Entrada",IF(COUNTIF('Config'!$G$8:$G$23,$D1504)&gt;0,"Saída","Verificar")))</f>
        <v/>
      </c>
    </row>
    <row r="1505" spans="7:7" ht="16.5" customHeight="1">
      <c r="G1505" s="66">
        <f>IF($D1505="","",IF(COUNTIF('Config'!$E$8:$E$15,$D1505)&gt;0,"Entrada",IF(COUNTIF('Config'!$G$8:$G$23,$D1505)&gt;0,"Saída","Verificar")))</f>
        <v/>
      </c>
    </row>
    <row r="1506" spans="7:7" ht="16.5" customHeight="1">
      <c r="G1506" s="66">
        <f>IF($D1506="","",IF(COUNTIF('Config'!$E$8:$E$15,$D1506)&gt;0,"Entrada",IF(COUNTIF('Config'!$G$8:$G$23,$D1506)&gt;0,"Saída","Verificar")))</f>
        <v/>
      </c>
    </row>
    <row r="1507" spans="7:7" ht="16.5" customHeight="1">
      <c r="G1507" s="66">
        <f>IF($D1507="","",IF(COUNTIF('Config'!$E$8:$E$15,$D1507)&gt;0,"Entrada",IF(COUNTIF('Config'!$G$8:$G$23,$D1507)&gt;0,"Saída","Verificar")))</f>
        <v/>
      </c>
    </row>
    <row r="1508" spans="7:7" ht="16.5" customHeight="1">
      <c r="G1508" s="66">
        <f>IF($D1508="","",IF(COUNTIF('Config'!$E$8:$E$15,$D1508)&gt;0,"Entrada",IF(COUNTIF('Config'!$G$8:$G$23,$D1508)&gt;0,"Saída","Verificar")))</f>
        <v/>
      </c>
    </row>
    <row r="1509" spans="7:7" ht="16.5" customHeight="1">
      <c r="G1509" s="66">
        <f>IF($D1509="","",IF(COUNTIF('Config'!$E$8:$E$15,$D1509)&gt;0,"Entrada",IF(COUNTIF('Config'!$G$8:$G$23,$D1509)&gt;0,"Saída","Verificar")))</f>
        <v/>
      </c>
    </row>
    <row r="1510" spans="7:7" ht="16.5" customHeight="1">
      <c r="G1510" s="66">
        <f>IF($D1510="","",IF(COUNTIF('Config'!$E$8:$E$15,$D1510)&gt;0,"Entrada",IF(COUNTIF('Config'!$G$8:$G$23,$D1510)&gt;0,"Saída","Verificar")))</f>
        <v/>
      </c>
    </row>
  </sheetData>
  <autoFilter ref="B10:I1510"/>
  <mergeCells count="16">
    <mergeCell ref="B1:C1"/>
    <mergeCell ref="E1:F1"/>
    <mergeCell ref="G1:H1"/>
    <mergeCell ref="B2:C2"/>
    <mergeCell ref="E2:F2"/>
    <mergeCell ref="G2:H2"/>
    <mergeCell ref="E3:F3"/>
    <mergeCell ref="G3:H3"/>
    <mergeCell ref="B5:I5"/>
    <mergeCell ref="B6:I6"/>
    <mergeCell ref="B7:C7"/>
    <mergeCell ref="B8:C8"/>
    <mergeCell ref="E7:F7"/>
    <mergeCell ref="E8:F8"/>
    <mergeCell ref="G7:I7"/>
    <mergeCell ref="G8:I8"/>
  </mergeCells>
  <conditionalFormatting sqref="B11:I1510">
    <cfRule type="expression" dxfId="7" priority="8">
      <formula>MOD(ROW(),2)=0</formula>
    </cfRule>
    <cfRule type="expression" dxfId="8" priority="9">
      <formula>MOD(ROW(),2)=1</formula>
    </cfRule>
  </conditionalFormatting>
  <conditionalFormatting sqref="E8:F8">
    <cfRule type="cellIs" dxfId="0" priority="1" operator="lessThan">
      <formula>0</formula>
    </cfRule>
  </conditionalFormatting>
  <conditionalFormatting sqref="F11:F1510">
    <cfRule type="expression" dxfId="2" priority="3">
      <formula>$G11="Entrada"</formula>
    </cfRule>
    <cfRule type="expression" dxfId="3" priority="4">
      <formula>$G11="Saída"</formula>
    </cfRule>
  </conditionalFormatting>
  <conditionalFormatting sqref="G11:G1510">
    <cfRule type="cellIs" dxfId="4" priority="5" operator="equal">
      <formula>"Entrada"</formula>
    </cfRule>
    <cfRule type="cellIs" dxfId="5" priority="6" operator="equal">
      <formula>"Saída"</formula>
    </cfRule>
    <cfRule type="cellIs" dxfId="6" priority="7" operator="equal">
      <formula>"Verificar"</formula>
    </cfRule>
  </conditionalFormatting>
  <conditionalFormatting sqref="G8:I8">
    <cfRule type="beginsWith" dxfId="1" priority="2" operator="beginsWith" text="⚠">
      <formula>LEFT(G8,1)="⚠"</formula>
    </cfRule>
  </conditionalFormatting>
  <dataValidations count="5">
    <dataValidation type="date" allowBlank="1" showInputMessage="1" showErrorMessage="1" errorTitle="Data inválida" error="Use uma data válida, ex.: 05/03/2026." promptTitle="Data" prompt="Digite no formato dd/mm/aaaa." sqref="B11:B1510">
      <formula1>36526</formula1>
      <formula2>73415</formula2>
    </dataValidation>
    <dataValidation type="list" allowBlank="1" showInputMessage="1" showErrorMessage="1" errorTitle="Categoria inválida" error="Escolha uma categoria da lista." promptTitle="Categoria" prompt="Escolha no menu suspenso (edite a lista na aba Config)." sqref="D11:D1510">
      <formula1>'Dados'!$Q$8:$Q$31</formula1>
    </dataValidation>
    <dataValidation type="list" allowBlank="1" showInputMessage="1" showErrorMessage="1" errorTitle="Forma inválida" error="Escolha uma forma da lista." sqref="E11:E1510">
      <formula1>'Config'!$I$8:$I$15</formula1>
    </dataValidation>
    <dataValidation type="decimal" operator="greaterThan" allowBlank="1" showInputMessage="1" showErrorMessage="1" errorTitle="Valor inválido" error="Digite um número maior que zero." promptTitle="Valor" prompt="Sempre positivo. Entrada/Saída é definido pela categoria." sqref="F11:F1510">
      <formula1>0</formula1>
    </dataValidation>
    <dataValidation type="list" allowBlank="1" showInputMessage="1" showErrorMessage="1" errorTitle="Valor inválido" error="Escolha um item da lista." sqref="H11:H1510">
      <formula1>'Metas'!$B$8:$B$15</formula1>
    </dataValidation>
  </dataValidations>
  <hyperlinks>
    <hyperlink ref="B1" location="'Início'!A1" display="🏠 Início"/>
    <hyperlink ref="D1" location="'Painel Geral'!A1" display="📊 Painel Geral"/>
    <hyperlink ref="E1" location="'Painel Pessoal'!A1" display="👤 Painel Pessoal"/>
    <hyperlink ref="G1" location="'Painel Negócio'!A1" display="💼 Painel Negócio"/>
    <hyperlink ref="I1" location="'Config'!A1" display="⚙ Config"/>
    <hyperlink ref="D2" location="'Lanç. Pessoal'!A1" display="📝 Lançamentos"/>
    <hyperlink ref="E2" location="'Orçamento Pessoal'!A1" display="💳 Orçamento"/>
    <hyperlink ref="G2" location="'Resumo Pessoal'!A1" display="📅 Resumo anual"/>
    <hyperlink ref="I2" location="'Metas'!A1" display="🎯 Metas"/>
    <hyperlink ref="C3" location="'Lanç. Negócio'!A1" display="📝 Lançamentos"/>
    <hyperlink ref="D3" location="'Clientes'!A1" display="🤝 Clientes"/>
    <hyperlink ref="E3" location="'Recebimentos'!A1" display="💰 Recebimentos"/>
    <hyperlink ref="G3" location="'Impostos'!A1" display="🧾 Impostos"/>
    <hyperlink ref="I3" location="'Fluxo de Caixa'!A1" display="📈 Fluxo de Caixa"/>
  </hyperlinks>
  <pageMargins left="0.4" right="0.4" top="0.5" bottom="0.5" header="0.3" footer="0.3"/>
  <pageSetup paperSize="9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H29"/>
  <sheetViews>
    <sheetView showGridLines="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6.5" customHeight="1"/>
  <cols>
    <col min="1" max="1" width="2.7109375" customWidth="1"/>
    <col min="2" max="2" width="30.7109375" customWidth="1"/>
    <col min="3" max="5" width="17.7109375" customWidth="1"/>
    <col min="6" max="6" width="11.7109375" customWidth="1"/>
    <col min="7" max="7" width="26.7109375" customWidth="1"/>
    <col min="8" max="8" width="16.7109375" customWidth="1"/>
  </cols>
  <sheetData>
    <row r="1" spans="2:8" ht="22" customHeight="1">
      <c r="B1" s="3" t="s">
        <v>0</v>
      </c>
      <c r="C1" s="3" t="s">
        <v>1</v>
      </c>
      <c r="D1" s="3"/>
      <c r="E1" s="3" t="s">
        <v>2</v>
      </c>
      <c r="F1" s="3"/>
      <c r="G1" s="3" t="s">
        <v>3</v>
      </c>
      <c r="H1" s="3" t="s">
        <v>4</v>
      </c>
    </row>
    <row r="2" spans="2:8" ht="22" customHeight="1">
      <c r="B2" s="4" t="s">
        <v>5</v>
      </c>
      <c r="C2" s="5" t="s">
        <v>6</v>
      </c>
      <c r="D2" s="5"/>
      <c r="E2" s="67" t="s">
        <v>7</v>
      </c>
      <c r="F2" s="67"/>
      <c r="G2" s="5" t="s">
        <v>8</v>
      </c>
      <c r="H2" s="5" t="s">
        <v>9</v>
      </c>
    </row>
    <row r="3" spans="2:8" ht="22" customHeight="1">
      <c r="B3" s="6" t="s">
        <v>10</v>
      </c>
      <c r="C3" s="7" t="s">
        <v>6</v>
      </c>
      <c r="D3" s="7" t="s">
        <v>11</v>
      </c>
      <c r="E3" s="7" t="s">
        <v>12</v>
      </c>
      <c r="F3" s="7"/>
      <c r="G3" s="7" t="s">
        <v>13</v>
      </c>
      <c r="H3" s="7" t="s">
        <v>14</v>
      </c>
    </row>
    <row r="4" spans="2:8" ht="6" customHeight="1"/>
    <row r="5" spans="2:8" ht="38" customHeight="1">
      <c r="B5" s="41" t="s">
        <v>204</v>
      </c>
      <c r="C5" s="41"/>
      <c r="D5" s="41"/>
      <c r="E5" s="41"/>
      <c r="F5" s="41"/>
      <c r="G5" s="41"/>
      <c r="H5" s="41"/>
    </row>
    <row r="6" spans="2:8" ht="20" customHeight="1">
      <c r="B6" s="68" t="s">
        <v>205</v>
      </c>
      <c r="C6" s="68"/>
      <c r="D6" s="68"/>
      <c r="E6" s="68"/>
      <c r="F6" s="68"/>
      <c r="G6" s="68"/>
      <c r="H6" s="68"/>
    </row>
    <row r="7" spans="2:8" ht="26" customHeight="1">
      <c r="B7" s="75" t="s">
        <v>206</v>
      </c>
      <c r="C7" s="76" t="s">
        <v>105</v>
      </c>
      <c r="D7" s="77" t="s">
        <v>207</v>
      </c>
      <c r="E7" s="77"/>
      <c r="F7" s="77"/>
      <c r="G7" s="77"/>
      <c r="H7" s="77"/>
    </row>
    <row r="9" spans="2:8" ht="28" customHeight="1">
      <c r="B9" s="78" t="s">
        <v>131</v>
      </c>
      <c r="C9" s="74" t="s">
        <v>208</v>
      </c>
      <c r="D9" s="74" t="s">
        <v>132</v>
      </c>
      <c r="E9" s="74" t="s">
        <v>209</v>
      </c>
      <c r="F9" s="74" t="s">
        <v>210</v>
      </c>
      <c r="G9" s="74" t="s">
        <v>211</v>
      </c>
      <c r="H9" s="74" t="s">
        <v>212</v>
      </c>
    </row>
    <row r="10" spans="2:8" ht="16.5" customHeight="1">
      <c r="B10" s="79" t="s">
        <v>213</v>
      </c>
      <c r="C10" s="80">
        <v>4500</v>
      </c>
      <c r="D10" s="81">
        <f>INDEX('Resumo Pessoal'!$C$18:$N$18,'Dados'!$C$9)</f>
        <v>4552.89</v>
      </c>
      <c r="E10" s="81">
        <f>D10-C10</f>
        <v>52.8900000000003</v>
      </c>
      <c r="F10" s="82">
        <f>IF(C10&gt;0,D10/C10,"")</f>
        <v>1.01175333333333</v>
      </c>
      <c r="G10" s="83" t="str">
        <f>IF(F10="","",REPT("█",MIN(22,ROUND(F10*20,0))))</f>
        <v>████████████████████</v>
      </c>
      <c r="H10" s="84" t="str">
        <f>IF(C10=0,"—",IF(D10&gt;=C10,"✓ Meta batida",IF(D10&gt;=C10*0.8,"⚠ Quase lá","✖ Abaixo")))</f>
        <v>✓ Meta batida</v>
      </c>
    </row>
    <row r="11" spans="2:8" ht="16.5" customHeight="1">
      <c r="B11" s="47" t="s">
        <v>214</v>
      </c>
      <c r="C11" s="47"/>
      <c r="D11" s="47"/>
      <c r="E11" s="47"/>
      <c r="F11" s="47"/>
      <c r="G11" s="47"/>
      <c r="H11" s="47"/>
    </row>
    <row r="12" spans="2:8" ht="16.5" customHeight="1">
      <c r="B12" s="85" t="str">
        <f>IF('Config'!$G$8="","",'Config'!$G$8)</f>
        <v>Moradia</v>
      </c>
      <c r="C12" s="80">
        <v>1100</v>
      </c>
      <c r="D12" s="81">
        <f>IF(B12="",0,INDEX('Resumo Pessoal'!$C$20:$N$20,'Dados'!$C$9))</f>
        <v>1100</v>
      </c>
      <c r="E12" s="81">
        <f>C12-D12</f>
        <v>0</v>
      </c>
      <c r="F12" s="82">
        <f>IF(C12&gt;0,D12/C12,"")</f>
        <v>1</v>
      </c>
      <c r="G12" s="83" t="str">
        <f>IF(F12="","",REPT("█",MIN(22,ROUND(F12*20,0))))</f>
        <v>████████████████████</v>
      </c>
      <c r="H12" s="84" t="str">
        <f>IF(C12=0,IF(D12&gt;0,"Sem orçamento","—"),IF(D12&gt;C12,"✖ Estourou",IF(D12&gt;=C12*0.8,"⚠ Atenção","✓ OK")))</f>
        <v>⚠ Atenção</v>
      </c>
    </row>
    <row r="13" spans="2:8" ht="16.5" customHeight="1">
      <c r="B13" s="85" t="str">
        <f>IF('Config'!$G$9="","",'Config'!$G$9)</f>
        <v>Contas da casa</v>
      </c>
      <c r="C13" s="80">
        <v>360</v>
      </c>
      <c r="D13" s="81">
        <f>IF(B13="",0,INDEX('Resumo Pessoal'!$C$21:$N$21,'Dados'!$C$9))</f>
        <v>289.91</v>
      </c>
      <c r="E13" s="81">
        <f>C13-D13</f>
        <v>70.09</v>
      </c>
      <c r="F13" s="82">
        <f>IF(C13&gt;0,D13/C13,"")</f>
        <v>0.805305555555556</v>
      </c>
      <c r="G13" s="83" t="str">
        <f>IF(F13="","",REPT("█",MIN(22,ROUND(F13*20,0))))</f>
        <v>████████████████</v>
      </c>
      <c r="H13" s="84" t="str">
        <f>IF(C13=0,IF(D13&gt;0,"Sem orçamento","—"),IF(D13&gt;C13,"✖ Estourou",IF(D13&gt;=C13*0.8,"⚠ Atenção","✓ OK")))</f>
        <v>⚠ Atenção</v>
      </c>
    </row>
    <row r="14" spans="2:8" ht="16.5" customHeight="1">
      <c r="B14" s="85" t="str">
        <f>IF('Config'!$G$10="","",'Config'!$G$10)</f>
        <v>Alimentação</v>
      </c>
      <c r="C14" s="80">
        <v>650</v>
      </c>
      <c r="D14" s="81">
        <f>IF(B14="",0,INDEX('Resumo Pessoal'!$C$22:$N$22,'Dados'!$C$9))</f>
        <v>627.27</v>
      </c>
      <c r="E14" s="81">
        <f>C14-D14</f>
        <v>22.73</v>
      </c>
      <c r="F14" s="82">
        <f>IF(C14&gt;0,D14/C14,"")</f>
        <v>0.965030769230769</v>
      </c>
      <c r="G14" s="83" t="str">
        <f>IF(F14="","",REPT("█",MIN(22,ROUND(F14*20,0))))</f>
        <v>███████████████████</v>
      </c>
      <c r="H14" s="84" t="str">
        <f>IF(C14=0,IF(D14&gt;0,"Sem orçamento","—"),IF(D14&gt;C14,"✖ Estourou",IF(D14&gt;=C14*0.8,"⚠ Atenção","✓ OK")))</f>
        <v>⚠ Atenção</v>
      </c>
    </row>
    <row r="15" spans="2:8" ht="16.5" customHeight="1">
      <c r="B15" s="85" t="str">
        <f>IF('Config'!$G$11="","",'Config'!$G$11)</f>
        <v>Transporte</v>
      </c>
      <c r="C15" s="80">
        <v>420</v>
      </c>
      <c r="D15" s="81">
        <f>IF(B15="",0,INDEX('Resumo Pessoal'!$C$23:$N$23,'Dados'!$C$9))</f>
        <v>264.51</v>
      </c>
      <c r="E15" s="81">
        <f>C15-D15</f>
        <v>155.49</v>
      </c>
      <c r="F15" s="82">
        <f>IF(C15&gt;0,D15/C15,"")</f>
        <v>0.629785714285714</v>
      </c>
      <c r="G15" s="83" t="str">
        <f>IF(F15="","",REPT("█",MIN(22,ROUND(F15*20,0))))</f>
        <v>█████████████</v>
      </c>
      <c r="H15" s="84" t="str">
        <f>IF(C15=0,IF(D15&gt;0,"Sem orçamento","—"),IF(D15&gt;C15,"✖ Estourou",IF(D15&gt;=C15*0.8,"⚠ Atenção","✓ OK")))</f>
        <v>✓ OK</v>
      </c>
    </row>
    <row r="16" spans="2:8" ht="16.5" customHeight="1">
      <c r="B16" s="85" t="str">
        <f>IF('Config'!$G$12="","",'Config'!$G$12)</f>
        <v>Saúde</v>
      </c>
      <c r="C16" s="80">
        <v>250</v>
      </c>
      <c r="D16" s="81">
        <f>IF(B16="",0,INDEX('Resumo Pessoal'!$C$24:$N$24,'Dados'!$C$9))</f>
        <v>255.85</v>
      </c>
      <c r="E16" s="81">
        <f>C16-D16</f>
        <v>-5.84999999999999</v>
      </c>
      <c r="F16" s="82">
        <f>IF(C16&gt;0,D16/C16,"")</f>
        <v>1.0234</v>
      </c>
      <c r="G16" s="83" t="str">
        <f>IF(F16="","",REPT("█",MIN(22,ROUND(F16*20,0))))</f>
        <v>████████████████████</v>
      </c>
      <c r="H16" s="84" t="str">
        <f>IF(C16=0,IF(D16&gt;0,"Sem orçamento","—"),IF(D16&gt;C16,"✖ Estourou",IF(D16&gt;=C16*0.8,"⚠ Atenção","✓ OK")))</f>
        <v>✖ Estourou</v>
      </c>
    </row>
    <row r="17" spans="2:8" ht="16.5" customHeight="1">
      <c r="B17" s="85" t="str">
        <f>IF('Config'!$G$13="","",'Config'!$G$13)</f>
        <v>Educação</v>
      </c>
      <c r="C17" s="80">
        <v>150</v>
      </c>
      <c r="D17" s="81">
        <f>IF(B17="",0,INDEX('Resumo Pessoal'!$C$25:$N$25,'Dados'!$C$9))</f>
        <v>149</v>
      </c>
      <c r="E17" s="81">
        <f>C17-D17</f>
        <v>1</v>
      </c>
      <c r="F17" s="82">
        <f>IF(C17&gt;0,D17/C17,"")</f>
        <v>0.993333333333333</v>
      </c>
      <c r="G17" s="83" t="str">
        <f>IF(F17="","",REPT("█",MIN(22,ROUND(F17*20,0))))</f>
        <v>████████████████████</v>
      </c>
      <c r="H17" s="84" t="str">
        <f>IF(C17=0,IF(D17&gt;0,"Sem orçamento","—"),IF(D17&gt;C17,"✖ Estourou",IF(D17&gt;=C17*0.8,"⚠ Atenção","✓ OK")))</f>
        <v>⚠ Atenção</v>
      </c>
    </row>
    <row r="18" spans="2:8" ht="16.5" customHeight="1">
      <c r="B18" s="85" t="str">
        <f>IF('Config'!$G$14="","",'Config'!$G$14)</f>
        <v>Lazer</v>
      </c>
      <c r="C18" s="80">
        <v>250</v>
      </c>
      <c r="D18" s="81">
        <f>IF(B18="",0,INDEX('Resumo Pessoal'!$C$26:$N$26,'Dados'!$C$9))</f>
        <v>201.67</v>
      </c>
      <c r="E18" s="81">
        <f>C18-D18</f>
        <v>48.33</v>
      </c>
      <c r="F18" s="82">
        <f>IF(C18&gt;0,D18/C18,"")</f>
        <v>0.80668</v>
      </c>
      <c r="G18" s="83" t="str">
        <f>IF(F18="","",REPT("█",MIN(22,ROUND(F18*20,0))))</f>
        <v>████████████████</v>
      </c>
      <c r="H18" s="84" t="str">
        <f>IF(C18=0,IF(D18&gt;0,"Sem orçamento","—"),IF(D18&gt;C18,"✖ Estourou",IF(D18&gt;=C18*0.8,"⚠ Atenção","✓ OK")))</f>
        <v>⚠ Atenção</v>
      </c>
    </row>
    <row r="19" spans="2:8" ht="16.5" customHeight="1">
      <c r="B19" s="85" t="str">
        <f>IF('Config'!$G$15="","",'Config'!$G$15)</f>
        <v>Vestuário</v>
      </c>
      <c r="C19" s="80">
        <v>100</v>
      </c>
      <c r="D19" s="81">
        <f>IF(B19="",0,INDEX('Resumo Pessoal'!$C$27:$N$27,'Dados'!$C$9))</f>
        <v>138.36</v>
      </c>
      <c r="E19" s="81">
        <f>C19-D19</f>
        <v>-38.36</v>
      </c>
      <c r="F19" s="82">
        <f>IF(C19&gt;0,D19/C19,"")</f>
        <v>1.3836</v>
      </c>
      <c r="G19" s="83" t="str">
        <f>IF(F19="","",REPT("█",MIN(22,ROUND(F19*20,0))))</f>
        <v>██████████████████████</v>
      </c>
      <c r="H19" s="84" t="str">
        <f>IF(C19=0,IF(D19&gt;0,"Sem orçamento","—"),IF(D19&gt;C19,"✖ Estourou",IF(D19&gt;=C19*0.8,"⚠ Atenção","✓ OK")))</f>
        <v>✖ Estourou</v>
      </c>
    </row>
    <row r="20" spans="2:8" ht="16.5" customHeight="1">
      <c r="B20" s="85" t="str">
        <f>IF('Config'!$G$16="","",'Config'!$G$16)</f>
        <v>Assinaturas</v>
      </c>
      <c r="C20" s="80">
        <v>90</v>
      </c>
      <c r="D20" s="81">
        <f>IF(B20="",0,INDEX('Resumo Pessoal'!$C$28:$N$28,'Dados'!$C$9))</f>
        <v>87.7</v>
      </c>
      <c r="E20" s="81">
        <f>C20-D20</f>
        <v>2.3</v>
      </c>
      <c r="F20" s="82">
        <f>IF(C20&gt;0,D20/C20,"")</f>
        <v>0.974444444444444</v>
      </c>
      <c r="G20" s="83" t="str">
        <f>IF(F20="","",REPT("█",MIN(22,ROUND(F20*20,0))))</f>
        <v>███████████████████</v>
      </c>
      <c r="H20" s="84" t="str">
        <f>IF(C20=0,IF(D20&gt;0,"Sem orçamento","—"),IF(D20&gt;C20,"✖ Estourou",IF(D20&gt;=C20*0.8,"⚠ Atenção","✓ OK")))</f>
        <v>⚠ Atenção</v>
      </c>
    </row>
    <row r="21" spans="2:8" ht="16.5" customHeight="1">
      <c r="B21" s="85" t="str">
        <f>IF('Config'!$G$17="","",'Config'!$G$17)</f>
        <v>Cuidados pessoais</v>
      </c>
      <c r="C21" s="80">
        <v>200</v>
      </c>
      <c r="D21" s="81">
        <f>IF(B21="",0,INDEX('Resumo Pessoal'!$C$29:$N$29,'Dados'!$C$9))</f>
        <v>175.11</v>
      </c>
      <c r="E21" s="81">
        <f>C21-D21</f>
        <v>24.89</v>
      </c>
      <c r="F21" s="82">
        <f>IF(C21&gt;0,D21/C21,"")</f>
        <v>0.87555</v>
      </c>
      <c r="G21" s="83" t="str">
        <f>IF(F21="","",REPT("█",MIN(22,ROUND(F21*20,0))))</f>
        <v>██████████████████</v>
      </c>
      <c r="H21" s="84" t="str">
        <f>IF(C21=0,IF(D21&gt;0,"Sem orçamento","—"),IF(D21&gt;C21,"✖ Estourou",IF(D21&gt;=C21*0.8,"⚠ Atenção","✓ OK")))</f>
        <v>⚠ Atenção</v>
      </c>
    </row>
    <row r="22" spans="2:8" ht="16.5" customHeight="1">
      <c r="B22" s="85" t="str">
        <f>IF('Config'!$G$18="","",'Config'!$G$18)</f>
        <v>Pets</v>
      </c>
      <c r="C22" s="80">
        <v>0</v>
      </c>
      <c r="D22" s="81">
        <f>IF(B22="",0,INDEX('Resumo Pessoal'!$C$30:$N$30,'Dados'!$C$9))</f>
        <v>0</v>
      </c>
      <c r="E22" s="81">
        <f>C22-D22</f>
        <v>0</v>
      </c>
      <c r="F22" s="82">
        <f>IF(C22&gt;0,D22/C22,"")</f>
        <v/>
      </c>
      <c r="G22" s="83">
        <f>IF(F22="","",REPT("█",MIN(22,ROUND(F22*20,0))))</f>
        <v/>
      </c>
      <c r="H22" s="84" t="str">
        <f>IF(C22=0,IF(D22&gt;0,"Sem orçamento","—"),IF(D22&gt;C22,"✖ Estourou",IF(D22&gt;=C22*0.8,"⚠ Atenção","✓ OK")))</f>
        <v>—</v>
      </c>
    </row>
    <row r="23" spans="2:8" ht="16.5" customHeight="1">
      <c r="B23" s="85" t="str">
        <f>IF('Config'!$G$19="","",'Config'!$G$19)</f>
        <v>Presentes e doações</v>
      </c>
      <c r="C23" s="80">
        <v>80</v>
      </c>
      <c r="D23" s="81">
        <f>IF(B23="",0,INDEX('Resumo Pessoal'!$C$31:$N$31,'Dados'!$C$9))</f>
        <v>50</v>
      </c>
      <c r="E23" s="81">
        <f>C23-D23</f>
        <v>30</v>
      </c>
      <c r="F23" s="82">
        <f>IF(C23&gt;0,D23/C23,"")</f>
        <v>0.625</v>
      </c>
      <c r="G23" s="83" t="str">
        <f>IF(F23="","",REPT("█",MIN(22,ROUND(F23*20,0))))</f>
        <v>█████████████</v>
      </c>
      <c r="H23" s="84" t="str">
        <f>IF(C23=0,IF(D23&gt;0,"Sem orçamento","—"),IF(D23&gt;C23,"✖ Estourou",IF(D23&gt;=C23*0.8,"⚠ Atenção","✓ OK")))</f>
        <v>✓ OK</v>
      </c>
    </row>
    <row r="24" spans="2:8" ht="16.5" customHeight="1">
      <c r="B24" s="85" t="str">
        <f>IF('Config'!$G$20="","",'Config'!$G$20)</f>
        <v>Dívidas e financiamentos</v>
      </c>
      <c r="C24" s="80">
        <v>0</v>
      </c>
      <c r="D24" s="81">
        <f>IF(B24="",0,INDEX('Resumo Pessoal'!$C$32:$N$32,'Dados'!$C$9))</f>
        <v>0</v>
      </c>
      <c r="E24" s="81">
        <f>C24-D24</f>
        <v>0</v>
      </c>
      <c r="F24" s="82">
        <f>IF(C24&gt;0,D24/C24,"")</f>
        <v/>
      </c>
      <c r="G24" s="83">
        <f>IF(F24="","",REPT("█",MIN(22,ROUND(F24*20,0))))</f>
        <v/>
      </c>
      <c r="H24" s="84" t="str">
        <f>IF(C24=0,IF(D24&gt;0,"Sem orçamento","—"),IF(D24&gt;C24,"✖ Estourou",IF(D24&gt;=C24*0.8,"⚠ Atenção","✓ OK")))</f>
        <v>—</v>
      </c>
    </row>
    <row r="25" spans="2:8" ht="16.5" customHeight="1">
      <c r="B25" s="85" t="str">
        <f>IF('Config'!$G$21="","",'Config'!$G$21)</f>
        <v>Reserva e Metas</v>
      </c>
      <c r="C25" s="80">
        <v>600</v>
      </c>
      <c r="D25" s="81">
        <f>IF(B25="",0,INDEX('Resumo Pessoal'!$C$33:$N$33,'Dados'!$C$9))</f>
        <v>600</v>
      </c>
      <c r="E25" s="81">
        <f>D25-C25</f>
        <v>0</v>
      </c>
      <c r="F25" s="82">
        <f>IF(C25&gt;0,D25/C25,"")</f>
        <v>1</v>
      </c>
      <c r="G25" s="83" t="str">
        <f>IF(F25="","",REPT("█",MIN(22,ROUND(F25*20,0))))</f>
        <v>████████████████████</v>
      </c>
      <c r="H25" s="84" t="str">
        <f>IF(C25=0,"—",IF(D25&gt;=C25,"✓ Meta batida",IF(D25&gt;=C25*0.8,"⚠ Quase lá","✖ Abaixo")))</f>
        <v>✓ Meta batida</v>
      </c>
    </row>
    <row r="26" spans="2:8" ht="16.5" customHeight="1">
      <c r="B26" s="85" t="str">
        <f>IF('Config'!$G$22="","",'Config'!$G$22)</f>
        <v>Impostos pessoais</v>
      </c>
      <c r="C26" s="80">
        <v>80</v>
      </c>
      <c r="D26" s="81">
        <f>IF(B26="",0,INDEX('Resumo Pessoal'!$C$34:$N$34,'Dados'!$C$9))</f>
        <v>0</v>
      </c>
      <c r="E26" s="81">
        <f>C26-D26</f>
        <v>80</v>
      </c>
      <c r="F26" s="82">
        <f>IF(C26&gt;0,D26/C26,"")</f>
        <v>0</v>
      </c>
      <c r="G26" s="83">
        <f>IF(F26="","",REPT("█",MIN(22,ROUND(F26*20,0))))</f>
        <v/>
      </c>
      <c r="H26" s="84" t="str">
        <f>IF(C26=0,IF(D26&gt;0,"Sem orçamento","—"),IF(D26&gt;C26,"✖ Estourou",IF(D26&gt;=C26*0.8,"⚠ Atenção","✓ OK")))</f>
        <v>✓ OK</v>
      </c>
    </row>
    <row r="27" spans="2:8" ht="16.5" customHeight="1">
      <c r="B27" s="85" t="str">
        <f>IF('Config'!$G$23="","",'Config'!$G$23)</f>
        <v>Outros</v>
      </c>
      <c r="C27" s="80">
        <v>80</v>
      </c>
      <c r="D27" s="81">
        <f>IF(B27="",0,INDEX('Resumo Pessoal'!$C$35:$N$35,'Dados'!$C$9))</f>
        <v>53.46</v>
      </c>
      <c r="E27" s="81">
        <f>C27-D27</f>
        <v>26.54</v>
      </c>
      <c r="F27" s="82">
        <f>IF(C27&gt;0,D27/C27,"")</f>
        <v>0.66825</v>
      </c>
      <c r="G27" s="83" t="str">
        <f>IF(F27="","",REPT("█",MIN(22,ROUND(F27*20,0))))</f>
        <v>█████████████</v>
      </c>
      <c r="H27" s="84" t="str">
        <f>IF(C27=0,IF(D27&gt;0,"Sem orçamento","—"),IF(D27&gt;C27,"✖ Estourou",IF(D27&gt;=C27*0.8,"⚠ Atenção","✓ OK")))</f>
        <v>✓ OK</v>
      </c>
    </row>
    <row r="28" spans="2:8" ht="16.5" customHeight="1">
      <c r="B28" s="86" t="s">
        <v>215</v>
      </c>
      <c r="C28" s="87">
        <f>SUM(C12:C27)</f>
        <v>4410</v>
      </c>
      <c r="D28" s="87">
        <f>SUM(D12:D27)</f>
        <v>3992.84</v>
      </c>
      <c r="E28" s="87">
        <f>C28-D28</f>
        <v>417.16</v>
      </c>
      <c r="F28" s="88">
        <f>IF(C28&gt;0,D28/C28,"")</f>
        <v>0.90540589569161</v>
      </c>
      <c r="G28" s="89" t="str">
        <f>IF(F28="","",REPT("█",MIN(22,ROUND(F28*20,0))))</f>
        <v>██████████████████</v>
      </c>
      <c r="H28" s="90" t="str">
        <f>IF(C28=0,"—",IF(D28&gt;C28,"✖ Estourou",IF(D28&gt;=C28*0.8,"⚠ Atenção","✓ OK")))</f>
        <v>⚠ Atenção</v>
      </c>
    </row>
    <row r="29" spans="2:8" ht="16.5" customHeight="1">
      <c r="B29" s="91" t="s">
        <v>216</v>
      </c>
      <c r="C29" s="92">
        <f>C10-C28</f>
        <v>90</v>
      </c>
      <c r="D29" s="92">
        <f>D10-D28</f>
        <v>560.05</v>
      </c>
      <c r="E29" s="92">
        <f>D29-C29</f>
        <v>470.05</v>
      </c>
      <c r="F29" s="92"/>
      <c r="G29" s="92"/>
      <c r="H29" s="92"/>
    </row>
  </sheetData>
  <mergeCells count="9">
    <mergeCell ref="C1:D1"/>
    <mergeCell ref="E1:F1"/>
    <mergeCell ref="C2:D2"/>
    <mergeCell ref="E2:F2"/>
    <mergeCell ref="E3:F3"/>
    <mergeCell ref="B5:H5"/>
    <mergeCell ref="B6:H6"/>
    <mergeCell ref="D7:H7"/>
    <mergeCell ref="B11:H11"/>
  </mergeCells>
  <conditionalFormatting sqref="C29:E29">
    <cfRule type="cellIs" dxfId="9" priority="6" operator="lessThan">
      <formula>0</formula>
    </cfRule>
    <cfRule type="cellIs" dxfId="10" priority="7" operator="greaterThan">
      <formula>0</formula>
    </cfRule>
  </conditionalFormatting>
  <conditionalFormatting sqref="E10">
    <cfRule type="cellIs" dxfId="9" priority="2" operator="lessThan">
      <formula>0</formula>
    </cfRule>
    <cfRule type="cellIs" dxfId="10" priority="3" operator="greaterThan">
      <formula>0</formula>
    </cfRule>
  </conditionalFormatting>
  <conditionalFormatting sqref="E12:E28">
    <cfRule type="cellIs" dxfId="9" priority="4" operator="lessThan">
      <formula>0</formula>
    </cfRule>
    <cfRule type="cellIs" dxfId="10" priority="5" operator="greaterThan">
      <formula>0</formula>
    </cfRule>
  </conditionalFormatting>
  <conditionalFormatting sqref="G12:G24">
    <cfRule type="expression" dxfId="0" priority="14">
      <formula>AND(ISNUMBER(F12),F12&gt;1)</formula>
    </cfRule>
    <cfRule type="expression" dxfId="12" priority="15">
      <formula>AND(ISNUMBER(F12),F12&gt;=0.8)</formula>
    </cfRule>
  </conditionalFormatting>
  <conditionalFormatting sqref="G25">
    <cfRule type="expression" dxfId="11" priority="1" stopIfTrue="1">
      <formula>TRUE</formula>
    </cfRule>
  </conditionalFormatting>
  <conditionalFormatting sqref="G26:G28">
    <cfRule type="expression" dxfId="0" priority="16">
      <formula>AND(ISNUMBER(F26),F26&gt;1)</formula>
    </cfRule>
    <cfRule type="expression" dxfId="12" priority="17">
      <formula>AND(ISNUMBER(F26),F26&gt;=0.8)</formula>
    </cfRule>
  </conditionalFormatting>
  <conditionalFormatting sqref="H10:H28">
    <cfRule type="containsText" dxfId="5" priority="8" operator="containsText" text="Estourou">
      <formula>NOT(ISERROR(SEARCH("Estourou",H10)))</formula>
    </cfRule>
    <cfRule type="containsText" dxfId="6" priority="9" operator="containsText" text="Atenção">
      <formula>NOT(ISERROR(SEARCH("Atenção",H10)))</formula>
    </cfRule>
    <cfRule type="containsText" dxfId="4" priority="10" operator="containsText" text="OK">
      <formula>NOT(ISERROR(SEARCH("OK",H10)))</formula>
    </cfRule>
    <cfRule type="containsText" dxfId="4" priority="11" operator="containsText" text="Meta batida">
      <formula>NOT(ISERROR(SEARCH("Meta batida",H10)))</formula>
    </cfRule>
    <cfRule type="containsText" dxfId="6" priority="12" operator="containsText" text="Quase lá">
      <formula>NOT(ISERROR(SEARCH("Quase lá",H10)))</formula>
    </cfRule>
    <cfRule type="containsText" dxfId="5" priority="13" operator="containsText" text="Abaixo">
      <formula>NOT(ISERROR(SEARCH("Abaixo",H10)))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C7">
      <formula1>'Config'!$K$8:$K$19</formula1>
    </dataValidation>
  </dataValidations>
  <hyperlinks>
    <hyperlink ref="B1" location="'Início'!A1" display="🏠 Início"/>
    <hyperlink ref="C1" location="'Painel Geral'!A1" display="📊 Painel Geral"/>
    <hyperlink ref="E1" location="'Painel Pessoal'!A1" display="👤 Painel Pessoal"/>
    <hyperlink ref="G1" location="'Painel Negócio'!A1" display="💼 Painel Negócio"/>
    <hyperlink ref="H1" location="'Config'!A1" display="⚙ Config"/>
    <hyperlink ref="C2" location="'Lanç. Pessoal'!A1" display="📝 Lançamentos"/>
    <hyperlink ref="E2" location="'Orçamento Pessoal'!A1" display="💳 Orçamento"/>
    <hyperlink ref="G2" location="'Resumo Pessoal'!A1" display="📅 Resumo anual"/>
    <hyperlink ref="H2" location="'Metas'!A1" display="🎯 Metas"/>
    <hyperlink ref="C3" location="'Lanç. Negócio'!A1" display="📝 Lançamentos"/>
    <hyperlink ref="D3" location="'Clientes'!A1" display="🤝 Clientes"/>
    <hyperlink ref="E3" location="'Recebimentos'!A1" display="💰 Recebimentos"/>
    <hyperlink ref="G3" location="'Impostos'!A1" display="🧾 Impostos"/>
    <hyperlink ref="H3" location="'Fluxo de Caixa'!A1" display="📈 Fluxo de Caixa"/>
  </hyperlinks>
  <pageMargins left="0.4" right="0.4" top="0.5" bottom="0.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Q41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6.5" customHeight="1"/>
  <cols>
    <col min="1" max="1" width="2.7109375" customWidth="1"/>
    <col min="2" max="2" width="32.7109375" customWidth="1"/>
    <col min="3" max="14" width="12.28515625" customWidth="1"/>
    <col min="15" max="15" width="14.7109375" customWidth="1"/>
    <col min="16" max="16" width="13.7109375" customWidth="1"/>
    <col min="17" max="17" width="11.7109375" customWidth="1"/>
  </cols>
  <sheetData>
    <row r="1" spans="2:17" ht="22" customHeight="1">
      <c r="B1" s="3" t="s">
        <v>0</v>
      </c>
      <c r="C1" s="3"/>
      <c r="D1" s="3" t="s">
        <v>1</v>
      </c>
      <c r="E1" s="3"/>
      <c r="F1" s="3"/>
      <c r="G1" s="3" t="s">
        <v>2</v>
      </c>
      <c r="H1" s="3"/>
      <c r="I1" s="3"/>
      <c r="J1" s="3"/>
      <c r="K1" s="3" t="s">
        <v>3</v>
      </c>
      <c r="L1" s="3"/>
      <c r="M1" s="3"/>
      <c r="N1" s="3"/>
      <c r="O1" s="3" t="s">
        <v>4</v>
      </c>
      <c r="P1" s="3"/>
      <c r="Q1" s="3"/>
    </row>
    <row r="2" spans="2:17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/>
      <c r="J2" s="5"/>
      <c r="K2" s="67" t="s">
        <v>8</v>
      </c>
      <c r="L2" s="67"/>
      <c r="M2" s="67"/>
      <c r="N2" s="67"/>
      <c r="O2" s="5" t="s">
        <v>9</v>
      </c>
      <c r="P2" s="5"/>
      <c r="Q2" s="5"/>
    </row>
    <row r="3" spans="2:17" ht="22" customHeight="1">
      <c r="B3" s="6" t="s">
        <v>10</v>
      </c>
      <c r="C3" s="7" t="s">
        <v>6</v>
      </c>
      <c r="D3" s="7"/>
      <c r="E3" s="7"/>
      <c r="F3" s="7" t="s">
        <v>11</v>
      </c>
      <c r="G3" s="7"/>
      <c r="H3" s="7"/>
      <c r="I3" s="7" t="s">
        <v>12</v>
      </c>
      <c r="J3" s="7"/>
      <c r="K3" s="7"/>
      <c r="L3" s="7" t="s">
        <v>13</v>
      </c>
      <c r="M3" s="7"/>
      <c r="N3" s="7"/>
      <c r="O3" s="7" t="s">
        <v>14</v>
      </c>
      <c r="P3" s="7"/>
      <c r="Q3" s="7"/>
    </row>
    <row r="4" spans="2:17" ht="6" customHeight="1"/>
    <row r="5" spans="2:17" ht="38" customHeight="1">
      <c r="B5" s="41" t="s">
        <v>191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2:17" ht="20" customHeight="1">
      <c r="B6" s="68" t="s">
        <v>192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2:17" ht="16.5" hidden="1" customHeight="1">
      <c r="C7" s="93">
        <f>DATE('Config'!$C$8,1,1)</f>
        <v>46023.0</v>
      </c>
      <c r="D7" s="93">
        <f>DATE('Config'!$C$8,2,1)</f>
        <v>46054.0</v>
      </c>
      <c r="E7" s="93">
        <f>DATE('Config'!$C$8,3,1)</f>
        <v>46082.0</v>
      </c>
      <c r="F7" s="93">
        <f>DATE('Config'!$C$8,4,1)</f>
        <v>46113.0</v>
      </c>
      <c r="G7" s="93">
        <f>DATE('Config'!$C$8,5,1)</f>
        <v>46143.0</v>
      </c>
      <c r="H7" s="93">
        <f>DATE('Config'!$C$8,6,1)</f>
        <v>46174.0</v>
      </c>
      <c r="I7" s="93">
        <f>DATE('Config'!$C$8,7,1)</f>
        <v>46204.0</v>
      </c>
      <c r="J7" s="93">
        <f>DATE('Config'!$C$8,8,1)</f>
        <v>46235.0</v>
      </c>
      <c r="K7" s="93">
        <f>DATE('Config'!$C$8,9,1)</f>
        <v>46266.0</v>
      </c>
      <c r="L7" s="93">
        <f>DATE('Config'!$C$8,10,1)</f>
        <v>46296.0</v>
      </c>
      <c r="M7" s="93">
        <f>DATE('Config'!$C$8,11,1)</f>
        <v>46327.0</v>
      </c>
      <c r="N7" s="93">
        <f>DATE('Config'!$C$8,12,1)</f>
        <v>46357.0</v>
      </c>
    </row>
    <row r="8" spans="2:17" ht="24" customHeight="1">
      <c r="B8" s="78" t="s">
        <v>131</v>
      </c>
      <c r="C8" s="74" t="str">
        <f>INDEX('Config'!$L$8:$L$19,1)</f>
        <v>Jan</v>
      </c>
      <c r="D8" s="74" t="str">
        <f>INDEX('Config'!$L$8:$L$19,2)</f>
        <v>Fev</v>
      </c>
      <c r="E8" s="74" t="str">
        <f>INDEX('Config'!$L$8:$L$19,3)</f>
        <v>Mar</v>
      </c>
      <c r="F8" s="74" t="str">
        <f>INDEX('Config'!$L$8:$L$19,4)</f>
        <v>Abr</v>
      </c>
      <c r="G8" s="74" t="str">
        <f>INDEX('Config'!$L$8:$L$19,5)</f>
        <v>Mai</v>
      </c>
      <c r="H8" s="74" t="str">
        <f>INDEX('Config'!$L$8:$L$19,6)</f>
        <v>Jun</v>
      </c>
      <c r="I8" s="74" t="str">
        <f>INDEX('Config'!$L$8:$L$19,7)</f>
        <v>Jul</v>
      </c>
      <c r="J8" s="74" t="str">
        <f>INDEX('Config'!$L$8:$L$19,8)</f>
        <v>Ago</v>
      </c>
      <c r="K8" s="74" t="str">
        <f>INDEX('Config'!$L$8:$L$19,9)</f>
        <v>Set</v>
      </c>
      <c r="L8" s="74" t="str">
        <f>INDEX('Config'!$L$8:$L$19,10)</f>
        <v>Out</v>
      </c>
      <c r="M8" s="74" t="str">
        <f>INDEX('Config'!$L$8:$L$19,11)</f>
        <v>Nov</v>
      </c>
      <c r="N8" s="74" t="str">
        <f>INDEX('Config'!$L$8:$L$19,12)</f>
        <v>Dez</v>
      </c>
      <c r="O8" s="74" t="s">
        <v>193</v>
      </c>
      <c r="P8" s="74" t="s">
        <v>194</v>
      </c>
      <c r="Q8" s="74" t="s">
        <v>195</v>
      </c>
    </row>
    <row r="9" spans="2:17" ht="16.5" customHeight="1">
      <c r="B9" s="94" t="s">
        <v>196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</row>
    <row r="10" spans="2:17" ht="16.5" customHeight="1">
      <c r="B10" s="85" t="str">
        <f>IF('Config'!$E$8="","",'Config'!$E$8)</f>
        <v>Pró-labore / Retirada do negócio</v>
      </c>
      <c r="C10" s="95">
        <f>IF($B10="",0,SUMIFS('Lanç. Pessoal'!$F$11:$F$1510,'Lanç. Pessoal'!$D$11:$D$1510,$B10,'Lanç. Pessoal'!$B$11:$B$1510,"&gt;="&amp;C$7,'Lanç. Pessoal'!$B$11:$B$1510,"&lt;"&amp;EDATE(C$7,1)))</f>
        <v>4500</v>
      </c>
      <c r="D10" s="95">
        <f>IF($B10="",0,SUMIFS('Lanç. Pessoal'!$F$11:$F$1510,'Lanç. Pessoal'!$D$11:$D$1510,$B10,'Lanç. Pessoal'!$B$11:$B$1510,"&gt;="&amp;D$7,'Lanç. Pessoal'!$B$11:$B$1510,"&lt;"&amp;EDATE(D$7,1)))</f>
        <v>4500</v>
      </c>
      <c r="E10" s="95">
        <f>IF($B10="",0,SUMIFS('Lanç. Pessoal'!$F$11:$F$1510,'Lanç. Pessoal'!$D$11:$D$1510,$B10,'Lanç. Pessoal'!$B$11:$B$1510,"&gt;="&amp;E$7,'Lanç. Pessoal'!$B$11:$B$1510,"&lt;"&amp;EDATE(E$7,1)))</f>
        <v>4500</v>
      </c>
      <c r="F10" s="95">
        <f>IF($B10="",0,SUMIFS('Lanç. Pessoal'!$F$11:$F$1510,'Lanç. Pessoal'!$D$11:$D$1510,$B10,'Lanç. Pessoal'!$B$11:$B$1510,"&gt;="&amp;F$7,'Lanç. Pessoal'!$B$11:$B$1510,"&lt;"&amp;EDATE(F$7,1)))</f>
        <v>4500</v>
      </c>
      <c r="G10" s="95">
        <f>IF($B10="",0,SUMIFS('Lanç. Pessoal'!$F$11:$F$1510,'Lanç. Pessoal'!$D$11:$D$1510,$B10,'Lanç. Pessoal'!$B$11:$B$1510,"&gt;="&amp;G$7,'Lanç. Pessoal'!$B$11:$B$1510,"&lt;"&amp;EDATE(G$7,1)))</f>
        <v>4500</v>
      </c>
      <c r="H10" s="95">
        <f>IF($B10="",0,SUMIFS('Lanç. Pessoal'!$F$11:$F$1510,'Lanç. Pessoal'!$D$11:$D$1510,$B10,'Lanç. Pessoal'!$B$11:$B$1510,"&gt;="&amp;H$7,'Lanç. Pessoal'!$B$11:$B$1510,"&lt;"&amp;EDATE(H$7,1)))</f>
        <v>4500</v>
      </c>
      <c r="I10" s="95">
        <f>IF($B10="",0,SUMIFS('Lanç. Pessoal'!$F$11:$F$1510,'Lanç. Pessoal'!$D$11:$D$1510,$B10,'Lanç. Pessoal'!$B$11:$B$1510,"&gt;="&amp;I$7,'Lanç. Pessoal'!$B$11:$B$1510,"&lt;"&amp;EDATE(I$7,1)))</f>
        <v>4500</v>
      </c>
      <c r="J10" s="95">
        <f>IF($B10="",0,SUMIFS('Lanç. Pessoal'!$F$11:$F$1510,'Lanç. Pessoal'!$D$11:$D$1510,$B10,'Lanç. Pessoal'!$B$11:$B$1510,"&gt;="&amp;J$7,'Lanç. Pessoal'!$B$11:$B$1510,"&lt;"&amp;EDATE(J$7,1)))</f>
        <v>4500</v>
      </c>
      <c r="K10" s="95">
        <f>IF($B10="",0,SUMIFS('Lanç. Pessoal'!$F$11:$F$1510,'Lanç. Pessoal'!$D$11:$D$1510,$B10,'Lanç. Pessoal'!$B$11:$B$1510,"&gt;="&amp;K$7,'Lanç. Pessoal'!$B$11:$B$1510,"&lt;"&amp;EDATE(K$7,1)))</f>
        <v>4500</v>
      </c>
      <c r="L10" s="95">
        <f>IF($B10="",0,SUMIFS('Lanç. Pessoal'!$F$11:$F$1510,'Lanç. Pessoal'!$D$11:$D$1510,$B10,'Lanç. Pessoal'!$B$11:$B$1510,"&gt;="&amp;L$7,'Lanç. Pessoal'!$B$11:$B$1510,"&lt;"&amp;EDATE(L$7,1)))</f>
        <v>0</v>
      </c>
      <c r="M10" s="95">
        <f>IF($B10="",0,SUMIFS('Lanç. Pessoal'!$F$11:$F$1510,'Lanç. Pessoal'!$D$11:$D$1510,$B10,'Lanç. Pessoal'!$B$11:$B$1510,"&gt;="&amp;M$7,'Lanç. Pessoal'!$B$11:$B$1510,"&lt;"&amp;EDATE(M$7,1)))</f>
        <v>0</v>
      </c>
      <c r="N10" s="95">
        <f>IF($B10="",0,SUMIFS('Lanç. Pessoal'!$F$11:$F$1510,'Lanç. Pessoal'!$D$11:$D$1510,$B10,'Lanç. Pessoal'!$B$11:$B$1510,"&gt;="&amp;N$7,'Lanç. Pessoal'!$B$11:$B$1510,"&lt;"&amp;EDATE(N$7,1)))</f>
        <v>0</v>
      </c>
      <c r="O10" s="96">
        <f>SUM(C10:N10)</f>
        <v>40500</v>
      </c>
      <c r="P10" s="97">
        <f>IFERROR(O10/'Dados'!$C$11,0)</f>
        <v>4500</v>
      </c>
      <c r="Q10" s="98"/>
    </row>
    <row r="11" spans="2:17" ht="16.5" customHeight="1">
      <c r="B11" s="85" t="str">
        <f>IF('Config'!$E$9="","",'Config'!$E$9)</f>
        <v>Salário / Renda fixa</v>
      </c>
      <c r="C11" s="95">
        <f>IF($B11="",0,SUMIFS('Lanç. Pessoal'!$F$11:$F$1510,'Lanç. Pessoal'!$D$11:$D$1510,$B11,'Lanç. Pessoal'!$B$11:$B$1510,"&gt;="&amp;C$7,'Lanç. Pessoal'!$B$11:$B$1510,"&lt;"&amp;EDATE(C$7,1)))</f>
        <v>0</v>
      </c>
      <c r="D11" s="95">
        <f>IF($B11="",0,SUMIFS('Lanç. Pessoal'!$F$11:$F$1510,'Lanç. Pessoal'!$D$11:$D$1510,$B11,'Lanç. Pessoal'!$B$11:$B$1510,"&gt;="&amp;D$7,'Lanç. Pessoal'!$B$11:$B$1510,"&lt;"&amp;EDATE(D$7,1)))</f>
        <v>0</v>
      </c>
      <c r="E11" s="95">
        <f>IF($B11="",0,SUMIFS('Lanç. Pessoal'!$F$11:$F$1510,'Lanç. Pessoal'!$D$11:$D$1510,$B11,'Lanç. Pessoal'!$B$11:$B$1510,"&gt;="&amp;E$7,'Lanç. Pessoal'!$B$11:$B$1510,"&lt;"&amp;EDATE(E$7,1)))</f>
        <v>0</v>
      </c>
      <c r="F11" s="95">
        <f>IF($B11="",0,SUMIFS('Lanç. Pessoal'!$F$11:$F$1510,'Lanç. Pessoal'!$D$11:$D$1510,$B11,'Lanç. Pessoal'!$B$11:$B$1510,"&gt;="&amp;F$7,'Lanç. Pessoal'!$B$11:$B$1510,"&lt;"&amp;EDATE(F$7,1)))</f>
        <v>0</v>
      </c>
      <c r="G11" s="95">
        <f>IF($B11="",0,SUMIFS('Lanç. Pessoal'!$F$11:$F$1510,'Lanç. Pessoal'!$D$11:$D$1510,$B11,'Lanç. Pessoal'!$B$11:$B$1510,"&gt;="&amp;G$7,'Lanç. Pessoal'!$B$11:$B$1510,"&lt;"&amp;EDATE(G$7,1)))</f>
        <v>0</v>
      </c>
      <c r="H11" s="95">
        <f>IF($B11="",0,SUMIFS('Lanç. Pessoal'!$F$11:$F$1510,'Lanç. Pessoal'!$D$11:$D$1510,$B11,'Lanç. Pessoal'!$B$11:$B$1510,"&gt;="&amp;H$7,'Lanç. Pessoal'!$B$11:$B$1510,"&lt;"&amp;EDATE(H$7,1)))</f>
        <v>0</v>
      </c>
      <c r="I11" s="95">
        <f>IF($B11="",0,SUMIFS('Lanç. Pessoal'!$F$11:$F$1510,'Lanç. Pessoal'!$D$11:$D$1510,$B11,'Lanç. Pessoal'!$B$11:$B$1510,"&gt;="&amp;I$7,'Lanç. Pessoal'!$B$11:$B$1510,"&lt;"&amp;EDATE(I$7,1)))</f>
        <v>0</v>
      </c>
      <c r="J11" s="95">
        <f>IF($B11="",0,SUMIFS('Lanç. Pessoal'!$F$11:$F$1510,'Lanç. Pessoal'!$D$11:$D$1510,$B11,'Lanç. Pessoal'!$B$11:$B$1510,"&gt;="&amp;J$7,'Lanç. Pessoal'!$B$11:$B$1510,"&lt;"&amp;EDATE(J$7,1)))</f>
        <v>0</v>
      </c>
      <c r="K11" s="95">
        <f>IF($B11="",0,SUMIFS('Lanç. Pessoal'!$F$11:$F$1510,'Lanç. Pessoal'!$D$11:$D$1510,$B11,'Lanç. Pessoal'!$B$11:$B$1510,"&gt;="&amp;K$7,'Lanç. Pessoal'!$B$11:$B$1510,"&lt;"&amp;EDATE(K$7,1)))</f>
        <v>0</v>
      </c>
      <c r="L11" s="95">
        <f>IF($B11="",0,SUMIFS('Lanç. Pessoal'!$F$11:$F$1510,'Lanç. Pessoal'!$D$11:$D$1510,$B11,'Lanç. Pessoal'!$B$11:$B$1510,"&gt;="&amp;L$7,'Lanç. Pessoal'!$B$11:$B$1510,"&lt;"&amp;EDATE(L$7,1)))</f>
        <v>0</v>
      </c>
      <c r="M11" s="95">
        <f>IF($B11="",0,SUMIFS('Lanç. Pessoal'!$F$11:$F$1510,'Lanç. Pessoal'!$D$11:$D$1510,$B11,'Lanç. Pessoal'!$B$11:$B$1510,"&gt;="&amp;M$7,'Lanç. Pessoal'!$B$11:$B$1510,"&lt;"&amp;EDATE(M$7,1)))</f>
        <v>0</v>
      </c>
      <c r="N11" s="95">
        <f>IF($B11="",0,SUMIFS('Lanç. Pessoal'!$F$11:$F$1510,'Lanç. Pessoal'!$D$11:$D$1510,$B11,'Lanç. Pessoal'!$B$11:$B$1510,"&gt;="&amp;N$7,'Lanç. Pessoal'!$B$11:$B$1510,"&lt;"&amp;EDATE(N$7,1)))</f>
        <v>0</v>
      </c>
      <c r="O11" s="96">
        <f>SUM(C11:N11)</f>
        <v>0</v>
      </c>
      <c r="P11" s="97">
        <f>IFERROR(O11/'Dados'!$C$11,0)</f>
        <v>0</v>
      </c>
      <c r="Q11" s="98"/>
    </row>
    <row r="12" spans="2:17" ht="16.5" customHeight="1">
      <c r="B12" s="85" t="str">
        <f>IF('Config'!$E$10="","",'Config'!$E$10)</f>
        <v>Renda extra</v>
      </c>
      <c r="C12" s="95">
        <f>IF($B12="",0,SUMIFS('Lanç. Pessoal'!$F$11:$F$1510,'Lanç. Pessoal'!$D$11:$D$1510,$B12,'Lanç. Pessoal'!$B$11:$B$1510,"&gt;="&amp;C$7,'Lanç. Pessoal'!$B$11:$B$1510,"&lt;"&amp;EDATE(C$7,1)))</f>
        <v>0</v>
      </c>
      <c r="D12" s="95">
        <f>IF($B12="",0,SUMIFS('Lanç. Pessoal'!$F$11:$F$1510,'Lanç. Pessoal'!$D$11:$D$1510,$B12,'Lanç. Pessoal'!$B$11:$B$1510,"&gt;="&amp;D$7,'Lanç. Pessoal'!$B$11:$B$1510,"&lt;"&amp;EDATE(D$7,1)))</f>
        <v>0</v>
      </c>
      <c r="E12" s="95">
        <f>IF($B12="",0,SUMIFS('Lanç. Pessoal'!$F$11:$F$1510,'Lanç. Pessoal'!$D$11:$D$1510,$B12,'Lanç. Pessoal'!$B$11:$B$1510,"&gt;="&amp;E$7,'Lanç. Pessoal'!$B$11:$B$1510,"&lt;"&amp;EDATE(E$7,1)))</f>
        <v>0</v>
      </c>
      <c r="F12" s="95">
        <f>IF($B12="",0,SUMIFS('Lanç. Pessoal'!$F$11:$F$1510,'Lanç. Pessoal'!$D$11:$D$1510,$B12,'Lanç. Pessoal'!$B$11:$B$1510,"&gt;="&amp;F$7,'Lanç. Pessoal'!$B$11:$B$1510,"&lt;"&amp;EDATE(F$7,1)))</f>
        <v>0</v>
      </c>
      <c r="G12" s="95">
        <f>IF($B12="",0,SUMIFS('Lanç. Pessoal'!$F$11:$F$1510,'Lanç. Pessoal'!$D$11:$D$1510,$B12,'Lanç. Pessoal'!$B$11:$B$1510,"&gt;="&amp;G$7,'Lanç. Pessoal'!$B$11:$B$1510,"&lt;"&amp;EDATE(G$7,1)))</f>
        <v>0</v>
      </c>
      <c r="H12" s="95">
        <f>IF($B12="",0,SUMIFS('Lanç. Pessoal'!$F$11:$F$1510,'Lanç. Pessoal'!$D$11:$D$1510,$B12,'Lanç. Pessoal'!$B$11:$B$1510,"&gt;="&amp;H$7,'Lanç. Pessoal'!$B$11:$B$1510,"&lt;"&amp;EDATE(H$7,1)))</f>
        <v>0</v>
      </c>
      <c r="I12" s="95">
        <f>IF($B12="",0,SUMIFS('Lanç. Pessoal'!$F$11:$F$1510,'Lanç. Pessoal'!$D$11:$D$1510,$B12,'Lanç. Pessoal'!$B$11:$B$1510,"&gt;="&amp;I$7,'Lanç. Pessoal'!$B$11:$B$1510,"&lt;"&amp;EDATE(I$7,1)))</f>
        <v>0</v>
      </c>
      <c r="J12" s="95">
        <f>IF($B12="",0,SUMIFS('Lanç. Pessoal'!$F$11:$F$1510,'Lanç. Pessoal'!$D$11:$D$1510,$B12,'Lanç. Pessoal'!$B$11:$B$1510,"&gt;="&amp;J$7,'Lanç. Pessoal'!$B$11:$B$1510,"&lt;"&amp;EDATE(J$7,1)))</f>
        <v>0</v>
      </c>
      <c r="K12" s="95">
        <f>IF($B12="",0,SUMIFS('Lanç. Pessoal'!$F$11:$F$1510,'Lanç. Pessoal'!$D$11:$D$1510,$B12,'Lanç. Pessoal'!$B$11:$B$1510,"&gt;="&amp;K$7,'Lanç. Pessoal'!$B$11:$B$1510,"&lt;"&amp;EDATE(K$7,1)))</f>
        <v>0</v>
      </c>
      <c r="L12" s="95">
        <f>IF($B12="",0,SUMIFS('Lanç. Pessoal'!$F$11:$F$1510,'Lanç. Pessoal'!$D$11:$D$1510,$B12,'Lanç. Pessoal'!$B$11:$B$1510,"&gt;="&amp;L$7,'Lanç. Pessoal'!$B$11:$B$1510,"&lt;"&amp;EDATE(L$7,1)))</f>
        <v>0</v>
      </c>
      <c r="M12" s="95">
        <f>IF($B12="",0,SUMIFS('Lanç. Pessoal'!$F$11:$F$1510,'Lanç. Pessoal'!$D$11:$D$1510,$B12,'Lanç. Pessoal'!$B$11:$B$1510,"&gt;="&amp;M$7,'Lanç. Pessoal'!$B$11:$B$1510,"&lt;"&amp;EDATE(M$7,1)))</f>
        <v>0</v>
      </c>
      <c r="N12" s="95">
        <f>IF($B12="",0,SUMIFS('Lanç. Pessoal'!$F$11:$F$1510,'Lanç. Pessoal'!$D$11:$D$1510,$B12,'Lanç. Pessoal'!$B$11:$B$1510,"&gt;="&amp;N$7,'Lanç. Pessoal'!$B$11:$B$1510,"&lt;"&amp;EDATE(N$7,1)))</f>
        <v>0</v>
      </c>
      <c r="O12" s="96">
        <f>SUM(C12:N12)</f>
        <v>0</v>
      </c>
      <c r="P12" s="97">
        <f>IFERROR(O12/'Dados'!$C$11,0)</f>
        <v>0</v>
      </c>
      <c r="Q12" s="98"/>
    </row>
    <row r="13" spans="2:17" ht="16.5" customHeight="1">
      <c r="B13" s="85" t="str">
        <f>IF('Config'!$E$11="","",'Config'!$E$11)</f>
        <v>Rendimentos de investimentos</v>
      </c>
      <c r="C13" s="95">
        <f>IF($B13="",0,SUMIFS('Lanç. Pessoal'!$F$11:$F$1510,'Lanç. Pessoal'!$D$11:$D$1510,$B13,'Lanç. Pessoal'!$B$11:$B$1510,"&gt;="&amp;C$7,'Lanç. Pessoal'!$B$11:$B$1510,"&lt;"&amp;EDATE(C$7,1)))</f>
        <v>46.63</v>
      </c>
      <c r="D13" s="95">
        <f>IF($B13="",0,SUMIFS('Lanç. Pessoal'!$F$11:$F$1510,'Lanç. Pessoal'!$D$11:$D$1510,$B13,'Lanç. Pessoal'!$B$11:$B$1510,"&gt;="&amp;D$7,'Lanç. Pessoal'!$B$11:$B$1510,"&lt;"&amp;EDATE(D$7,1)))</f>
        <v>50.78</v>
      </c>
      <c r="E13" s="95">
        <f>IF($B13="",0,SUMIFS('Lanç. Pessoal'!$F$11:$F$1510,'Lanç. Pessoal'!$D$11:$D$1510,$B13,'Lanç. Pessoal'!$B$11:$B$1510,"&gt;="&amp;E$7,'Lanç. Pessoal'!$B$11:$B$1510,"&lt;"&amp;EDATE(E$7,1)))</f>
        <v>58.6</v>
      </c>
      <c r="F13" s="95">
        <f>IF($B13="",0,SUMIFS('Lanç. Pessoal'!$F$11:$F$1510,'Lanç. Pessoal'!$D$11:$D$1510,$B13,'Lanç. Pessoal'!$B$11:$B$1510,"&gt;="&amp;F$7,'Lanç. Pessoal'!$B$11:$B$1510,"&lt;"&amp;EDATE(F$7,1)))</f>
        <v>69.41</v>
      </c>
      <c r="G13" s="95">
        <f>IF($B13="",0,SUMIFS('Lanç. Pessoal'!$F$11:$F$1510,'Lanç. Pessoal'!$D$11:$D$1510,$B13,'Lanç. Pessoal'!$B$11:$B$1510,"&gt;="&amp;G$7,'Lanç. Pessoal'!$B$11:$B$1510,"&lt;"&amp;EDATE(G$7,1)))</f>
        <v>53.22</v>
      </c>
      <c r="H13" s="95">
        <f>IF($B13="",0,SUMIFS('Lanç. Pessoal'!$F$11:$F$1510,'Lanç. Pessoal'!$D$11:$D$1510,$B13,'Lanç. Pessoal'!$B$11:$B$1510,"&gt;="&amp;H$7,'Lanç. Pessoal'!$B$11:$B$1510,"&lt;"&amp;EDATE(H$7,1)))</f>
        <v>41.87</v>
      </c>
      <c r="I13" s="95">
        <f>IF($B13="",0,SUMIFS('Lanç. Pessoal'!$F$11:$F$1510,'Lanç. Pessoal'!$D$11:$D$1510,$B13,'Lanç. Pessoal'!$B$11:$B$1510,"&gt;="&amp;I$7,'Lanç. Pessoal'!$B$11:$B$1510,"&lt;"&amp;EDATE(I$7,1)))</f>
        <v>60.59</v>
      </c>
      <c r="J13" s="95">
        <f>IF($B13="",0,SUMIFS('Lanç. Pessoal'!$F$11:$F$1510,'Lanç. Pessoal'!$D$11:$D$1510,$B13,'Lanç. Pessoal'!$B$11:$B$1510,"&gt;="&amp;J$7,'Lanç. Pessoal'!$B$11:$B$1510,"&lt;"&amp;EDATE(J$7,1)))</f>
        <v>44.92</v>
      </c>
      <c r="K13" s="95">
        <f>IF($B13="",0,SUMIFS('Lanç. Pessoal'!$F$11:$F$1510,'Lanç. Pessoal'!$D$11:$D$1510,$B13,'Lanç. Pessoal'!$B$11:$B$1510,"&gt;="&amp;K$7,'Lanç. Pessoal'!$B$11:$B$1510,"&lt;"&amp;EDATE(K$7,1)))</f>
        <v>52.89</v>
      </c>
      <c r="L13" s="95">
        <f>IF($B13="",0,SUMIFS('Lanç. Pessoal'!$F$11:$F$1510,'Lanç. Pessoal'!$D$11:$D$1510,$B13,'Lanç. Pessoal'!$B$11:$B$1510,"&gt;="&amp;L$7,'Lanç. Pessoal'!$B$11:$B$1510,"&lt;"&amp;EDATE(L$7,1)))</f>
        <v>0</v>
      </c>
      <c r="M13" s="95">
        <f>IF($B13="",0,SUMIFS('Lanç. Pessoal'!$F$11:$F$1510,'Lanç. Pessoal'!$D$11:$D$1510,$B13,'Lanç. Pessoal'!$B$11:$B$1510,"&gt;="&amp;M$7,'Lanç. Pessoal'!$B$11:$B$1510,"&lt;"&amp;EDATE(M$7,1)))</f>
        <v>0</v>
      </c>
      <c r="N13" s="95">
        <f>IF($B13="",0,SUMIFS('Lanç. Pessoal'!$F$11:$F$1510,'Lanç. Pessoal'!$D$11:$D$1510,$B13,'Lanç. Pessoal'!$B$11:$B$1510,"&gt;="&amp;N$7,'Lanç. Pessoal'!$B$11:$B$1510,"&lt;"&amp;EDATE(N$7,1)))</f>
        <v>0</v>
      </c>
      <c r="O13" s="96">
        <f>SUM(C13:N13)</f>
        <v>478.91</v>
      </c>
      <c r="P13" s="97">
        <f>IFERROR(O13/'Dados'!$C$11,0)</f>
        <v>53.2122222222222</v>
      </c>
      <c r="Q13" s="98"/>
    </row>
    <row r="14" spans="2:17" ht="16.5" customHeight="1">
      <c r="B14" s="85" t="str">
        <f>IF('Config'!$E$12="","",'Config'!$E$12)</f>
        <v>Reembolsos</v>
      </c>
      <c r="C14" s="95">
        <f>IF($B14="",0,SUMIFS('Lanç. Pessoal'!$F$11:$F$1510,'Lanç. Pessoal'!$D$11:$D$1510,$B14,'Lanç. Pessoal'!$B$11:$B$1510,"&gt;="&amp;C$7,'Lanç. Pessoal'!$B$11:$B$1510,"&lt;"&amp;EDATE(C$7,1)))</f>
        <v>0</v>
      </c>
      <c r="D14" s="95">
        <f>IF($B14="",0,SUMIFS('Lanç. Pessoal'!$F$11:$F$1510,'Lanç. Pessoal'!$D$11:$D$1510,$B14,'Lanç. Pessoal'!$B$11:$B$1510,"&gt;="&amp;D$7,'Lanç. Pessoal'!$B$11:$B$1510,"&lt;"&amp;EDATE(D$7,1)))</f>
        <v>0</v>
      </c>
      <c r="E14" s="95">
        <f>IF($B14="",0,SUMIFS('Lanç. Pessoal'!$F$11:$F$1510,'Lanç. Pessoal'!$D$11:$D$1510,$B14,'Lanç. Pessoal'!$B$11:$B$1510,"&gt;="&amp;E$7,'Lanç. Pessoal'!$B$11:$B$1510,"&lt;"&amp;EDATE(E$7,1)))</f>
        <v>386.08</v>
      </c>
      <c r="F14" s="95">
        <f>IF($B14="",0,SUMIFS('Lanç. Pessoal'!$F$11:$F$1510,'Lanç. Pessoal'!$D$11:$D$1510,$B14,'Lanç. Pessoal'!$B$11:$B$1510,"&gt;="&amp;F$7,'Lanç. Pessoal'!$B$11:$B$1510,"&lt;"&amp;EDATE(F$7,1)))</f>
        <v>0</v>
      </c>
      <c r="G14" s="95">
        <f>IF($B14="",0,SUMIFS('Lanç. Pessoal'!$F$11:$F$1510,'Lanç. Pessoal'!$D$11:$D$1510,$B14,'Lanç. Pessoal'!$B$11:$B$1510,"&gt;="&amp;G$7,'Lanç. Pessoal'!$B$11:$B$1510,"&lt;"&amp;EDATE(G$7,1)))</f>
        <v>0</v>
      </c>
      <c r="H14" s="95">
        <f>IF($B14="",0,SUMIFS('Lanç. Pessoal'!$F$11:$F$1510,'Lanç. Pessoal'!$D$11:$D$1510,$B14,'Lanç. Pessoal'!$B$11:$B$1510,"&gt;="&amp;H$7,'Lanç. Pessoal'!$B$11:$B$1510,"&lt;"&amp;EDATE(H$7,1)))</f>
        <v>360.13</v>
      </c>
      <c r="I14" s="95">
        <f>IF($B14="",0,SUMIFS('Lanç. Pessoal'!$F$11:$F$1510,'Lanç. Pessoal'!$D$11:$D$1510,$B14,'Lanç. Pessoal'!$B$11:$B$1510,"&gt;="&amp;I$7,'Lanç. Pessoal'!$B$11:$B$1510,"&lt;"&amp;EDATE(I$7,1)))</f>
        <v>0</v>
      </c>
      <c r="J14" s="95">
        <f>IF($B14="",0,SUMIFS('Lanç. Pessoal'!$F$11:$F$1510,'Lanç. Pessoal'!$D$11:$D$1510,$B14,'Lanç. Pessoal'!$B$11:$B$1510,"&gt;="&amp;J$7,'Lanç. Pessoal'!$B$11:$B$1510,"&lt;"&amp;EDATE(J$7,1)))</f>
        <v>0</v>
      </c>
      <c r="K14" s="95">
        <f>IF($B14="",0,SUMIFS('Lanç. Pessoal'!$F$11:$F$1510,'Lanç. Pessoal'!$D$11:$D$1510,$B14,'Lanç. Pessoal'!$B$11:$B$1510,"&gt;="&amp;K$7,'Lanç. Pessoal'!$B$11:$B$1510,"&lt;"&amp;EDATE(K$7,1)))</f>
        <v>0</v>
      </c>
      <c r="L14" s="95">
        <f>IF($B14="",0,SUMIFS('Lanç. Pessoal'!$F$11:$F$1510,'Lanç. Pessoal'!$D$11:$D$1510,$B14,'Lanç. Pessoal'!$B$11:$B$1510,"&gt;="&amp;L$7,'Lanç. Pessoal'!$B$11:$B$1510,"&lt;"&amp;EDATE(L$7,1)))</f>
        <v>0</v>
      </c>
      <c r="M14" s="95">
        <f>IF($B14="",0,SUMIFS('Lanç. Pessoal'!$F$11:$F$1510,'Lanç. Pessoal'!$D$11:$D$1510,$B14,'Lanç. Pessoal'!$B$11:$B$1510,"&gt;="&amp;M$7,'Lanç. Pessoal'!$B$11:$B$1510,"&lt;"&amp;EDATE(M$7,1)))</f>
        <v>0</v>
      </c>
      <c r="N14" s="95">
        <f>IF($B14="",0,SUMIFS('Lanç. Pessoal'!$F$11:$F$1510,'Lanç. Pessoal'!$D$11:$D$1510,$B14,'Lanç. Pessoal'!$B$11:$B$1510,"&gt;="&amp;N$7,'Lanç. Pessoal'!$B$11:$B$1510,"&lt;"&amp;EDATE(N$7,1)))</f>
        <v>0</v>
      </c>
      <c r="O14" s="96">
        <f>SUM(C14:N14)</f>
        <v>746.21</v>
      </c>
      <c r="P14" s="97">
        <f>IFERROR(O14/'Dados'!$C$11,0)</f>
        <v>82.9122222222222</v>
      </c>
      <c r="Q14" s="98"/>
    </row>
    <row r="15" spans="2:17" ht="16.5" customHeight="1">
      <c r="B15" s="85" t="str">
        <f>IF('Config'!$E$13="","",'Config'!$E$13)</f>
        <v>Aluguéis recebidos</v>
      </c>
      <c r="C15" s="95">
        <f>IF($B15="",0,SUMIFS('Lanç. Pessoal'!$F$11:$F$1510,'Lanç. Pessoal'!$D$11:$D$1510,$B15,'Lanç. Pessoal'!$B$11:$B$1510,"&gt;="&amp;C$7,'Lanç. Pessoal'!$B$11:$B$1510,"&lt;"&amp;EDATE(C$7,1)))</f>
        <v>0</v>
      </c>
      <c r="D15" s="95">
        <f>IF($B15="",0,SUMIFS('Lanç. Pessoal'!$F$11:$F$1510,'Lanç. Pessoal'!$D$11:$D$1510,$B15,'Lanç. Pessoal'!$B$11:$B$1510,"&gt;="&amp;D$7,'Lanç. Pessoal'!$B$11:$B$1510,"&lt;"&amp;EDATE(D$7,1)))</f>
        <v>0</v>
      </c>
      <c r="E15" s="95">
        <f>IF($B15="",0,SUMIFS('Lanç. Pessoal'!$F$11:$F$1510,'Lanç. Pessoal'!$D$11:$D$1510,$B15,'Lanç. Pessoal'!$B$11:$B$1510,"&gt;="&amp;E$7,'Lanç. Pessoal'!$B$11:$B$1510,"&lt;"&amp;EDATE(E$7,1)))</f>
        <v>0</v>
      </c>
      <c r="F15" s="95">
        <f>IF($B15="",0,SUMIFS('Lanç. Pessoal'!$F$11:$F$1510,'Lanç. Pessoal'!$D$11:$D$1510,$B15,'Lanç. Pessoal'!$B$11:$B$1510,"&gt;="&amp;F$7,'Lanç. Pessoal'!$B$11:$B$1510,"&lt;"&amp;EDATE(F$7,1)))</f>
        <v>0</v>
      </c>
      <c r="G15" s="95">
        <f>IF($B15="",0,SUMIFS('Lanç. Pessoal'!$F$11:$F$1510,'Lanç. Pessoal'!$D$11:$D$1510,$B15,'Lanç. Pessoal'!$B$11:$B$1510,"&gt;="&amp;G$7,'Lanç. Pessoal'!$B$11:$B$1510,"&lt;"&amp;EDATE(G$7,1)))</f>
        <v>0</v>
      </c>
      <c r="H15" s="95">
        <f>IF($B15="",0,SUMIFS('Lanç. Pessoal'!$F$11:$F$1510,'Lanç. Pessoal'!$D$11:$D$1510,$B15,'Lanç. Pessoal'!$B$11:$B$1510,"&gt;="&amp;H$7,'Lanç. Pessoal'!$B$11:$B$1510,"&lt;"&amp;EDATE(H$7,1)))</f>
        <v>0</v>
      </c>
      <c r="I15" s="95">
        <f>IF($B15="",0,SUMIFS('Lanç. Pessoal'!$F$11:$F$1510,'Lanç. Pessoal'!$D$11:$D$1510,$B15,'Lanç. Pessoal'!$B$11:$B$1510,"&gt;="&amp;I$7,'Lanç. Pessoal'!$B$11:$B$1510,"&lt;"&amp;EDATE(I$7,1)))</f>
        <v>0</v>
      </c>
      <c r="J15" s="95">
        <f>IF($B15="",0,SUMIFS('Lanç. Pessoal'!$F$11:$F$1510,'Lanç. Pessoal'!$D$11:$D$1510,$B15,'Lanç. Pessoal'!$B$11:$B$1510,"&gt;="&amp;J$7,'Lanç. Pessoal'!$B$11:$B$1510,"&lt;"&amp;EDATE(J$7,1)))</f>
        <v>0</v>
      </c>
      <c r="K15" s="95">
        <f>IF($B15="",0,SUMIFS('Lanç. Pessoal'!$F$11:$F$1510,'Lanç. Pessoal'!$D$11:$D$1510,$B15,'Lanç. Pessoal'!$B$11:$B$1510,"&gt;="&amp;K$7,'Lanç. Pessoal'!$B$11:$B$1510,"&lt;"&amp;EDATE(K$7,1)))</f>
        <v>0</v>
      </c>
      <c r="L15" s="95">
        <f>IF($B15="",0,SUMIFS('Lanç. Pessoal'!$F$11:$F$1510,'Lanç. Pessoal'!$D$11:$D$1510,$B15,'Lanç. Pessoal'!$B$11:$B$1510,"&gt;="&amp;L$7,'Lanç. Pessoal'!$B$11:$B$1510,"&lt;"&amp;EDATE(L$7,1)))</f>
        <v>0</v>
      </c>
      <c r="M15" s="95">
        <f>IF($B15="",0,SUMIFS('Lanç. Pessoal'!$F$11:$F$1510,'Lanç. Pessoal'!$D$11:$D$1510,$B15,'Lanç. Pessoal'!$B$11:$B$1510,"&gt;="&amp;M$7,'Lanç. Pessoal'!$B$11:$B$1510,"&lt;"&amp;EDATE(M$7,1)))</f>
        <v>0</v>
      </c>
      <c r="N15" s="95">
        <f>IF($B15="",0,SUMIFS('Lanç. Pessoal'!$F$11:$F$1510,'Lanç. Pessoal'!$D$11:$D$1510,$B15,'Lanç. Pessoal'!$B$11:$B$1510,"&gt;="&amp;N$7,'Lanç. Pessoal'!$B$11:$B$1510,"&lt;"&amp;EDATE(N$7,1)))</f>
        <v>0</v>
      </c>
      <c r="O15" s="96">
        <f>SUM(C15:N15)</f>
        <v>0</v>
      </c>
      <c r="P15" s="97">
        <f>IFERROR(O15/'Dados'!$C$11,0)</f>
        <v>0</v>
      </c>
      <c r="Q15" s="98"/>
    </row>
    <row r="16" spans="2:17" ht="16.5" customHeight="1">
      <c r="B16" s="85" t="str">
        <f>IF('Config'!$E$14="","",'Config'!$E$14)</f>
        <v>Presentes recebidos</v>
      </c>
      <c r="C16" s="95">
        <f>IF($B16="",0,SUMIFS('Lanç. Pessoal'!$F$11:$F$1510,'Lanç. Pessoal'!$D$11:$D$1510,$B16,'Lanç. Pessoal'!$B$11:$B$1510,"&gt;="&amp;C$7,'Lanç. Pessoal'!$B$11:$B$1510,"&lt;"&amp;EDATE(C$7,1)))</f>
        <v>0</v>
      </c>
      <c r="D16" s="95">
        <f>IF($B16="",0,SUMIFS('Lanç. Pessoal'!$F$11:$F$1510,'Lanç. Pessoal'!$D$11:$D$1510,$B16,'Lanç. Pessoal'!$B$11:$B$1510,"&gt;="&amp;D$7,'Lanç. Pessoal'!$B$11:$B$1510,"&lt;"&amp;EDATE(D$7,1)))</f>
        <v>0</v>
      </c>
      <c r="E16" s="95">
        <f>IF($B16="",0,SUMIFS('Lanç. Pessoal'!$F$11:$F$1510,'Lanç. Pessoal'!$D$11:$D$1510,$B16,'Lanç. Pessoal'!$B$11:$B$1510,"&gt;="&amp;E$7,'Lanç. Pessoal'!$B$11:$B$1510,"&lt;"&amp;EDATE(E$7,1)))</f>
        <v>0</v>
      </c>
      <c r="F16" s="95">
        <f>IF($B16="",0,SUMIFS('Lanç. Pessoal'!$F$11:$F$1510,'Lanç. Pessoal'!$D$11:$D$1510,$B16,'Lanç. Pessoal'!$B$11:$B$1510,"&gt;="&amp;F$7,'Lanç. Pessoal'!$B$11:$B$1510,"&lt;"&amp;EDATE(F$7,1)))</f>
        <v>0</v>
      </c>
      <c r="G16" s="95">
        <f>IF($B16="",0,SUMIFS('Lanç. Pessoal'!$F$11:$F$1510,'Lanç. Pessoal'!$D$11:$D$1510,$B16,'Lanç. Pessoal'!$B$11:$B$1510,"&gt;="&amp;G$7,'Lanç. Pessoal'!$B$11:$B$1510,"&lt;"&amp;EDATE(G$7,1)))</f>
        <v>0</v>
      </c>
      <c r="H16" s="95">
        <f>IF($B16="",0,SUMIFS('Lanç. Pessoal'!$F$11:$F$1510,'Lanç. Pessoal'!$D$11:$D$1510,$B16,'Lanç. Pessoal'!$B$11:$B$1510,"&gt;="&amp;H$7,'Lanç. Pessoal'!$B$11:$B$1510,"&lt;"&amp;EDATE(H$7,1)))</f>
        <v>0</v>
      </c>
      <c r="I16" s="95">
        <f>IF($B16="",0,SUMIFS('Lanç. Pessoal'!$F$11:$F$1510,'Lanç. Pessoal'!$D$11:$D$1510,$B16,'Lanç. Pessoal'!$B$11:$B$1510,"&gt;="&amp;I$7,'Lanç. Pessoal'!$B$11:$B$1510,"&lt;"&amp;EDATE(I$7,1)))</f>
        <v>0</v>
      </c>
      <c r="J16" s="95">
        <f>IF($B16="",0,SUMIFS('Lanç. Pessoal'!$F$11:$F$1510,'Lanç. Pessoal'!$D$11:$D$1510,$B16,'Lanç. Pessoal'!$B$11:$B$1510,"&gt;="&amp;J$7,'Lanç. Pessoal'!$B$11:$B$1510,"&lt;"&amp;EDATE(J$7,1)))</f>
        <v>0</v>
      </c>
      <c r="K16" s="95">
        <f>IF($B16="",0,SUMIFS('Lanç. Pessoal'!$F$11:$F$1510,'Lanç. Pessoal'!$D$11:$D$1510,$B16,'Lanç. Pessoal'!$B$11:$B$1510,"&gt;="&amp;K$7,'Lanç. Pessoal'!$B$11:$B$1510,"&lt;"&amp;EDATE(K$7,1)))</f>
        <v>0</v>
      </c>
      <c r="L16" s="95">
        <f>IF($B16="",0,SUMIFS('Lanç. Pessoal'!$F$11:$F$1510,'Lanç. Pessoal'!$D$11:$D$1510,$B16,'Lanç. Pessoal'!$B$11:$B$1510,"&gt;="&amp;L$7,'Lanç. Pessoal'!$B$11:$B$1510,"&lt;"&amp;EDATE(L$7,1)))</f>
        <v>0</v>
      </c>
      <c r="M16" s="95">
        <f>IF($B16="",0,SUMIFS('Lanç. Pessoal'!$F$11:$F$1510,'Lanç. Pessoal'!$D$11:$D$1510,$B16,'Lanç. Pessoal'!$B$11:$B$1510,"&gt;="&amp;M$7,'Lanç. Pessoal'!$B$11:$B$1510,"&lt;"&amp;EDATE(M$7,1)))</f>
        <v>0</v>
      </c>
      <c r="N16" s="95">
        <f>IF($B16="",0,SUMIFS('Lanç. Pessoal'!$F$11:$F$1510,'Lanç. Pessoal'!$D$11:$D$1510,$B16,'Lanç. Pessoal'!$B$11:$B$1510,"&gt;="&amp;N$7,'Lanç. Pessoal'!$B$11:$B$1510,"&lt;"&amp;EDATE(N$7,1)))</f>
        <v>0</v>
      </c>
      <c r="O16" s="96">
        <f>SUM(C16:N16)</f>
        <v>0</v>
      </c>
      <c r="P16" s="97">
        <f>IFERROR(O16/'Dados'!$C$11,0)</f>
        <v>0</v>
      </c>
      <c r="Q16" s="98"/>
    </row>
    <row r="17" spans="2:17" ht="16.5" customHeight="1">
      <c r="B17" s="85" t="str">
        <f>IF('Config'!$E$15="","",'Config'!$E$15)</f>
        <v>Outras entradas</v>
      </c>
      <c r="C17" s="95">
        <f>IF($B17="",0,SUMIFS('Lanç. Pessoal'!$F$11:$F$1510,'Lanç. Pessoal'!$D$11:$D$1510,$B17,'Lanç. Pessoal'!$B$11:$B$1510,"&gt;="&amp;C$7,'Lanç. Pessoal'!$B$11:$B$1510,"&lt;"&amp;EDATE(C$7,1)))</f>
        <v>0</v>
      </c>
      <c r="D17" s="95">
        <f>IF($B17="",0,SUMIFS('Lanç. Pessoal'!$F$11:$F$1510,'Lanç. Pessoal'!$D$11:$D$1510,$B17,'Lanç. Pessoal'!$B$11:$B$1510,"&gt;="&amp;D$7,'Lanç. Pessoal'!$B$11:$B$1510,"&lt;"&amp;EDATE(D$7,1)))</f>
        <v>0</v>
      </c>
      <c r="E17" s="95">
        <f>IF($B17="",0,SUMIFS('Lanç. Pessoal'!$F$11:$F$1510,'Lanç. Pessoal'!$D$11:$D$1510,$B17,'Lanç. Pessoal'!$B$11:$B$1510,"&gt;="&amp;E$7,'Lanç. Pessoal'!$B$11:$B$1510,"&lt;"&amp;EDATE(E$7,1)))</f>
        <v>0</v>
      </c>
      <c r="F17" s="95">
        <f>IF($B17="",0,SUMIFS('Lanç. Pessoal'!$F$11:$F$1510,'Lanç. Pessoal'!$D$11:$D$1510,$B17,'Lanç. Pessoal'!$B$11:$B$1510,"&gt;="&amp;F$7,'Lanç. Pessoal'!$B$11:$B$1510,"&lt;"&amp;EDATE(F$7,1)))</f>
        <v>0</v>
      </c>
      <c r="G17" s="95">
        <f>IF($B17="",0,SUMIFS('Lanç. Pessoal'!$F$11:$F$1510,'Lanç. Pessoal'!$D$11:$D$1510,$B17,'Lanç. Pessoal'!$B$11:$B$1510,"&gt;="&amp;G$7,'Lanç. Pessoal'!$B$11:$B$1510,"&lt;"&amp;EDATE(G$7,1)))</f>
        <v>0</v>
      </c>
      <c r="H17" s="95">
        <f>IF($B17="",0,SUMIFS('Lanç. Pessoal'!$F$11:$F$1510,'Lanç. Pessoal'!$D$11:$D$1510,$B17,'Lanç. Pessoal'!$B$11:$B$1510,"&gt;="&amp;H$7,'Lanç. Pessoal'!$B$11:$B$1510,"&lt;"&amp;EDATE(H$7,1)))</f>
        <v>0</v>
      </c>
      <c r="I17" s="95">
        <f>IF($B17="",0,SUMIFS('Lanç. Pessoal'!$F$11:$F$1510,'Lanç. Pessoal'!$D$11:$D$1510,$B17,'Lanç. Pessoal'!$B$11:$B$1510,"&gt;="&amp;I$7,'Lanç. Pessoal'!$B$11:$B$1510,"&lt;"&amp;EDATE(I$7,1)))</f>
        <v>0</v>
      </c>
      <c r="J17" s="95">
        <f>IF($B17="",0,SUMIFS('Lanç. Pessoal'!$F$11:$F$1510,'Lanç. Pessoal'!$D$11:$D$1510,$B17,'Lanç. Pessoal'!$B$11:$B$1510,"&gt;="&amp;J$7,'Lanç. Pessoal'!$B$11:$B$1510,"&lt;"&amp;EDATE(J$7,1)))</f>
        <v>0</v>
      </c>
      <c r="K17" s="95">
        <f>IF($B17="",0,SUMIFS('Lanç. Pessoal'!$F$11:$F$1510,'Lanç. Pessoal'!$D$11:$D$1510,$B17,'Lanç. Pessoal'!$B$11:$B$1510,"&gt;="&amp;K$7,'Lanç. Pessoal'!$B$11:$B$1510,"&lt;"&amp;EDATE(K$7,1)))</f>
        <v>0</v>
      </c>
      <c r="L17" s="95">
        <f>IF($B17="",0,SUMIFS('Lanç. Pessoal'!$F$11:$F$1510,'Lanç. Pessoal'!$D$11:$D$1510,$B17,'Lanç. Pessoal'!$B$11:$B$1510,"&gt;="&amp;L$7,'Lanç. Pessoal'!$B$11:$B$1510,"&lt;"&amp;EDATE(L$7,1)))</f>
        <v>0</v>
      </c>
      <c r="M17" s="95">
        <f>IF($B17="",0,SUMIFS('Lanç. Pessoal'!$F$11:$F$1510,'Lanç. Pessoal'!$D$11:$D$1510,$B17,'Lanç. Pessoal'!$B$11:$B$1510,"&gt;="&amp;M$7,'Lanç. Pessoal'!$B$11:$B$1510,"&lt;"&amp;EDATE(M$7,1)))</f>
        <v>0</v>
      </c>
      <c r="N17" s="95">
        <f>IF($B17="",0,SUMIFS('Lanç. Pessoal'!$F$11:$F$1510,'Lanç. Pessoal'!$D$11:$D$1510,$B17,'Lanç. Pessoal'!$B$11:$B$1510,"&gt;="&amp;N$7,'Lanç. Pessoal'!$B$11:$B$1510,"&lt;"&amp;EDATE(N$7,1)))</f>
        <v>0</v>
      </c>
      <c r="O17" s="96">
        <f>SUM(C17:N17)</f>
        <v>0</v>
      </c>
      <c r="P17" s="97">
        <f>IFERROR(O17/'Dados'!$C$11,0)</f>
        <v>0</v>
      </c>
      <c r="Q17" s="98"/>
    </row>
    <row r="18" spans="2:17" ht="16.5" customHeight="1">
      <c r="B18" s="99" t="s">
        <v>197</v>
      </c>
      <c r="C18" s="100">
        <f>SUM(C10:C17)</f>
        <v>4546.63</v>
      </c>
      <c r="D18" s="100">
        <f>SUM(D10:D17)</f>
        <v>4550.78</v>
      </c>
      <c r="E18" s="100">
        <f>SUM(E10:E17)</f>
        <v>4944.68</v>
      </c>
      <c r="F18" s="100">
        <f>SUM(F10:F17)</f>
        <v>4569.41</v>
      </c>
      <c r="G18" s="100">
        <f>SUM(G10:G17)</f>
        <v>4553.22</v>
      </c>
      <c r="H18" s="100">
        <f>SUM(H10:H17)</f>
        <v>4902</v>
      </c>
      <c r="I18" s="100">
        <f>SUM(I10:I17)</f>
        <v>4560.59</v>
      </c>
      <c r="J18" s="100">
        <f>SUM(J10:J17)</f>
        <v>4544.92</v>
      </c>
      <c r="K18" s="100">
        <f>SUM(K10:K17)</f>
        <v>4552.89</v>
      </c>
      <c r="L18" s="100">
        <f>SUM(L10:L17)</f>
        <v>0</v>
      </c>
      <c r="M18" s="100">
        <f>SUM(M10:M17)</f>
        <v>0</v>
      </c>
      <c r="N18" s="100">
        <f>SUM(N10:N17)</f>
        <v>0</v>
      </c>
      <c r="O18" s="100">
        <f>SUM(O10:O17)</f>
        <v>41725.12</v>
      </c>
      <c r="P18" s="100">
        <f>SUM(P10:P17)</f>
        <v>4636.12444444445</v>
      </c>
      <c r="Q18" s="100"/>
    </row>
    <row r="19" spans="2:17" ht="16.5" customHeight="1">
      <c r="B19" s="101" t="s">
        <v>198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</row>
    <row r="20" spans="2:17" ht="16.5" customHeight="1">
      <c r="B20" s="85" t="str">
        <f>IF('Config'!$G$8="","",'Config'!$G$8)</f>
        <v>Moradia</v>
      </c>
      <c r="C20" s="95">
        <f>IF($B20="",0,SUMIFS('Lanç. Pessoal'!$F$11:$F$1510,'Lanç. Pessoal'!$D$11:$D$1510,$B20,'Lanç. Pessoal'!$B$11:$B$1510,"&gt;="&amp;C$7,'Lanç. Pessoal'!$B$11:$B$1510,"&lt;"&amp;EDATE(C$7,1)))</f>
        <v>1100</v>
      </c>
      <c r="D20" s="95">
        <f>IF($B20="",0,SUMIFS('Lanç. Pessoal'!$F$11:$F$1510,'Lanç. Pessoal'!$D$11:$D$1510,$B20,'Lanç. Pessoal'!$B$11:$B$1510,"&gt;="&amp;D$7,'Lanç. Pessoal'!$B$11:$B$1510,"&lt;"&amp;EDATE(D$7,1)))</f>
        <v>1100</v>
      </c>
      <c r="E20" s="95">
        <f>IF($B20="",0,SUMIFS('Lanç. Pessoal'!$F$11:$F$1510,'Lanç. Pessoal'!$D$11:$D$1510,$B20,'Lanç. Pessoal'!$B$11:$B$1510,"&gt;="&amp;E$7,'Lanç. Pessoal'!$B$11:$B$1510,"&lt;"&amp;EDATE(E$7,1)))</f>
        <v>1100</v>
      </c>
      <c r="F20" s="95">
        <f>IF($B20="",0,SUMIFS('Lanç. Pessoal'!$F$11:$F$1510,'Lanç. Pessoal'!$D$11:$D$1510,$B20,'Lanç. Pessoal'!$B$11:$B$1510,"&gt;="&amp;F$7,'Lanç. Pessoal'!$B$11:$B$1510,"&lt;"&amp;EDATE(F$7,1)))</f>
        <v>1100</v>
      </c>
      <c r="G20" s="95">
        <f>IF($B20="",0,SUMIFS('Lanç. Pessoal'!$F$11:$F$1510,'Lanç. Pessoal'!$D$11:$D$1510,$B20,'Lanç. Pessoal'!$B$11:$B$1510,"&gt;="&amp;G$7,'Lanç. Pessoal'!$B$11:$B$1510,"&lt;"&amp;EDATE(G$7,1)))</f>
        <v>1100</v>
      </c>
      <c r="H20" s="95">
        <f>IF($B20="",0,SUMIFS('Lanç. Pessoal'!$F$11:$F$1510,'Lanç. Pessoal'!$D$11:$D$1510,$B20,'Lanç. Pessoal'!$B$11:$B$1510,"&gt;="&amp;H$7,'Lanç. Pessoal'!$B$11:$B$1510,"&lt;"&amp;EDATE(H$7,1)))</f>
        <v>1100</v>
      </c>
      <c r="I20" s="95">
        <f>IF($B20="",0,SUMIFS('Lanç. Pessoal'!$F$11:$F$1510,'Lanç. Pessoal'!$D$11:$D$1510,$B20,'Lanç. Pessoal'!$B$11:$B$1510,"&gt;="&amp;I$7,'Lanç. Pessoal'!$B$11:$B$1510,"&lt;"&amp;EDATE(I$7,1)))</f>
        <v>1100</v>
      </c>
      <c r="J20" s="95">
        <f>IF($B20="",0,SUMIFS('Lanç. Pessoal'!$F$11:$F$1510,'Lanç. Pessoal'!$D$11:$D$1510,$B20,'Lanç. Pessoal'!$B$11:$B$1510,"&gt;="&amp;J$7,'Lanç. Pessoal'!$B$11:$B$1510,"&lt;"&amp;EDATE(J$7,1)))</f>
        <v>1100</v>
      </c>
      <c r="K20" s="95">
        <f>IF($B20="",0,SUMIFS('Lanç. Pessoal'!$F$11:$F$1510,'Lanç. Pessoal'!$D$11:$D$1510,$B20,'Lanç. Pessoal'!$B$11:$B$1510,"&gt;="&amp;K$7,'Lanç. Pessoal'!$B$11:$B$1510,"&lt;"&amp;EDATE(K$7,1)))</f>
        <v>1100</v>
      </c>
      <c r="L20" s="95">
        <f>IF($B20="",0,SUMIFS('Lanç. Pessoal'!$F$11:$F$1510,'Lanç. Pessoal'!$D$11:$D$1510,$B20,'Lanç. Pessoal'!$B$11:$B$1510,"&gt;="&amp;L$7,'Lanç. Pessoal'!$B$11:$B$1510,"&lt;"&amp;EDATE(L$7,1)))</f>
        <v>0</v>
      </c>
      <c r="M20" s="95">
        <f>IF($B20="",0,SUMIFS('Lanç. Pessoal'!$F$11:$F$1510,'Lanç. Pessoal'!$D$11:$D$1510,$B20,'Lanç. Pessoal'!$B$11:$B$1510,"&gt;="&amp;M$7,'Lanç. Pessoal'!$B$11:$B$1510,"&lt;"&amp;EDATE(M$7,1)))</f>
        <v>0</v>
      </c>
      <c r="N20" s="95">
        <f>IF($B20="",0,SUMIFS('Lanç. Pessoal'!$F$11:$F$1510,'Lanç. Pessoal'!$D$11:$D$1510,$B20,'Lanç. Pessoal'!$B$11:$B$1510,"&gt;="&amp;N$7,'Lanç. Pessoal'!$B$11:$B$1510,"&lt;"&amp;EDATE(N$7,1)))</f>
        <v>0</v>
      </c>
      <c r="O20" s="96">
        <f>SUM(C20:N20)</f>
        <v>9900</v>
      </c>
      <c r="P20" s="97">
        <f>IFERROR(O20/'Dados'!$C$11,0)</f>
        <v>1100</v>
      </c>
      <c r="Q20" s="102">
        <f>IFERROR(O20/$O$36,0)</f>
        <v>0.243647146756552</v>
      </c>
    </row>
    <row r="21" spans="2:17" ht="16.5" customHeight="1">
      <c r="B21" s="85" t="str">
        <f>IF('Config'!$G$9="","",'Config'!$G$9)</f>
        <v>Contas da casa</v>
      </c>
      <c r="C21" s="95">
        <f>IF($B21="",0,SUMIFS('Lanç. Pessoal'!$F$11:$F$1510,'Lanç. Pessoal'!$D$11:$D$1510,$B21,'Lanç. Pessoal'!$B$11:$B$1510,"&gt;="&amp;C$7,'Lanç. Pessoal'!$B$11:$B$1510,"&lt;"&amp;EDATE(C$7,1)))</f>
        <v>334.23</v>
      </c>
      <c r="D21" s="95">
        <f>IF($B21="",0,SUMIFS('Lanç. Pessoal'!$F$11:$F$1510,'Lanç. Pessoal'!$D$11:$D$1510,$B21,'Lanç. Pessoal'!$B$11:$B$1510,"&gt;="&amp;D$7,'Lanç. Pessoal'!$B$11:$B$1510,"&lt;"&amp;EDATE(D$7,1)))</f>
        <v>396.48</v>
      </c>
      <c r="E21" s="95">
        <f>IF($B21="",0,SUMIFS('Lanç. Pessoal'!$F$11:$F$1510,'Lanç. Pessoal'!$D$11:$D$1510,$B21,'Lanç. Pessoal'!$B$11:$B$1510,"&gt;="&amp;E$7,'Lanç. Pessoal'!$B$11:$B$1510,"&lt;"&amp;EDATE(E$7,1)))</f>
        <v>346.44</v>
      </c>
      <c r="F21" s="95">
        <f>IF($B21="",0,SUMIFS('Lanç. Pessoal'!$F$11:$F$1510,'Lanç. Pessoal'!$D$11:$D$1510,$B21,'Lanç. Pessoal'!$B$11:$B$1510,"&gt;="&amp;F$7,'Lanç. Pessoal'!$B$11:$B$1510,"&lt;"&amp;EDATE(F$7,1)))</f>
        <v>340.42</v>
      </c>
      <c r="G21" s="95">
        <f>IF($B21="",0,SUMIFS('Lanç. Pessoal'!$F$11:$F$1510,'Lanç. Pessoal'!$D$11:$D$1510,$B21,'Lanç. Pessoal'!$B$11:$B$1510,"&gt;="&amp;G$7,'Lanç. Pessoal'!$B$11:$B$1510,"&lt;"&amp;EDATE(G$7,1)))</f>
        <v>458.67</v>
      </c>
      <c r="H21" s="95">
        <f>IF($B21="",0,SUMIFS('Lanç. Pessoal'!$F$11:$F$1510,'Lanç. Pessoal'!$D$11:$D$1510,$B21,'Lanç. Pessoal'!$B$11:$B$1510,"&gt;="&amp;H$7,'Lanç. Pessoal'!$B$11:$B$1510,"&lt;"&amp;EDATE(H$7,1)))</f>
        <v>358.42</v>
      </c>
      <c r="I21" s="95">
        <f>IF($B21="",0,SUMIFS('Lanç. Pessoal'!$F$11:$F$1510,'Lanç. Pessoal'!$D$11:$D$1510,$B21,'Lanç. Pessoal'!$B$11:$B$1510,"&gt;="&amp;I$7,'Lanç. Pessoal'!$B$11:$B$1510,"&lt;"&amp;EDATE(I$7,1)))</f>
        <v>296.98</v>
      </c>
      <c r="J21" s="95">
        <f>IF($B21="",0,SUMIFS('Lanç. Pessoal'!$F$11:$F$1510,'Lanç. Pessoal'!$D$11:$D$1510,$B21,'Lanç. Pessoal'!$B$11:$B$1510,"&gt;="&amp;J$7,'Lanç. Pessoal'!$B$11:$B$1510,"&lt;"&amp;EDATE(J$7,1)))</f>
        <v>419.01</v>
      </c>
      <c r="K21" s="95">
        <f>IF($B21="",0,SUMIFS('Lanç. Pessoal'!$F$11:$F$1510,'Lanç. Pessoal'!$D$11:$D$1510,$B21,'Lanç. Pessoal'!$B$11:$B$1510,"&gt;="&amp;K$7,'Lanç. Pessoal'!$B$11:$B$1510,"&lt;"&amp;EDATE(K$7,1)))</f>
        <v>289.91</v>
      </c>
      <c r="L21" s="95">
        <f>IF($B21="",0,SUMIFS('Lanç. Pessoal'!$F$11:$F$1510,'Lanç. Pessoal'!$D$11:$D$1510,$B21,'Lanç. Pessoal'!$B$11:$B$1510,"&gt;="&amp;L$7,'Lanç. Pessoal'!$B$11:$B$1510,"&lt;"&amp;EDATE(L$7,1)))</f>
        <v>0</v>
      </c>
      <c r="M21" s="95">
        <f>IF($B21="",0,SUMIFS('Lanç. Pessoal'!$F$11:$F$1510,'Lanç. Pessoal'!$D$11:$D$1510,$B21,'Lanç. Pessoal'!$B$11:$B$1510,"&gt;="&amp;M$7,'Lanç. Pessoal'!$B$11:$B$1510,"&lt;"&amp;EDATE(M$7,1)))</f>
        <v>0</v>
      </c>
      <c r="N21" s="95">
        <f>IF($B21="",0,SUMIFS('Lanç. Pessoal'!$F$11:$F$1510,'Lanç. Pessoal'!$D$11:$D$1510,$B21,'Lanç. Pessoal'!$B$11:$B$1510,"&gt;="&amp;N$7,'Lanç. Pessoal'!$B$11:$B$1510,"&lt;"&amp;EDATE(N$7,1)))</f>
        <v>0</v>
      </c>
      <c r="O21" s="96">
        <f>SUM(C21:N21)</f>
        <v>3240.56</v>
      </c>
      <c r="P21" s="97">
        <f>IFERROR(O21/'Dados'!$C$11,0)</f>
        <v>360.062222222222</v>
      </c>
      <c r="Q21" s="102">
        <f>IFERROR(O21/$O$36,0)</f>
        <v>0.0797528482720618</v>
      </c>
    </row>
    <row r="22" spans="2:17" ht="16.5" customHeight="1">
      <c r="B22" s="85" t="str">
        <f>IF('Config'!$G$10="","",'Config'!$G$10)</f>
        <v>Alimentação</v>
      </c>
      <c r="C22" s="95">
        <f>IF($B22="",0,SUMIFS('Lanç. Pessoal'!$F$11:$F$1510,'Lanç. Pessoal'!$D$11:$D$1510,$B22,'Lanç. Pessoal'!$B$11:$B$1510,"&gt;="&amp;C$7,'Lanç. Pessoal'!$B$11:$B$1510,"&lt;"&amp;EDATE(C$7,1)))</f>
        <v>695.87</v>
      </c>
      <c r="D22" s="95">
        <f>IF($B22="",0,SUMIFS('Lanç. Pessoal'!$F$11:$F$1510,'Lanç. Pessoal'!$D$11:$D$1510,$B22,'Lanç. Pessoal'!$B$11:$B$1510,"&gt;="&amp;D$7,'Lanç. Pessoal'!$B$11:$B$1510,"&lt;"&amp;EDATE(D$7,1)))</f>
        <v>637.86</v>
      </c>
      <c r="E22" s="95">
        <f>IF($B22="",0,SUMIFS('Lanç. Pessoal'!$F$11:$F$1510,'Lanç. Pessoal'!$D$11:$D$1510,$B22,'Lanç. Pessoal'!$B$11:$B$1510,"&gt;="&amp;E$7,'Lanç. Pessoal'!$B$11:$B$1510,"&lt;"&amp;EDATE(E$7,1)))</f>
        <v>800.28</v>
      </c>
      <c r="F22" s="95">
        <f>IF($B22="",0,SUMIFS('Lanç. Pessoal'!$F$11:$F$1510,'Lanç. Pessoal'!$D$11:$D$1510,$B22,'Lanç. Pessoal'!$B$11:$B$1510,"&gt;="&amp;F$7,'Lanç. Pessoal'!$B$11:$B$1510,"&lt;"&amp;EDATE(F$7,1)))</f>
        <v>713.43</v>
      </c>
      <c r="G22" s="95">
        <f>IF($B22="",0,SUMIFS('Lanç. Pessoal'!$F$11:$F$1510,'Lanç. Pessoal'!$D$11:$D$1510,$B22,'Lanç. Pessoal'!$B$11:$B$1510,"&gt;="&amp;G$7,'Lanç. Pessoal'!$B$11:$B$1510,"&lt;"&amp;EDATE(G$7,1)))</f>
        <v>611.9</v>
      </c>
      <c r="H22" s="95">
        <f>IF($B22="",0,SUMIFS('Lanç. Pessoal'!$F$11:$F$1510,'Lanç. Pessoal'!$D$11:$D$1510,$B22,'Lanç. Pessoal'!$B$11:$B$1510,"&gt;="&amp;H$7,'Lanç. Pessoal'!$B$11:$B$1510,"&lt;"&amp;EDATE(H$7,1)))</f>
        <v>688.54</v>
      </c>
      <c r="I22" s="95">
        <f>IF($B22="",0,SUMIFS('Lanç. Pessoal'!$F$11:$F$1510,'Lanç. Pessoal'!$D$11:$D$1510,$B22,'Lanç. Pessoal'!$B$11:$B$1510,"&gt;="&amp;I$7,'Lanç. Pessoal'!$B$11:$B$1510,"&lt;"&amp;EDATE(I$7,1)))</f>
        <v>667.96</v>
      </c>
      <c r="J22" s="95">
        <f>IF($B22="",0,SUMIFS('Lanç. Pessoal'!$F$11:$F$1510,'Lanç. Pessoal'!$D$11:$D$1510,$B22,'Lanç. Pessoal'!$B$11:$B$1510,"&gt;="&amp;J$7,'Lanç. Pessoal'!$B$11:$B$1510,"&lt;"&amp;EDATE(J$7,1)))</f>
        <v>717.97</v>
      </c>
      <c r="K22" s="95">
        <f>IF($B22="",0,SUMIFS('Lanç. Pessoal'!$F$11:$F$1510,'Lanç. Pessoal'!$D$11:$D$1510,$B22,'Lanç. Pessoal'!$B$11:$B$1510,"&gt;="&amp;K$7,'Lanç. Pessoal'!$B$11:$B$1510,"&lt;"&amp;EDATE(K$7,1)))</f>
        <v>627.27</v>
      </c>
      <c r="L22" s="95">
        <f>IF($B22="",0,SUMIFS('Lanç. Pessoal'!$F$11:$F$1510,'Lanç. Pessoal'!$D$11:$D$1510,$B22,'Lanç. Pessoal'!$B$11:$B$1510,"&gt;="&amp;L$7,'Lanç. Pessoal'!$B$11:$B$1510,"&lt;"&amp;EDATE(L$7,1)))</f>
        <v>0</v>
      </c>
      <c r="M22" s="95">
        <f>IF($B22="",0,SUMIFS('Lanç. Pessoal'!$F$11:$F$1510,'Lanç. Pessoal'!$D$11:$D$1510,$B22,'Lanç. Pessoal'!$B$11:$B$1510,"&gt;="&amp;M$7,'Lanç. Pessoal'!$B$11:$B$1510,"&lt;"&amp;EDATE(M$7,1)))</f>
        <v>0</v>
      </c>
      <c r="N22" s="95">
        <f>IF($B22="",0,SUMIFS('Lanç. Pessoal'!$F$11:$F$1510,'Lanç. Pessoal'!$D$11:$D$1510,$B22,'Lanç. Pessoal'!$B$11:$B$1510,"&gt;="&amp;N$7,'Lanç. Pessoal'!$B$11:$B$1510,"&lt;"&amp;EDATE(N$7,1)))</f>
        <v>0</v>
      </c>
      <c r="O22" s="96">
        <f>SUM(C22:N22)</f>
        <v>6161.08</v>
      </c>
      <c r="P22" s="97">
        <f>IFERROR(O22/'Dados'!$C$11,0)</f>
        <v>684.564444444445</v>
      </c>
      <c r="Q22" s="102">
        <f>IFERROR(O22/$O$36,0)</f>
        <v>0.151629248781703</v>
      </c>
    </row>
    <row r="23" spans="2:17" ht="16.5" customHeight="1">
      <c r="B23" s="85" t="str">
        <f>IF('Config'!$G$11="","",'Config'!$G$11)</f>
        <v>Transporte</v>
      </c>
      <c r="C23" s="95">
        <f>IF($B23="",0,SUMIFS('Lanç. Pessoal'!$F$11:$F$1510,'Lanç. Pessoal'!$D$11:$D$1510,$B23,'Lanç. Pessoal'!$B$11:$B$1510,"&gt;="&amp;C$7,'Lanç. Pessoal'!$B$11:$B$1510,"&lt;"&amp;EDATE(C$7,1)))</f>
        <v>287.17</v>
      </c>
      <c r="D23" s="95">
        <f>IF($B23="",0,SUMIFS('Lanç. Pessoal'!$F$11:$F$1510,'Lanç. Pessoal'!$D$11:$D$1510,$B23,'Lanç. Pessoal'!$B$11:$B$1510,"&gt;="&amp;D$7,'Lanç. Pessoal'!$B$11:$B$1510,"&lt;"&amp;EDATE(D$7,1)))</f>
        <v>267.73</v>
      </c>
      <c r="E23" s="95">
        <f>IF($B23="",0,SUMIFS('Lanç. Pessoal'!$F$11:$F$1510,'Lanç. Pessoal'!$D$11:$D$1510,$B23,'Lanç. Pessoal'!$B$11:$B$1510,"&gt;="&amp;E$7,'Lanç. Pessoal'!$B$11:$B$1510,"&lt;"&amp;EDATE(E$7,1)))</f>
        <v>285.21</v>
      </c>
      <c r="F23" s="95">
        <f>IF($B23="",0,SUMIFS('Lanç. Pessoal'!$F$11:$F$1510,'Lanç. Pessoal'!$D$11:$D$1510,$B23,'Lanç. Pessoal'!$B$11:$B$1510,"&gt;="&amp;F$7,'Lanç. Pessoal'!$B$11:$B$1510,"&lt;"&amp;EDATE(F$7,1)))</f>
        <v>989.03</v>
      </c>
      <c r="G23" s="95">
        <f>IF($B23="",0,SUMIFS('Lanç. Pessoal'!$F$11:$F$1510,'Lanç. Pessoal'!$D$11:$D$1510,$B23,'Lanç. Pessoal'!$B$11:$B$1510,"&gt;="&amp;G$7,'Lanç. Pessoal'!$B$11:$B$1510,"&lt;"&amp;EDATE(G$7,1)))</f>
        <v>267.33</v>
      </c>
      <c r="H23" s="95">
        <f>IF($B23="",0,SUMIFS('Lanç. Pessoal'!$F$11:$F$1510,'Lanç. Pessoal'!$D$11:$D$1510,$B23,'Lanç. Pessoal'!$B$11:$B$1510,"&gt;="&amp;H$7,'Lanç. Pessoal'!$B$11:$B$1510,"&lt;"&amp;EDATE(H$7,1)))</f>
        <v>276.74</v>
      </c>
      <c r="I23" s="95">
        <f>IF($B23="",0,SUMIFS('Lanç. Pessoal'!$F$11:$F$1510,'Lanç. Pessoal'!$D$11:$D$1510,$B23,'Lanç. Pessoal'!$B$11:$B$1510,"&gt;="&amp;I$7,'Lanç. Pessoal'!$B$11:$B$1510,"&lt;"&amp;EDATE(I$7,1)))</f>
        <v>287.7</v>
      </c>
      <c r="J23" s="95">
        <f>IF($B23="",0,SUMIFS('Lanç. Pessoal'!$F$11:$F$1510,'Lanç. Pessoal'!$D$11:$D$1510,$B23,'Lanç. Pessoal'!$B$11:$B$1510,"&gt;="&amp;J$7,'Lanç. Pessoal'!$B$11:$B$1510,"&lt;"&amp;EDATE(J$7,1)))</f>
        <v>729.29</v>
      </c>
      <c r="K23" s="95">
        <f>IF($B23="",0,SUMIFS('Lanç. Pessoal'!$F$11:$F$1510,'Lanç. Pessoal'!$D$11:$D$1510,$B23,'Lanç. Pessoal'!$B$11:$B$1510,"&gt;="&amp;K$7,'Lanç. Pessoal'!$B$11:$B$1510,"&lt;"&amp;EDATE(K$7,1)))</f>
        <v>264.51</v>
      </c>
      <c r="L23" s="95">
        <f>IF($B23="",0,SUMIFS('Lanç. Pessoal'!$F$11:$F$1510,'Lanç. Pessoal'!$D$11:$D$1510,$B23,'Lanç. Pessoal'!$B$11:$B$1510,"&gt;="&amp;L$7,'Lanç. Pessoal'!$B$11:$B$1510,"&lt;"&amp;EDATE(L$7,1)))</f>
        <v>0</v>
      </c>
      <c r="M23" s="95">
        <f>IF($B23="",0,SUMIFS('Lanç. Pessoal'!$F$11:$F$1510,'Lanç. Pessoal'!$D$11:$D$1510,$B23,'Lanç. Pessoal'!$B$11:$B$1510,"&gt;="&amp;M$7,'Lanç. Pessoal'!$B$11:$B$1510,"&lt;"&amp;EDATE(M$7,1)))</f>
        <v>0</v>
      </c>
      <c r="N23" s="95">
        <f>IF($B23="",0,SUMIFS('Lanç. Pessoal'!$F$11:$F$1510,'Lanç. Pessoal'!$D$11:$D$1510,$B23,'Lanç. Pessoal'!$B$11:$B$1510,"&gt;="&amp;N$7,'Lanç. Pessoal'!$B$11:$B$1510,"&lt;"&amp;EDATE(N$7,1)))</f>
        <v>0</v>
      </c>
      <c r="O23" s="96">
        <f>SUM(C23:N23)</f>
        <v>3654.71</v>
      </c>
      <c r="P23" s="97">
        <f>IFERROR(O23/'Dados'!$C$11,0)</f>
        <v>406.078888888889</v>
      </c>
      <c r="Q23" s="102">
        <f>IFERROR(O23/$O$36,0)</f>
        <v>0.0899454205780443</v>
      </c>
    </row>
    <row r="24" spans="2:17" ht="16.5" customHeight="1">
      <c r="B24" s="85" t="str">
        <f>IF('Config'!$G$12="","",'Config'!$G$12)</f>
        <v>Saúde</v>
      </c>
      <c r="C24" s="95">
        <f>IF($B24="",0,SUMIFS('Lanç. Pessoal'!$F$11:$F$1510,'Lanç. Pessoal'!$D$11:$D$1510,$B24,'Lanç. Pessoal'!$B$11:$B$1510,"&gt;="&amp;C$7,'Lanç. Pessoal'!$B$11:$B$1510,"&lt;"&amp;EDATE(C$7,1)))</f>
        <v>224.74</v>
      </c>
      <c r="D24" s="95">
        <f>IF($B24="",0,SUMIFS('Lanç. Pessoal'!$F$11:$F$1510,'Lanç. Pessoal'!$D$11:$D$1510,$B24,'Lanç. Pessoal'!$B$11:$B$1510,"&gt;="&amp;D$7,'Lanç. Pessoal'!$B$11:$B$1510,"&lt;"&amp;EDATE(D$7,1)))</f>
        <v>250.34</v>
      </c>
      <c r="E24" s="95">
        <f>IF($B24="",0,SUMIFS('Lanç. Pessoal'!$F$11:$F$1510,'Lanç. Pessoal'!$D$11:$D$1510,$B24,'Lanç. Pessoal'!$B$11:$B$1510,"&gt;="&amp;E$7,'Lanç. Pessoal'!$B$11:$B$1510,"&lt;"&amp;EDATE(E$7,1)))</f>
        <v>491.19</v>
      </c>
      <c r="F24" s="95">
        <f>IF($B24="",0,SUMIFS('Lanç. Pessoal'!$F$11:$F$1510,'Lanç. Pessoal'!$D$11:$D$1510,$B24,'Lanç. Pessoal'!$B$11:$B$1510,"&gt;="&amp;F$7,'Lanç. Pessoal'!$B$11:$B$1510,"&lt;"&amp;EDATE(F$7,1)))</f>
        <v>255.08</v>
      </c>
      <c r="G24" s="95">
        <f>IF($B24="",0,SUMIFS('Lanç. Pessoal'!$F$11:$F$1510,'Lanç. Pessoal'!$D$11:$D$1510,$B24,'Lanç. Pessoal'!$B$11:$B$1510,"&gt;="&amp;G$7,'Lanç. Pessoal'!$B$11:$B$1510,"&lt;"&amp;EDATE(G$7,1)))</f>
        <v>212.59</v>
      </c>
      <c r="H24" s="95">
        <f>IF($B24="",0,SUMIFS('Lanç. Pessoal'!$F$11:$F$1510,'Lanç. Pessoal'!$D$11:$D$1510,$B24,'Lanç. Pessoal'!$B$11:$B$1510,"&gt;="&amp;H$7,'Lanç. Pessoal'!$B$11:$B$1510,"&lt;"&amp;EDATE(H$7,1)))</f>
        <v>258.08</v>
      </c>
      <c r="I24" s="95">
        <f>IF($B24="",0,SUMIFS('Lanç. Pessoal'!$F$11:$F$1510,'Lanç. Pessoal'!$D$11:$D$1510,$B24,'Lanç. Pessoal'!$B$11:$B$1510,"&gt;="&amp;I$7,'Lanç. Pessoal'!$B$11:$B$1510,"&lt;"&amp;EDATE(I$7,1)))</f>
        <v>491.7</v>
      </c>
      <c r="J24" s="95">
        <f>IF($B24="",0,SUMIFS('Lanç. Pessoal'!$F$11:$F$1510,'Lanç. Pessoal'!$D$11:$D$1510,$B24,'Lanç. Pessoal'!$B$11:$B$1510,"&gt;="&amp;J$7,'Lanç. Pessoal'!$B$11:$B$1510,"&lt;"&amp;EDATE(J$7,1)))</f>
        <v>221.77</v>
      </c>
      <c r="K24" s="95">
        <f>IF($B24="",0,SUMIFS('Lanç. Pessoal'!$F$11:$F$1510,'Lanç. Pessoal'!$D$11:$D$1510,$B24,'Lanç. Pessoal'!$B$11:$B$1510,"&gt;="&amp;K$7,'Lanç. Pessoal'!$B$11:$B$1510,"&lt;"&amp;EDATE(K$7,1)))</f>
        <v>255.85</v>
      </c>
      <c r="L24" s="95">
        <f>IF($B24="",0,SUMIFS('Lanç. Pessoal'!$F$11:$F$1510,'Lanç. Pessoal'!$D$11:$D$1510,$B24,'Lanç. Pessoal'!$B$11:$B$1510,"&gt;="&amp;L$7,'Lanç. Pessoal'!$B$11:$B$1510,"&lt;"&amp;EDATE(L$7,1)))</f>
        <v>0</v>
      </c>
      <c r="M24" s="95">
        <f>IF($B24="",0,SUMIFS('Lanç. Pessoal'!$F$11:$F$1510,'Lanç. Pessoal'!$D$11:$D$1510,$B24,'Lanç. Pessoal'!$B$11:$B$1510,"&gt;="&amp;M$7,'Lanç. Pessoal'!$B$11:$B$1510,"&lt;"&amp;EDATE(M$7,1)))</f>
        <v>0</v>
      </c>
      <c r="N24" s="95">
        <f>IF($B24="",0,SUMIFS('Lanç. Pessoal'!$F$11:$F$1510,'Lanç. Pessoal'!$D$11:$D$1510,$B24,'Lanç. Pessoal'!$B$11:$B$1510,"&gt;="&amp;N$7,'Lanç. Pessoal'!$B$11:$B$1510,"&lt;"&amp;EDATE(N$7,1)))</f>
        <v>0</v>
      </c>
      <c r="O24" s="96">
        <f>SUM(C24:N24)</f>
        <v>2661.34</v>
      </c>
      <c r="P24" s="97">
        <f>IFERROR(O24/'Dados'!$C$11,0)</f>
        <v>295.704444444444</v>
      </c>
      <c r="Q24" s="102">
        <f>IFERROR(O24/$O$36,0)</f>
        <v>0.0654977674292002</v>
      </c>
    </row>
    <row r="25" spans="2:17" ht="16.5" customHeight="1">
      <c r="B25" s="85" t="str">
        <f>IF('Config'!$G$13="","",'Config'!$G$13)</f>
        <v>Educação</v>
      </c>
      <c r="C25" s="95">
        <f>IF($B25="",0,SUMIFS('Lanç. Pessoal'!$F$11:$F$1510,'Lanç. Pessoal'!$D$11:$D$1510,$B25,'Lanç. Pessoal'!$B$11:$B$1510,"&gt;="&amp;C$7,'Lanç. Pessoal'!$B$11:$B$1510,"&lt;"&amp;EDATE(C$7,1)))</f>
        <v>149</v>
      </c>
      <c r="D25" s="95">
        <f>IF($B25="",0,SUMIFS('Lanç. Pessoal'!$F$11:$F$1510,'Lanç. Pessoal'!$D$11:$D$1510,$B25,'Lanç. Pessoal'!$B$11:$B$1510,"&gt;="&amp;D$7,'Lanç. Pessoal'!$B$11:$B$1510,"&lt;"&amp;EDATE(D$7,1)))</f>
        <v>149</v>
      </c>
      <c r="E25" s="95">
        <f>IF($B25="",0,SUMIFS('Lanç. Pessoal'!$F$11:$F$1510,'Lanç. Pessoal'!$D$11:$D$1510,$B25,'Lanç. Pessoal'!$B$11:$B$1510,"&gt;="&amp;E$7,'Lanç. Pessoal'!$B$11:$B$1510,"&lt;"&amp;EDATE(E$7,1)))</f>
        <v>149</v>
      </c>
      <c r="F25" s="95">
        <f>IF($B25="",0,SUMIFS('Lanç. Pessoal'!$F$11:$F$1510,'Lanç. Pessoal'!$D$11:$D$1510,$B25,'Lanç. Pessoal'!$B$11:$B$1510,"&gt;="&amp;F$7,'Lanç. Pessoal'!$B$11:$B$1510,"&lt;"&amp;EDATE(F$7,1)))</f>
        <v>149</v>
      </c>
      <c r="G25" s="95">
        <f>IF($B25="",0,SUMIFS('Lanç. Pessoal'!$F$11:$F$1510,'Lanç. Pessoal'!$D$11:$D$1510,$B25,'Lanç. Pessoal'!$B$11:$B$1510,"&gt;="&amp;G$7,'Lanç. Pessoal'!$B$11:$B$1510,"&lt;"&amp;EDATE(G$7,1)))</f>
        <v>149</v>
      </c>
      <c r="H25" s="95">
        <f>IF($B25="",0,SUMIFS('Lanç. Pessoal'!$F$11:$F$1510,'Lanç. Pessoal'!$D$11:$D$1510,$B25,'Lanç. Pessoal'!$B$11:$B$1510,"&gt;="&amp;H$7,'Lanç. Pessoal'!$B$11:$B$1510,"&lt;"&amp;EDATE(H$7,1)))</f>
        <v>149</v>
      </c>
      <c r="I25" s="95">
        <f>IF($B25="",0,SUMIFS('Lanç. Pessoal'!$F$11:$F$1510,'Lanç. Pessoal'!$D$11:$D$1510,$B25,'Lanç. Pessoal'!$B$11:$B$1510,"&gt;="&amp;I$7,'Lanç. Pessoal'!$B$11:$B$1510,"&lt;"&amp;EDATE(I$7,1)))</f>
        <v>149</v>
      </c>
      <c r="J25" s="95">
        <f>IF($B25="",0,SUMIFS('Lanç. Pessoal'!$F$11:$F$1510,'Lanç. Pessoal'!$D$11:$D$1510,$B25,'Lanç. Pessoal'!$B$11:$B$1510,"&gt;="&amp;J$7,'Lanç. Pessoal'!$B$11:$B$1510,"&lt;"&amp;EDATE(J$7,1)))</f>
        <v>149</v>
      </c>
      <c r="K25" s="95">
        <f>IF($B25="",0,SUMIFS('Lanç. Pessoal'!$F$11:$F$1510,'Lanç. Pessoal'!$D$11:$D$1510,$B25,'Lanç. Pessoal'!$B$11:$B$1510,"&gt;="&amp;K$7,'Lanç. Pessoal'!$B$11:$B$1510,"&lt;"&amp;EDATE(K$7,1)))</f>
        <v>149</v>
      </c>
      <c r="L25" s="95">
        <f>IF($B25="",0,SUMIFS('Lanç. Pessoal'!$F$11:$F$1510,'Lanç. Pessoal'!$D$11:$D$1510,$B25,'Lanç. Pessoal'!$B$11:$B$1510,"&gt;="&amp;L$7,'Lanç. Pessoal'!$B$11:$B$1510,"&lt;"&amp;EDATE(L$7,1)))</f>
        <v>0</v>
      </c>
      <c r="M25" s="95">
        <f>IF($B25="",0,SUMIFS('Lanç. Pessoal'!$F$11:$F$1510,'Lanç. Pessoal'!$D$11:$D$1510,$B25,'Lanç. Pessoal'!$B$11:$B$1510,"&gt;="&amp;M$7,'Lanç. Pessoal'!$B$11:$B$1510,"&lt;"&amp;EDATE(M$7,1)))</f>
        <v>0</v>
      </c>
      <c r="N25" s="95">
        <f>IF($B25="",0,SUMIFS('Lanç. Pessoal'!$F$11:$F$1510,'Lanç. Pessoal'!$D$11:$D$1510,$B25,'Lanç. Pessoal'!$B$11:$B$1510,"&gt;="&amp;N$7,'Lanç. Pessoal'!$B$11:$B$1510,"&lt;"&amp;EDATE(N$7,1)))</f>
        <v>0</v>
      </c>
      <c r="O25" s="96">
        <f>SUM(C25:N25)</f>
        <v>1341</v>
      </c>
      <c r="P25" s="97">
        <f>IFERROR(O25/'Dados'!$C$11,0)</f>
        <v>149</v>
      </c>
      <c r="Q25" s="102">
        <f>IFERROR(O25/$O$36,0)</f>
        <v>0.0330031135152057</v>
      </c>
    </row>
    <row r="26" spans="2:17" ht="16.5" customHeight="1">
      <c r="B26" s="85" t="str">
        <f>IF('Config'!$G$14="","",'Config'!$G$14)</f>
        <v>Lazer</v>
      </c>
      <c r="C26" s="95">
        <f>IF($B26="",0,SUMIFS('Lanç. Pessoal'!$F$11:$F$1510,'Lanç. Pessoal'!$D$11:$D$1510,$B26,'Lanç. Pessoal'!$B$11:$B$1510,"&gt;="&amp;C$7,'Lanç. Pessoal'!$B$11:$B$1510,"&lt;"&amp;EDATE(C$7,1)))</f>
        <v>202.65</v>
      </c>
      <c r="D26" s="95">
        <f>IF($B26="",0,SUMIFS('Lanç. Pessoal'!$F$11:$F$1510,'Lanç. Pessoal'!$D$11:$D$1510,$B26,'Lanç. Pessoal'!$B$11:$B$1510,"&gt;="&amp;D$7,'Lanç. Pessoal'!$B$11:$B$1510,"&lt;"&amp;EDATE(D$7,1)))</f>
        <v>240.29</v>
      </c>
      <c r="E26" s="95">
        <f>IF($B26="",0,SUMIFS('Lanç. Pessoal'!$F$11:$F$1510,'Lanç. Pessoal'!$D$11:$D$1510,$B26,'Lanç. Pessoal'!$B$11:$B$1510,"&gt;="&amp;E$7,'Lanç. Pessoal'!$B$11:$B$1510,"&lt;"&amp;EDATE(E$7,1)))</f>
        <v>193.13</v>
      </c>
      <c r="F26" s="95">
        <f>IF($B26="",0,SUMIFS('Lanç. Pessoal'!$F$11:$F$1510,'Lanç. Pessoal'!$D$11:$D$1510,$B26,'Lanç. Pessoal'!$B$11:$B$1510,"&gt;="&amp;F$7,'Lanç. Pessoal'!$B$11:$B$1510,"&lt;"&amp;EDATE(F$7,1)))</f>
        <v>253.76</v>
      </c>
      <c r="G26" s="95">
        <f>IF($B26="",0,SUMIFS('Lanç. Pessoal'!$F$11:$F$1510,'Lanç. Pessoal'!$D$11:$D$1510,$B26,'Lanç. Pessoal'!$B$11:$B$1510,"&gt;="&amp;G$7,'Lanç. Pessoal'!$B$11:$B$1510,"&lt;"&amp;EDATE(G$7,1)))</f>
        <v>555.74</v>
      </c>
      <c r="H26" s="95">
        <f>IF($B26="",0,SUMIFS('Lanç. Pessoal'!$F$11:$F$1510,'Lanç. Pessoal'!$D$11:$D$1510,$B26,'Lanç. Pessoal'!$B$11:$B$1510,"&gt;="&amp;H$7,'Lanç. Pessoal'!$B$11:$B$1510,"&lt;"&amp;EDATE(H$7,1)))</f>
        <v>208.85</v>
      </c>
      <c r="I26" s="95">
        <f>IF($B26="",0,SUMIFS('Lanç. Pessoal'!$F$11:$F$1510,'Lanç. Pessoal'!$D$11:$D$1510,$B26,'Lanç. Pessoal'!$B$11:$B$1510,"&gt;="&amp;I$7,'Lanç. Pessoal'!$B$11:$B$1510,"&lt;"&amp;EDATE(I$7,1)))</f>
        <v>1474.33</v>
      </c>
      <c r="J26" s="95">
        <f>IF($B26="",0,SUMIFS('Lanç. Pessoal'!$F$11:$F$1510,'Lanç. Pessoal'!$D$11:$D$1510,$B26,'Lanç. Pessoal'!$B$11:$B$1510,"&gt;="&amp;J$7,'Lanç. Pessoal'!$B$11:$B$1510,"&lt;"&amp;EDATE(J$7,1)))</f>
        <v>193.23</v>
      </c>
      <c r="K26" s="95">
        <f>IF($B26="",0,SUMIFS('Lanç. Pessoal'!$F$11:$F$1510,'Lanç. Pessoal'!$D$11:$D$1510,$B26,'Lanç. Pessoal'!$B$11:$B$1510,"&gt;="&amp;K$7,'Lanç. Pessoal'!$B$11:$B$1510,"&lt;"&amp;EDATE(K$7,1)))</f>
        <v>201.67</v>
      </c>
      <c r="L26" s="95">
        <f>IF($B26="",0,SUMIFS('Lanç. Pessoal'!$F$11:$F$1510,'Lanç. Pessoal'!$D$11:$D$1510,$B26,'Lanç. Pessoal'!$B$11:$B$1510,"&gt;="&amp;L$7,'Lanç. Pessoal'!$B$11:$B$1510,"&lt;"&amp;EDATE(L$7,1)))</f>
        <v>0</v>
      </c>
      <c r="M26" s="95">
        <f>IF($B26="",0,SUMIFS('Lanç. Pessoal'!$F$11:$F$1510,'Lanç. Pessoal'!$D$11:$D$1510,$B26,'Lanç. Pessoal'!$B$11:$B$1510,"&gt;="&amp;M$7,'Lanç. Pessoal'!$B$11:$B$1510,"&lt;"&amp;EDATE(M$7,1)))</f>
        <v>0</v>
      </c>
      <c r="N26" s="95">
        <f>IF($B26="",0,SUMIFS('Lanç. Pessoal'!$F$11:$F$1510,'Lanç. Pessoal'!$D$11:$D$1510,$B26,'Lanç. Pessoal'!$B$11:$B$1510,"&gt;="&amp;N$7,'Lanç. Pessoal'!$B$11:$B$1510,"&lt;"&amp;EDATE(N$7,1)))</f>
        <v>0</v>
      </c>
      <c r="O26" s="96">
        <f>SUM(C26:N26)</f>
        <v>3523.65</v>
      </c>
      <c r="P26" s="97">
        <f>IFERROR(O26/'Dados'!$C$11,0)</f>
        <v>391.516666666667</v>
      </c>
      <c r="Q26" s="102">
        <f>IFERROR(O26/$O$36,0)</f>
        <v>0.086719926128154</v>
      </c>
    </row>
    <row r="27" spans="2:17" ht="16.5" customHeight="1">
      <c r="B27" s="85" t="str">
        <f>IF('Config'!$G$15="","",'Config'!$G$15)</f>
        <v>Vestuário</v>
      </c>
      <c r="C27" s="95">
        <f>IF($B27="",0,SUMIFS('Lanç. Pessoal'!$F$11:$F$1510,'Lanç. Pessoal'!$D$11:$D$1510,$B27,'Lanç. Pessoal'!$B$11:$B$1510,"&gt;="&amp;C$7,'Lanç. Pessoal'!$B$11:$B$1510,"&lt;"&amp;EDATE(C$7,1)))</f>
        <v>0</v>
      </c>
      <c r="D27" s="95">
        <f>IF($B27="",0,SUMIFS('Lanç. Pessoal'!$F$11:$F$1510,'Lanç. Pessoal'!$D$11:$D$1510,$B27,'Lanç. Pessoal'!$B$11:$B$1510,"&gt;="&amp;D$7,'Lanç. Pessoal'!$B$11:$B$1510,"&lt;"&amp;EDATE(D$7,1)))</f>
        <v>190.65</v>
      </c>
      <c r="E27" s="95">
        <f>IF($B27="",0,SUMIFS('Lanç. Pessoal'!$F$11:$F$1510,'Lanç. Pessoal'!$D$11:$D$1510,$B27,'Lanç. Pessoal'!$B$11:$B$1510,"&gt;="&amp;E$7,'Lanç. Pessoal'!$B$11:$B$1510,"&lt;"&amp;EDATE(E$7,1)))</f>
        <v>0</v>
      </c>
      <c r="F27" s="95">
        <f>IF($B27="",0,SUMIFS('Lanç. Pessoal'!$F$11:$F$1510,'Lanç. Pessoal'!$D$11:$D$1510,$B27,'Lanç. Pessoal'!$B$11:$B$1510,"&gt;="&amp;F$7,'Lanç. Pessoal'!$B$11:$B$1510,"&lt;"&amp;EDATE(F$7,1)))</f>
        <v>0</v>
      </c>
      <c r="G27" s="95">
        <f>IF($B27="",0,SUMIFS('Lanç. Pessoal'!$F$11:$F$1510,'Lanç. Pessoal'!$D$11:$D$1510,$B27,'Lanç. Pessoal'!$B$11:$B$1510,"&gt;="&amp;G$7,'Lanç. Pessoal'!$B$11:$B$1510,"&lt;"&amp;EDATE(G$7,1)))</f>
        <v>166.23</v>
      </c>
      <c r="H27" s="95">
        <f>IF($B27="",0,SUMIFS('Lanç. Pessoal'!$F$11:$F$1510,'Lanç. Pessoal'!$D$11:$D$1510,$B27,'Lanç. Pessoal'!$B$11:$B$1510,"&gt;="&amp;H$7,'Lanç. Pessoal'!$B$11:$B$1510,"&lt;"&amp;EDATE(H$7,1)))</f>
        <v>0</v>
      </c>
      <c r="I27" s="95">
        <f>IF($B27="",0,SUMIFS('Lanç. Pessoal'!$F$11:$F$1510,'Lanç. Pessoal'!$D$11:$D$1510,$B27,'Lanç. Pessoal'!$B$11:$B$1510,"&gt;="&amp;I$7,'Lanç. Pessoal'!$B$11:$B$1510,"&lt;"&amp;EDATE(I$7,1)))</f>
        <v>201.36</v>
      </c>
      <c r="J27" s="95">
        <f>IF($B27="",0,SUMIFS('Lanç. Pessoal'!$F$11:$F$1510,'Lanç. Pessoal'!$D$11:$D$1510,$B27,'Lanç. Pessoal'!$B$11:$B$1510,"&gt;="&amp;J$7,'Lanç. Pessoal'!$B$11:$B$1510,"&lt;"&amp;EDATE(J$7,1)))</f>
        <v>0</v>
      </c>
      <c r="K27" s="95">
        <f>IF($B27="",0,SUMIFS('Lanç. Pessoal'!$F$11:$F$1510,'Lanç. Pessoal'!$D$11:$D$1510,$B27,'Lanç. Pessoal'!$B$11:$B$1510,"&gt;="&amp;K$7,'Lanç. Pessoal'!$B$11:$B$1510,"&lt;"&amp;EDATE(K$7,1)))</f>
        <v>138.36</v>
      </c>
      <c r="L27" s="95">
        <f>IF($B27="",0,SUMIFS('Lanç. Pessoal'!$F$11:$F$1510,'Lanç. Pessoal'!$D$11:$D$1510,$B27,'Lanç. Pessoal'!$B$11:$B$1510,"&gt;="&amp;L$7,'Lanç. Pessoal'!$B$11:$B$1510,"&lt;"&amp;EDATE(L$7,1)))</f>
        <v>0</v>
      </c>
      <c r="M27" s="95">
        <f>IF($B27="",0,SUMIFS('Lanç. Pessoal'!$F$11:$F$1510,'Lanç. Pessoal'!$D$11:$D$1510,$B27,'Lanç. Pessoal'!$B$11:$B$1510,"&gt;="&amp;M$7,'Lanç. Pessoal'!$B$11:$B$1510,"&lt;"&amp;EDATE(M$7,1)))</f>
        <v>0</v>
      </c>
      <c r="N27" s="95">
        <f>IF($B27="",0,SUMIFS('Lanç. Pessoal'!$F$11:$F$1510,'Lanç. Pessoal'!$D$11:$D$1510,$B27,'Lanç. Pessoal'!$B$11:$B$1510,"&gt;="&amp;N$7,'Lanç. Pessoal'!$B$11:$B$1510,"&lt;"&amp;EDATE(N$7,1)))</f>
        <v>0</v>
      </c>
      <c r="O27" s="96">
        <f>SUM(C27:N27)</f>
        <v>696.6</v>
      </c>
      <c r="P27" s="97">
        <f>IFERROR(O27/'Dados'!$C$11,0)</f>
        <v>77.4</v>
      </c>
      <c r="Q27" s="102">
        <f>IFERROR(O27/$O$36,0)</f>
        <v>0.0171438992354156</v>
      </c>
    </row>
    <row r="28" spans="2:17" ht="16.5" customHeight="1">
      <c r="B28" s="85" t="str">
        <f>IF('Config'!$G$16="","",'Config'!$G$16)</f>
        <v>Assinaturas</v>
      </c>
      <c r="C28" s="95">
        <f>IF($B28="",0,SUMIFS('Lanç. Pessoal'!$F$11:$F$1510,'Lanç. Pessoal'!$D$11:$D$1510,$B28,'Lanç. Pessoal'!$B$11:$B$1510,"&gt;="&amp;C$7,'Lanç. Pessoal'!$B$11:$B$1510,"&lt;"&amp;EDATE(C$7,1)))</f>
        <v>87.7</v>
      </c>
      <c r="D28" s="95">
        <f>IF($B28="",0,SUMIFS('Lanç. Pessoal'!$F$11:$F$1510,'Lanç. Pessoal'!$D$11:$D$1510,$B28,'Lanç. Pessoal'!$B$11:$B$1510,"&gt;="&amp;D$7,'Lanç. Pessoal'!$B$11:$B$1510,"&lt;"&amp;EDATE(D$7,1)))</f>
        <v>87.7</v>
      </c>
      <c r="E28" s="95">
        <f>IF($B28="",0,SUMIFS('Lanç. Pessoal'!$F$11:$F$1510,'Lanç. Pessoal'!$D$11:$D$1510,$B28,'Lanç. Pessoal'!$B$11:$B$1510,"&gt;="&amp;E$7,'Lanç. Pessoal'!$B$11:$B$1510,"&lt;"&amp;EDATE(E$7,1)))</f>
        <v>87.7</v>
      </c>
      <c r="F28" s="95">
        <f>IF($B28="",0,SUMIFS('Lanç. Pessoal'!$F$11:$F$1510,'Lanç. Pessoal'!$D$11:$D$1510,$B28,'Lanç. Pessoal'!$B$11:$B$1510,"&gt;="&amp;F$7,'Lanç. Pessoal'!$B$11:$B$1510,"&lt;"&amp;EDATE(F$7,1)))</f>
        <v>87.7</v>
      </c>
      <c r="G28" s="95">
        <f>IF($B28="",0,SUMIFS('Lanç. Pessoal'!$F$11:$F$1510,'Lanç. Pessoal'!$D$11:$D$1510,$B28,'Lanç. Pessoal'!$B$11:$B$1510,"&gt;="&amp;G$7,'Lanç. Pessoal'!$B$11:$B$1510,"&lt;"&amp;EDATE(G$7,1)))</f>
        <v>87.7</v>
      </c>
      <c r="H28" s="95">
        <f>IF($B28="",0,SUMIFS('Lanç. Pessoal'!$F$11:$F$1510,'Lanç. Pessoal'!$D$11:$D$1510,$B28,'Lanç. Pessoal'!$B$11:$B$1510,"&gt;="&amp;H$7,'Lanç. Pessoal'!$B$11:$B$1510,"&lt;"&amp;EDATE(H$7,1)))</f>
        <v>87.7</v>
      </c>
      <c r="I28" s="95">
        <f>IF($B28="",0,SUMIFS('Lanç. Pessoal'!$F$11:$F$1510,'Lanç. Pessoal'!$D$11:$D$1510,$B28,'Lanç. Pessoal'!$B$11:$B$1510,"&gt;="&amp;I$7,'Lanç. Pessoal'!$B$11:$B$1510,"&lt;"&amp;EDATE(I$7,1)))</f>
        <v>87.7</v>
      </c>
      <c r="J28" s="95">
        <f>IF($B28="",0,SUMIFS('Lanç. Pessoal'!$F$11:$F$1510,'Lanç. Pessoal'!$D$11:$D$1510,$B28,'Lanç. Pessoal'!$B$11:$B$1510,"&gt;="&amp;J$7,'Lanç. Pessoal'!$B$11:$B$1510,"&lt;"&amp;EDATE(J$7,1)))</f>
        <v>87.7</v>
      </c>
      <c r="K28" s="95">
        <f>IF($B28="",0,SUMIFS('Lanç. Pessoal'!$F$11:$F$1510,'Lanç. Pessoal'!$D$11:$D$1510,$B28,'Lanç. Pessoal'!$B$11:$B$1510,"&gt;="&amp;K$7,'Lanç. Pessoal'!$B$11:$B$1510,"&lt;"&amp;EDATE(K$7,1)))</f>
        <v>87.7</v>
      </c>
      <c r="L28" s="95">
        <f>IF($B28="",0,SUMIFS('Lanç. Pessoal'!$F$11:$F$1510,'Lanç. Pessoal'!$D$11:$D$1510,$B28,'Lanç. Pessoal'!$B$11:$B$1510,"&gt;="&amp;L$7,'Lanç. Pessoal'!$B$11:$B$1510,"&lt;"&amp;EDATE(L$7,1)))</f>
        <v>0</v>
      </c>
      <c r="M28" s="95">
        <f>IF($B28="",0,SUMIFS('Lanç. Pessoal'!$F$11:$F$1510,'Lanç. Pessoal'!$D$11:$D$1510,$B28,'Lanç. Pessoal'!$B$11:$B$1510,"&gt;="&amp;M$7,'Lanç. Pessoal'!$B$11:$B$1510,"&lt;"&amp;EDATE(M$7,1)))</f>
        <v>0</v>
      </c>
      <c r="N28" s="95">
        <f>IF($B28="",0,SUMIFS('Lanç. Pessoal'!$F$11:$F$1510,'Lanç. Pessoal'!$D$11:$D$1510,$B28,'Lanç. Pessoal'!$B$11:$B$1510,"&gt;="&amp;N$7,'Lanç. Pessoal'!$B$11:$B$1510,"&lt;"&amp;EDATE(N$7,1)))</f>
        <v>0</v>
      </c>
      <c r="O28" s="96">
        <f>SUM(C28:N28)</f>
        <v>789.3</v>
      </c>
      <c r="P28" s="97">
        <f>IFERROR(O28/'Dados'!$C$11,0)</f>
        <v>87.7</v>
      </c>
      <c r="Q28" s="102">
        <f>IFERROR(O28/$O$36,0)</f>
        <v>0.0194253225186815</v>
      </c>
    </row>
    <row r="29" spans="2:17" ht="16.5" customHeight="1">
      <c r="B29" s="85" t="str">
        <f>IF('Config'!$G$17="","",'Config'!$G$17)</f>
        <v>Cuidados pessoais</v>
      </c>
      <c r="C29" s="95">
        <f>IF($B29="",0,SUMIFS('Lanç. Pessoal'!$F$11:$F$1510,'Lanç. Pessoal'!$D$11:$D$1510,$B29,'Lanç. Pessoal'!$B$11:$B$1510,"&gt;="&amp;C$7,'Lanç. Pessoal'!$B$11:$B$1510,"&lt;"&amp;EDATE(C$7,1)))</f>
        <v>199.75</v>
      </c>
      <c r="D29" s="95">
        <f>IF($B29="",0,SUMIFS('Lanç. Pessoal'!$F$11:$F$1510,'Lanç. Pessoal'!$D$11:$D$1510,$B29,'Lanç. Pessoal'!$B$11:$B$1510,"&gt;="&amp;D$7,'Lanç. Pessoal'!$B$11:$B$1510,"&lt;"&amp;EDATE(D$7,1)))</f>
        <v>181.44</v>
      </c>
      <c r="E29" s="95">
        <f>IF($B29="",0,SUMIFS('Lanç. Pessoal'!$F$11:$F$1510,'Lanç. Pessoal'!$D$11:$D$1510,$B29,'Lanç. Pessoal'!$B$11:$B$1510,"&gt;="&amp;E$7,'Lanç. Pessoal'!$B$11:$B$1510,"&lt;"&amp;EDATE(E$7,1)))</f>
        <v>199.91</v>
      </c>
      <c r="F29" s="95">
        <f>IF($B29="",0,SUMIFS('Lanç. Pessoal'!$F$11:$F$1510,'Lanç. Pessoal'!$D$11:$D$1510,$B29,'Lanç. Pessoal'!$B$11:$B$1510,"&gt;="&amp;F$7,'Lanç. Pessoal'!$B$11:$B$1510,"&lt;"&amp;EDATE(F$7,1)))</f>
        <v>186.28</v>
      </c>
      <c r="G29" s="95">
        <f>IF($B29="",0,SUMIFS('Lanç. Pessoal'!$F$11:$F$1510,'Lanç. Pessoal'!$D$11:$D$1510,$B29,'Lanç. Pessoal'!$B$11:$B$1510,"&gt;="&amp;G$7,'Lanç. Pessoal'!$B$11:$B$1510,"&lt;"&amp;EDATE(G$7,1)))</f>
        <v>183.09</v>
      </c>
      <c r="H29" s="95">
        <f>IF($B29="",0,SUMIFS('Lanç. Pessoal'!$F$11:$F$1510,'Lanç. Pessoal'!$D$11:$D$1510,$B29,'Lanç. Pessoal'!$B$11:$B$1510,"&gt;="&amp;H$7,'Lanç. Pessoal'!$B$11:$B$1510,"&lt;"&amp;EDATE(H$7,1)))</f>
        <v>205.77</v>
      </c>
      <c r="I29" s="95">
        <f>IF($B29="",0,SUMIFS('Lanç. Pessoal'!$F$11:$F$1510,'Lanç. Pessoal'!$D$11:$D$1510,$B29,'Lanç. Pessoal'!$B$11:$B$1510,"&gt;="&amp;I$7,'Lanç. Pessoal'!$B$11:$B$1510,"&lt;"&amp;EDATE(I$7,1)))</f>
        <v>183.83</v>
      </c>
      <c r="J29" s="95">
        <f>IF($B29="",0,SUMIFS('Lanç. Pessoal'!$F$11:$F$1510,'Lanç. Pessoal'!$D$11:$D$1510,$B29,'Lanç. Pessoal'!$B$11:$B$1510,"&gt;="&amp;J$7,'Lanç. Pessoal'!$B$11:$B$1510,"&lt;"&amp;EDATE(J$7,1)))</f>
        <v>173.44</v>
      </c>
      <c r="K29" s="95">
        <f>IF($B29="",0,SUMIFS('Lanç. Pessoal'!$F$11:$F$1510,'Lanç. Pessoal'!$D$11:$D$1510,$B29,'Lanç. Pessoal'!$B$11:$B$1510,"&gt;="&amp;K$7,'Lanç. Pessoal'!$B$11:$B$1510,"&lt;"&amp;EDATE(K$7,1)))</f>
        <v>175.11</v>
      </c>
      <c r="L29" s="95">
        <f>IF($B29="",0,SUMIFS('Lanç. Pessoal'!$F$11:$F$1510,'Lanç. Pessoal'!$D$11:$D$1510,$B29,'Lanç. Pessoal'!$B$11:$B$1510,"&gt;="&amp;L$7,'Lanç. Pessoal'!$B$11:$B$1510,"&lt;"&amp;EDATE(L$7,1)))</f>
        <v>0</v>
      </c>
      <c r="M29" s="95">
        <f>IF($B29="",0,SUMIFS('Lanç. Pessoal'!$F$11:$F$1510,'Lanç. Pessoal'!$D$11:$D$1510,$B29,'Lanç. Pessoal'!$B$11:$B$1510,"&gt;="&amp;M$7,'Lanç. Pessoal'!$B$11:$B$1510,"&lt;"&amp;EDATE(M$7,1)))</f>
        <v>0</v>
      </c>
      <c r="N29" s="95">
        <f>IF($B29="",0,SUMIFS('Lanç. Pessoal'!$F$11:$F$1510,'Lanç. Pessoal'!$D$11:$D$1510,$B29,'Lanç. Pessoal'!$B$11:$B$1510,"&gt;="&amp;N$7,'Lanç. Pessoal'!$B$11:$B$1510,"&lt;"&amp;EDATE(N$7,1)))</f>
        <v>0</v>
      </c>
      <c r="O29" s="96">
        <f>SUM(C29:N29)</f>
        <v>1688.62</v>
      </c>
      <c r="P29" s="97">
        <f>IFERROR(O29/'Dados'!$C$11,0)</f>
        <v>187.624444444444</v>
      </c>
      <c r="Q29" s="102">
        <f>IFERROR(O29/$O$36,0)</f>
        <v>0.0415583277733383</v>
      </c>
    </row>
    <row r="30" spans="2:17" ht="16.5" customHeight="1">
      <c r="B30" s="85" t="str">
        <f>IF('Config'!$G$18="","",'Config'!$G$18)</f>
        <v>Pets</v>
      </c>
      <c r="C30" s="95">
        <f>IF($B30="",0,SUMIFS('Lanç. Pessoal'!$F$11:$F$1510,'Lanç. Pessoal'!$D$11:$D$1510,$B30,'Lanç. Pessoal'!$B$11:$B$1510,"&gt;="&amp;C$7,'Lanç. Pessoal'!$B$11:$B$1510,"&lt;"&amp;EDATE(C$7,1)))</f>
        <v>0</v>
      </c>
      <c r="D30" s="95">
        <f>IF($B30="",0,SUMIFS('Lanç. Pessoal'!$F$11:$F$1510,'Lanç. Pessoal'!$D$11:$D$1510,$B30,'Lanç. Pessoal'!$B$11:$B$1510,"&gt;="&amp;D$7,'Lanç. Pessoal'!$B$11:$B$1510,"&lt;"&amp;EDATE(D$7,1)))</f>
        <v>0</v>
      </c>
      <c r="E30" s="95">
        <f>IF($B30="",0,SUMIFS('Lanç. Pessoal'!$F$11:$F$1510,'Lanç. Pessoal'!$D$11:$D$1510,$B30,'Lanç. Pessoal'!$B$11:$B$1510,"&gt;="&amp;E$7,'Lanç. Pessoal'!$B$11:$B$1510,"&lt;"&amp;EDATE(E$7,1)))</f>
        <v>0</v>
      </c>
      <c r="F30" s="95">
        <f>IF($B30="",0,SUMIFS('Lanç. Pessoal'!$F$11:$F$1510,'Lanç. Pessoal'!$D$11:$D$1510,$B30,'Lanç. Pessoal'!$B$11:$B$1510,"&gt;="&amp;F$7,'Lanç. Pessoal'!$B$11:$B$1510,"&lt;"&amp;EDATE(F$7,1)))</f>
        <v>0</v>
      </c>
      <c r="G30" s="95">
        <f>IF($B30="",0,SUMIFS('Lanç. Pessoal'!$F$11:$F$1510,'Lanç. Pessoal'!$D$11:$D$1510,$B30,'Lanç. Pessoal'!$B$11:$B$1510,"&gt;="&amp;G$7,'Lanç. Pessoal'!$B$11:$B$1510,"&lt;"&amp;EDATE(G$7,1)))</f>
        <v>0</v>
      </c>
      <c r="H30" s="95">
        <f>IF($B30="",0,SUMIFS('Lanç. Pessoal'!$F$11:$F$1510,'Lanç. Pessoal'!$D$11:$D$1510,$B30,'Lanç. Pessoal'!$B$11:$B$1510,"&gt;="&amp;H$7,'Lanç. Pessoal'!$B$11:$B$1510,"&lt;"&amp;EDATE(H$7,1)))</f>
        <v>0</v>
      </c>
      <c r="I30" s="95">
        <f>IF($B30="",0,SUMIFS('Lanç. Pessoal'!$F$11:$F$1510,'Lanç. Pessoal'!$D$11:$D$1510,$B30,'Lanç. Pessoal'!$B$11:$B$1510,"&gt;="&amp;I$7,'Lanç. Pessoal'!$B$11:$B$1510,"&lt;"&amp;EDATE(I$7,1)))</f>
        <v>0</v>
      </c>
      <c r="J30" s="95">
        <f>IF($B30="",0,SUMIFS('Lanç. Pessoal'!$F$11:$F$1510,'Lanç. Pessoal'!$D$11:$D$1510,$B30,'Lanç. Pessoal'!$B$11:$B$1510,"&gt;="&amp;J$7,'Lanç. Pessoal'!$B$11:$B$1510,"&lt;"&amp;EDATE(J$7,1)))</f>
        <v>0</v>
      </c>
      <c r="K30" s="95">
        <f>IF($B30="",0,SUMIFS('Lanç. Pessoal'!$F$11:$F$1510,'Lanç. Pessoal'!$D$11:$D$1510,$B30,'Lanç. Pessoal'!$B$11:$B$1510,"&gt;="&amp;K$7,'Lanç. Pessoal'!$B$11:$B$1510,"&lt;"&amp;EDATE(K$7,1)))</f>
        <v>0</v>
      </c>
      <c r="L30" s="95">
        <f>IF($B30="",0,SUMIFS('Lanç. Pessoal'!$F$11:$F$1510,'Lanç. Pessoal'!$D$11:$D$1510,$B30,'Lanç. Pessoal'!$B$11:$B$1510,"&gt;="&amp;L$7,'Lanç. Pessoal'!$B$11:$B$1510,"&lt;"&amp;EDATE(L$7,1)))</f>
        <v>0</v>
      </c>
      <c r="M30" s="95">
        <f>IF($B30="",0,SUMIFS('Lanç. Pessoal'!$F$11:$F$1510,'Lanç. Pessoal'!$D$11:$D$1510,$B30,'Lanç. Pessoal'!$B$11:$B$1510,"&gt;="&amp;M$7,'Lanç. Pessoal'!$B$11:$B$1510,"&lt;"&amp;EDATE(M$7,1)))</f>
        <v>0</v>
      </c>
      <c r="N30" s="95">
        <f>IF($B30="",0,SUMIFS('Lanç. Pessoal'!$F$11:$F$1510,'Lanç. Pessoal'!$D$11:$D$1510,$B30,'Lanç. Pessoal'!$B$11:$B$1510,"&gt;="&amp;N$7,'Lanç. Pessoal'!$B$11:$B$1510,"&lt;"&amp;EDATE(N$7,1)))</f>
        <v>0</v>
      </c>
      <c r="O30" s="96">
        <f>SUM(C30:N30)</f>
        <v>0</v>
      </c>
      <c r="P30" s="97">
        <f>IFERROR(O30/'Dados'!$C$11,0)</f>
        <v>0</v>
      </c>
      <c r="Q30" s="102">
        <f>IFERROR(O30/$O$36,0)</f>
        <v>0</v>
      </c>
    </row>
    <row r="31" spans="2:17" ht="16.5" customHeight="1">
      <c r="B31" s="85" t="str">
        <f>IF('Config'!$G$19="","",'Config'!$G$19)</f>
        <v>Presentes e doações</v>
      </c>
      <c r="C31" s="95">
        <f>IF($B31="",0,SUMIFS('Lanç. Pessoal'!$F$11:$F$1510,'Lanç. Pessoal'!$D$11:$D$1510,$B31,'Lanç. Pessoal'!$B$11:$B$1510,"&gt;="&amp;C$7,'Lanç. Pessoal'!$B$11:$B$1510,"&lt;"&amp;EDATE(C$7,1)))</f>
        <v>50</v>
      </c>
      <c r="D31" s="95">
        <f>IF($B31="",0,SUMIFS('Lanç. Pessoal'!$F$11:$F$1510,'Lanç. Pessoal'!$D$11:$D$1510,$B31,'Lanç. Pessoal'!$B$11:$B$1510,"&gt;="&amp;D$7,'Lanç. Pessoal'!$B$11:$B$1510,"&lt;"&amp;EDATE(D$7,1)))</f>
        <v>50</v>
      </c>
      <c r="E31" s="95">
        <f>IF($B31="",0,SUMIFS('Lanç. Pessoal'!$F$11:$F$1510,'Lanç. Pessoal'!$D$11:$D$1510,$B31,'Lanç. Pessoal'!$B$11:$B$1510,"&gt;="&amp;E$7,'Lanç. Pessoal'!$B$11:$B$1510,"&lt;"&amp;EDATE(E$7,1)))</f>
        <v>50</v>
      </c>
      <c r="F31" s="95">
        <f>IF($B31="",0,SUMIFS('Lanç. Pessoal'!$F$11:$F$1510,'Lanç. Pessoal'!$D$11:$D$1510,$B31,'Lanç. Pessoal'!$B$11:$B$1510,"&gt;="&amp;F$7,'Lanç. Pessoal'!$B$11:$B$1510,"&lt;"&amp;EDATE(F$7,1)))</f>
        <v>50</v>
      </c>
      <c r="G31" s="95">
        <f>IF($B31="",0,SUMIFS('Lanç. Pessoal'!$F$11:$F$1510,'Lanç. Pessoal'!$D$11:$D$1510,$B31,'Lanç. Pessoal'!$B$11:$B$1510,"&gt;="&amp;G$7,'Lanç. Pessoal'!$B$11:$B$1510,"&lt;"&amp;EDATE(G$7,1)))</f>
        <v>205</v>
      </c>
      <c r="H31" s="95">
        <f>IF($B31="",0,SUMIFS('Lanç. Pessoal'!$F$11:$F$1510,'Lanç. Pessoal'!$D$11:$D$1510,$B31,'Lanç. Pessoal'!$B$11:$B$1510,"&gt;="&amp;H$7,'Lanç. Pessoal'!$B$11:$B$1510,"&lt;"&amp;EDATE(H$7,1)))</f>
        <v>50</v>
      </c>
      <c r="I31" s="95">
        <f>IF($B31="",0,SUMIFS('Lanç. Pessoal'!$F$11:$F$1510,'Lanç. Pessoal'!$D$11:$D$1510,$B31,'Lanç. Pessoal'!$B$11:$B$1510,"&gt;="&amp;I$7,'Lanç. Pessoal'!$B$11:$B$1510,"&lt;"&amp;EDATE(I$7,1)))</f>
        <v>50</v>
      </c>
      <c r="J31" s="95">
        <f>IF($B31="",0,SUMIFS('Lanç. Pessoal'!$F$11:$F$1510,'Lanç. Pessoal'!$D$11:$D$1510,$B31,'Lanç. Pessoal'!$B$11:$B$1510,"&gt;="&amp;J$7,'Lanç. Pessoal'!$B$11:$B$1510,"&lt;"&amp;EDATE(J$7,1)))</f>
        <v>161.6</v>
      </c>
      <c r="K31" s="95">
        <f>IF($B31="",0,SUMIFS('Lanç. Pessoal'!$F$11:$F$1510,'Lanç. Pessoal'!$D$11:$D$1510,$B31,'Lanç. Pessoal'!$B$11:$B$1510,"&gt;="&amp;K$7,'Lanç. Pessoal'!$B$11:$B$1510,"&lt;"&amp;EDATE(K$7,1)))</f>
        <v>50</v>
      </c>
      <c r="L31" s="95">
        <f>IF($B31="",0,SUMIFS('Lanç. Pessoal'!$F$11:$F$1510,'Lanç. Pessoal'!$D$11:$D$1510,$B31,'Lanç. Pessoal'!$B$11:$B$1510,"&gt;="&amp;L$7,'Lanç. Pessoal'!$B$11:$B$1510,"&lt;"&amp;EDATE(L$7,1)))</f>
        <v>0</v>
      </c>
      <c r="M31" s="95">
        <f>IF($B31="",0,SUMIFS('Lanç. Pessoal'!$F$11:$F$1510,'Lanç. Pessoal'!$D$11:$D$1510,$B31,'Lanç. Pessoal'!$B$11:$B$1510,"&gt;="&amp;M$7,'Lanç. Pessoal'!$B$11:$B$1510,"&lt;"&amp;EDATE(M$7,1)))</f>
        <v>0</v>
      </c>
      <c r="N31" s="95">
        <f>IF($B31="",0,SUMIFS('Lanç. Pessoal'!$F$11:$F$1510,'Lanç. Pessoal'!$D$11:$D$1510,$B31,'Lanç. Pessoal'!$B$11:$B$1510,"&gt;="&amp;N$7,'Lanç. Pessoal'!$B$11:$B$1510,"&lt;"&amp;EDATE(N$7,1)))</f>
        <v>0</v>
      </c>
      <c r="O31" s="96">
        <f>SUM(C31:N31)</f>
        <v>716.6</v>
      </c>
      <c r="P31" s="97">
        <f>IFERROR(O31/'Dados'!$C$11,0)</f>
        <v>79.6222222222222</v>
      </c>
      <c r="Q31" s="102">
        <f>IFERROR(O31/$O$36,0)</f>
        <v>0.0176361156935096</v>
      </c>
    </row>
    <row r="32" spans="2:17" ht="16.5" customHeight="1">
      <c r="B32" s="85" t="str">
        <f>IF('Config'!$G$20="","",'Config'!$G$20)</f>
        <v>Dívidas e financiamentos</v>
      </c>
      <c r="C32" s="95">
        <f>IF($B32="",0,SUMIFS('Lanç. Pessoal'!$F$11:$F$1510,'Lanç. Pessoal'!$D$11:$D$1510,$B32,'Lanç. Pessoal'!$B$11:$B$1510,"&gt;="&amp;C$7,'Lanç. Pessoal'!$B$11:$B$1510,"&lt;"&amp;EDATE(C$7,1)))</f>
        <v>0</v>
      </c>
      <c r="D32" s="95">
        <f>IF($B32="",0,SUMIFS('Lanç. Pessoal'!$F$11:$F$1510,'Lanç. Pessoal'!$D$11:$D$1510,$B32,'Lanç. Pessoal'!$B$11:$B$1510,"&gt;="&amp;D$7,'Lanç. Pessoal'!$B$11:$B$1510,"&lt;"&amp;EDATE(D$7,1)))</f>
        <v>0</v>
      </c>
      <c r="E32" s="95">
        <f>IF($B32="",0,SUMIFS('Lanç. Pessoal'!$F$11:$F$1510,'Lanç. Pessoal'!$D$11:$D$1510,$B32,'Lanç. Pessoal'!$B$11:$B$1510,"&gt;="&amp;E$7,'Lanç. Pessoal'!$B$11:$B$1510,"&lt;"&amp;EDATE(E$7,1)))</f>
        <v>0</v>
      </c>
      <c r="F32" s="95">
        <f>IF($B32="",0,SUMIFS('Lanç. Pessoal'!$F$11:$F$1510,'Lanç. Pessoal'!$D$11:$D$1510,$B32,'Lanç. Pessoal'!$B$11:$B$1510,"&gt;="&amp;F$7,'Lanç. Pessoal'!$B$11:$B$1510,"&lt;"&amp;EDATE(F$7,1)))</f>
        <v>0</v>
      </c>
      <c r="G32" s="95">
        <f>IF($B32="",0,SUMIFS('Lanç. Pessoal'!$F$11:$F$1510,'Lanç. Pessoal'!$D$11:$D$1510,$B32,'Lanç. Pessoal'!$B$11:$B$1510,"&gt;="&amp;G$7,'Lanç. Pessoal'!$B$11:$B$1510,"&lt;"&amp;EDATE(G$7,1)))</f>
        <v>0</v>
      </c>
      <c r="H32" s="95">
        <f>IF($B32="",0,SUMIFS('Lanç. Pessoal'!$F$11:$F$1510,'Lanç. Pessoal'!$D$11:$D$1510,$B32,'Lanç. Pessoal'!$B$11:$B$1510,"&gt;="&amp;H$7,'Lanç. Pessoal'!$B$11:$B$1510,"&lt;"&amp;EDATE(H$7,1)))</f>
        <v>0</v>
      </c>
      <c r="I32" s="95">
        <f>IF($B32="",0,SUMIFS('Lanç. Pessoal'!$F$11:$F$1510,'Lanç. Pessoal'!$D$11:$D$1510,$B32,'Lanç. Pessoal'!$B$11:$B$1510,"&gt;="&amp;I$7,'Lanç. Pessoal'!$B$11:$B$1510,"&lt;"&amp;EDATE(I$7,1)))</f>
        <v>0</v>
      </c>
      <c r="J32" s="95">
        <f>IF($B32="",0,SUMIFS('Lanç. Pessoal'!$F$11:$F$1510,'Lanç. Pessoal'!$D$11:$D$1510,$B32,'Lanç. Pessoal'!$B$11:$B$1510,"&gt;="&amp;J$7,'Lanç. Pessoal'!$B$11:$B$1510,"&lt;"&amp;EDATE(J$7,1)))</f>
        <v>0</v>
      </c>
      <c r="K32" s="95">
        <f>IF($B32="",0,SUMIFS('Lanç. Pessoal'!$F$11:$F$1510,'Lanç. Pessoal'!$D$11:$D$1510,$B32,'Lanç. Pessoal'!$B$11:$B$1510,"&gt;="&amp;K$7,'Lanç. Pessoal'!$B$11:$B$1510,"&lt;"&amp;EDATE(K$7,1)))</f>
        <v>0</v>
      </c>
      <c r="L32" s="95">
        <f>IF($B32="",0,SUMIFS('Lanç. Pessoal'!$F$11:$F$1510,'Lanç. Pessoal'!$D$11:$D$1510,$B32,'Lanç. Pessoal'!$B$11:$B$1510,"&gt;="&amp;L$7,'Lanç. Pessoal'!$B$11:$B$1510,"&lt;"&amp;EDATE(L$7,1)))</f>
        <v>0</v>
      </c>
      <c r="M32" s="95">
        <f>IF($B32="",0,SUMIFS('Lanç. Pessoal'!$F$11:$F$1510,'Lanç. Pessoal'!$D$11:$D$1510,$B32,'Lanç. Pessoal'!$B$11:$B$1510,"&gt;="&amp;M$7,'Lanç. Pessoal'!$B$11:$B$1510,"&lt;"&amp;EDATE(M$7,1)))</f>
        <v>0</v>
      </c>
      <c r="N32" s="95">
        <f>IF($B32="",0,SUMIFS('Lanç. Pessoal'!$F$11:$F$1510,'Lanç. Pessoal'!$D$11:$D$1510,$B32,'Lanç. Pessoal'!$B$11:$B$1510,"&gt;="&amp;N$7,'Lanç. Pessoal'!$B$11:$B$1510,"&lt;"&amp;EDATE(N$7,1)))</f>
        <v>0</v>
      </c>
      <c r="O32" s="96">
        <f>SUM(C32:N32)</f>
        <v>0</v>
      </c>
      <c r="P32" s="97">
        <f>IFERROR(O32/'Dados'!$C$11,0)</f>
        <v>0</v>
      </c>
      <c r="Q32" s="102">
        <f>IFERROR(O32/$O$36,0)</f>
        <v>0</v>
      </c>
    </row>
    <row r="33" spans="2:17" ht="16.5" customHeight="1">
      <c r="B33" s="85" t="str">
        <f>IF('Config'!$G$21="","",'Config'!$G$21)</f>
        <v>Reserva e Metas</v>
      </c>
      <c r="C33" s="95">
        <f>IF($B33="",0,SUMIFS('Lanç. Pessoal'!$F$11:$F$1510,'Lanç. Pessoal'!$D$11:$D$1510,$B33,'Lanç. Pessoal'!$B$11:$B$1510,"&gt;="&amp;C$7,'Lanç. Pessoal'!$B$11:$B$1510,"&lt;"&amp;EDATE(C$7,1)))</f>
        <v>450</v>
      </c>
      <c r="D33" s="95">
        <f>IF($B33="",0,SUMIFS('Lanç. Pessoal'!$F$11:$F$1510,'Lanç. Pessoal'!$D$11:$D$1510,$B33,'Lanç. Pessoal'!$B$11:$B$1510,"&gt;="&amp;D$7,'Lanç. Pessoal'!$B$11:$B$1510,"&lt;"&amp;EDATE(D$7,1)))</f>
        <v>450</v>
      </c>
      <c r="E33" s="95">
        <f>IF($B33="",0,SUMIFS('Lanç. Pessoal'!$F$11:$F$1510,'Lanç. Pessoal'!$D$11:$D$1510,$B33,'Lanç. Pessoal'!$B$11:$B$1510,"&gt;="&amp;E$7,'Lanç. Pessoal'!$B$11:$B$1510,"&lt;"&amp;EDATE(E$7,1)))</f>
        <v>450</v>
      </c>
      <c r="F33" s="95">
        <f>IF($B33="",0,SUMIFS('Lanç. Pessoal'!$F$11:$F$1510,'Lanç. Pessoal'!$D$11:$D$1510,$B33,'Lanç. Pessoal'!$B$11:$B$1510,"&gt;="&amp;F$7,'Lanç. Pessoal'!$B$11:$B$1510,"&lt;"&amp;EDATE(F$7,1)))</f>
        <v>600</v>
      </c>
      <c r="G33" s="95">
        <f>IF($B33="",0,SUMIFS('Lanç. Pessoal'!$F$11:$F$1510,'Lanç. Pessoal'!$D$11:$D$1510,$B33,'Lanç. Pessoal'!$B$11:$B$1510,"&gt;="&amp;G$7,'Lanç. Pessoal'!$B$11:$B$1510,"&lt;"&amp;EDATE(G$7,1)))</f>
        <v>600</v>
      </c>
      <c r="H33" s="95">
        <f>IF($B33="",0,SUMIFS('Lanç. Pessoal'!$F$11:$F$1510,'Lanç. Pessoal'!$D$11:$D$1510,$B33,'Lanç. Pessoal'!$B$11:$B$1510,"&gt;="&amp;H$7,'Lanç. Pessoal'!$B$11:$B$1510,"&lt;"&amp;EDATE(H$7,1)))</f>
        <v>600</v>
      </c>
      <c r="I33" s="95">
        <f>IF($B33="",0,SUMIFS('Lanç. Pessoal'!$F$11:$F$1510,'Lanç. Pessoal'!$D$11:$D$1510,$B33,'Lanç. Pessoal'!$B$11:$B$1510,"&gt;="&amp;I$7,'Lanç. Pessoal'!$B$11:$B$1510,"&lt;"&amp;EDATE(I$7,1)))</f>
        <v>600</v>
      </c>
      <c r="J33" s="95">
        <f>IF($B33="",0,SUMIFS('Lanç. Pessoal'!$F$11:$F$1510,'Lanç. Pessoal'!$D$11:$D$1510,$B33,'Lanç. Pessoal'!$B$11:$B$1510,"&gt;="&amp;J$7,'Lanç. Pessoal'!$B$11:$B$1510,"&lt;"&amp;EDATE(J$7,1)))</f>
        <v>600</v>
      </c>
      <c r="K33" s="95">
        <f>IF($B33="",0,SUMIFS('Lanç. Pessoal'!$F$11:$F$1510,'Lanç. Pessoal'!$D$11:$D$1510,$B33,'Lanç. Pessoal'!$B$11:$B$1510,"&gt;="&amp;K$7,'Lanç. Pessoal'!$B$11:$B$1510,"&lt;"&amp;EDATE(K$7,1)))</f>
        <v>600</v>
      </c>
      <c r="L33" s="95">
        <f>IF($B33="",0,SUMIFS('Lanç. Pessoal'!$F$11:$F$1510,'Lanç. Pessoal'!$D$11:$D$1510,$B33,'Lanç. Pessoal'!$B$11:$B$1510,"&gt;="&amp;L$7,'Lanç. Pessoal'!$B$11:$B$1510,"&lt;"&amp;EDATE(L$7,1)))</f>
        <v>0</v>
      </c>
      <c r="M33" s="95">
        <f>IF($B33="",0,SUMIFS('Lanç. Pessoal'!$F$11:$F$1510,'Lanç. Pessoal'!$D$11:$D$1510,$B33,'Lanç. Pessoal'!$B$11:$B$1510,"&gt;="&amp;M$7,'Lanç. Pessoal'!$B$11:$B$1510,"&lt;"&amp;EDATE(M$7,1)))</f>
        <v>0</v>
      </c>
      <c r="N33" s="95">
        <f>IF($B33="",0,SUMIFS('Lanç. Pessoal'!$F$11:$F$1510,'Lanç. Pessoal'!$D$11:$D$1510,$B33,'Lanç. Pessoal'!$B$11:$B$1510,"&gt;="&amp;N$7,'Lanç. Pessoal'!$B$11:$B$1510,"&lt;"&amp;EDATE(N$7,1)))</f>
        <v>0</v>
      </c>
      <c r="O33" s="96">
        <f>SUM(C33:N33)</f>
        <v>4950</v>
      </c>
      <c r="P33" s="97">
        <f>IFERROR(O33/'Dados'!$C$11,0)</f>
        <v>550</v>
      </c>
      <c r="Q33" s="102">
        <f>IFERROR(O33/$O$36,0)</f>
        <v>0.121823573378276</v>
      </c>
    </row>
    <row r="34" spans="2:17" ht="16.5" customHeight="1">
      <c r="B34" s="85" t="str">
        <f>IF('Config'!$G$22="","",'Config'!$G$22)</f>
        <v>Impostos pessoais</v>
      </c>
      <c r="C34" s="95">
        <f>IF($B34="",0,SUMIFS('Lanç. Pessoal'!$F$11:$F$1510,'Lanç. Pessoal'!$D$11:$D$1510,$B34,'Lanç. Pessoal'!$B$11:$B$1510,"&gt;="&amp;C$7,'Lanç. Pessoal'!$B$11:$B$1510,"&lt;"&amp;EDATE(C$7,1)))</f>
        <v>0</v>
      </c>
      <c r="D34" s="95">
        <f>IF($B34="",0,SUMIFS('Lanç. Pessoal'!$F$11:$F$1510,'Lanç. Pessoal'!$D$11:$D$1510,$B34,'Lanç. Pessoal'!$B$11:$B$1510,"&gt;="&amp;D$7,'Lanç. Pessoal'!$B$11:$B$1510,"&lt;"&amp;EDATE(D$7,1)))</f>
        <v>704</v>
      </c>
      <c r="E34" s="95">
        <f>IF($B34="",0,SUMIFS('Lanç. Pessoal'!$F$11:$F$1510,'Lanç. Pessoal'!$D$11:$D$1510,$B34,'Lanç. Pessoal'!$B$11:$B$1510,"&gt;="&amp;E$7,'Lanç. Pessoal'!$B$11:$B$1510,"&lt;"&amp;EDATE(E$7,1)))</f>
        <v>0</v>
      </c>
      <c r="F34" s="95">
        <f>IF($B34="",0,SUMIFS('Lanç. Pessoal'!$F$11:$F$1510,'Lanç. Pessoal'!$D$11:$D$1510,$B34,'Lanç. Pessoal'!$B$11:$B$1510,"&gt;="&amp;F$7,'Lanç. Pessoal'!$B$11:$B$1510,"&lt;"&amp;EDATE(F$7,1)))</f>
        <v>0</v>
      </c>
      <c r="G34" s="95">
        <f>IF($B34="",0,SUMIFS('Lanç. Pessoal'!$F$11:$F$1510,'Lanç. Pessoal'!$D$11:$D$1510,$B34,'Lanç. Pessoal'!$B$11:$B$1510,"&gt;="&amp;G$7,'Lanç. Pessoal'!$B$11:$B$1510,"&lt;"&amp;EDATE(G$7,1)))</f>
        <v>0</v>
      </c>
      <c r="H34" s="95">
        <f>IF($B34="",0,SUMIFS('Lanç. Pessoal'!$F$11:$F$1510,'Lanç. Pessoal'!$D$11:$D$1510,$B34,'Lanç. Pessoal'!$B$11:$B$1510,"&gt;="&amp;H$7,'Lanç. Pessoal'!$B$11:$B$1510,"&lt;"&amp;EDATE(H$7,1)))</f>
        <v>0</v>
      </c>
      <c r="I34" s="95">
        <f>IF($B34="",0,SUMIFS('Lanç. Pessoal'!$F$11:$F$1510,'Lanç. Pessoal'!$D$11:$D$1510,$B34,'Lanç. Pessoal'!$B$11:$B$1510,"&gt;="&amp;I$7,'Lanç. Pessoal'!$B$11:$B$1510,"&lt;"&amp;EDATE(I$7,1)))</f>
        <v>0</v>
      </c>
      <c r="J34" s="95">
        <f>IF($B34="",0,SUMIFS('Lanç. Pessoal'!$F$11:$F$1510,'Lanç. Pessoal'!$D$11:$D$1510,$B34,'Lanç. Pessoal'!$B$11:$B$1510,"&gt;="&amp;J$7,'Lanç. Pessoal'!$B$11:$B$1510,"&lt;"&amp;EDATE(J$7,1)))</f>
        <v>0</v>
      </c>
      <c r="K34" s="95">
        <f>IF($B34="",0,SUMIFS('Lanç. Pessoal'!$F$11:$F$1510,'Lanç. Pessoal'!$D$11:$D$1510,$B34,'Lanç. Pessoal'!$B$11:$B$1510,"&gt;="&amp;K$7,'Lanç. Pessoal'!$B$11:$B$1510,"&lt;"&amp;EDATE(K$7,1)))</f>
        <v>0</v>
      </c>
      <c r="L34" s="95">
        <f>IF($B34="",0,SUMIFS('Lanç. Pessoal'!$F$11:$F$1510,'Lanç. Pessoal'!$D$11:$D$1510,$B34,'Lanç. Pessoal'!$B$11:$B$1510,"&gt;="&amp;L$7,'Lanç. Pessoal'!$B$11:$B$1510,"&lt;"&amp;EDATE(L$7,1)))</f>
        <v>0</v>
      </c>
      <c r="M34" s="95">
        <f>IF($B34="",0,SUMIFS('Lanç. Pessoal'!$F$11:$F$1510,'Lanç. Pessoal'!$D$11:$D$1510,$B34,'Lanç. Pessoal'!$B$11:$B$1510,"&gt;="&amp;M$7,'Lanç. Pessoal'!$B$11:$B$1510,"&lt;"&amp;EDATE(M$7,1)))</f>
        <v>0</v>
      </c>
      <c r="N34" s="95">
        <f>IF($B34="",0,SUMIFS('Lanç. Pessoal'!$F$11:$F$1510,'Lanç. Pessoal'!$D$11:$D$1510,$B34,'Lanç. Pessoal'!$B$11:$B$1510,"&gt;="&amp;N$7,'Lanç. Pessoal'!$B$11:$B$1510,"&lt;"&amp;EDATE(N$7,1)))</f>
        <v>0</v>
      </c>
      <c r="O34" s="96">
        <f>SUM(C34:N34)</f>
        <v>704</v>
      </c>
      <c r="P34" s="97">
        <f>IFERROR(O34/'Dados'!$C$11,0)</f>
        <v>78.2222222222222</v>
      </c>
      <c r="Q34" s="102">
        <f>IFERROR(O34/$O$36,0)</f>
        <v>0.0173260193249104</v>
      </c>
    </row>
    <row r="35" spans="2:17" ht="16.5" customHeight="1">
      <c r="B35" s="85" t="str">
        <f>IF('Config'!$G$23="","",'Config'!$G$23)</f>
        <v>Outros</v>
      </c>
      <c r="C35" s="95">
        <f>IF($B35="",0,SUMIFS('Lanç. Pessoal'!$F$11:$F$1510,'Lanç. Pessoal'!$D$11:$D$1510,$B35,'Lanç. Pessoal'!$B$11:$B$1510,"&gt;="&amp;C$7,'Lanç. Pessoal'!$B$11:$B$1510,"&lt;"&amp;EDATE(C$7,1)))</f>
        <v>39.72</v>
      </c>
      <c r="D35" s="95">
        <f>IF($B35="",0,SUMIFS('Lanç. Pessoal'!$F$11:$F$1510,'Lanç. Pessoal'!$D$11:$D$1510,$B35,'Lanç. Pessoal'!$B$11:$B$1510,"&gt;="&amp;D$7,'Lanç. Pessoal'!$B$11:$B$1510,"&lt;"&amp;EDATE(D$7,1)))</f>
        <v>47.64</v>
      </c>
      <c r="E35" s="95">
        <f>IF($B35="",0,SUMIFS('Lanç. Pessoal'!$F$11:$F$1510,'Lanç. Pessoal'!$D$11:$D$1510,$B35,'Lanç. Pessoal'!$B$11:$B$1510,"&gt;="&amp;E$7,'Lanç. Pessoal'!$B$11:$B$1510,"&lt;"&amp;EDATE(E$7,1)))</f>
        <v>85.52</v>
      </c>
      <c r="F35" s="95">
        <f>IF($B35="",0,SUMIFS('Lanç. Pessoal'!$F$11:$F$1510,'Lanç. Pessoal'!$D$11:$D$1510,$B35,'Lanç. Pessoal'!$B$11:$B$1510,"&gt;="&amp;F$7,'Lanç. Pessoal'!$B$11:$B$1510,"&lt;"&amp;EDATE(F$7,1)))</f>
        <v>62.25</v>
      </c>
      <c r="G35" s="95">
        <f>IF($B35="",0,SUMIFS('Lanç. Pessoal'!$F$11:$F$1510,'Lanç. Pessoal'!$D$11:$D$1510,$B35,'Lanç. Pessoal'!$B$11:$B$1510,"&gt;="&amp;G$7,'Lanç. Pessoal'!$B$11:$B$1510,"&lt;"&amp;EDATE(G$7,1)))</f>
        <v>61.34</v>
      </c>
      <c r="H35" s="95">
        <f>IF($B35="",0,SUMIFS('Lanç. Pessoal'!$F$11:$F$1510,'Lanç. Pessoal'!$D$11:$D$1510,$B35,'Lanç. Pessoal'!$B$11:$B$1510,"&gt;="&amp;H$7,'Lanç. Pessoal'!$B$11:$B$1510,"&lt;"&amp;EDATE(H$7,1)))</f>
        <v>49.36</v>
      </c>
      <c r="I35" s="95">
        <f>IF($B35="",0,SUMIFS('Lanç. Pessoal'!$F$11:$F$1510,'Lanç. Pessoal'!$D$11:$D$1510,$B35,'Lanç. Pessoal'!$B$11:$B$1510,"&gt;="&amp;I$7,'Lanç. Pessoal'!$B$11:$B$1510,"&lt;"&amp;EDATE(I$7,1)))</f>
        <v>102.69</v>
      </c>
      <c r="J35" s="95">
        <f>IF($B35="",0,SUMIFS('Lanç. Pessoal'!$F$11:$F$1510,'Lanç. Pessoal'!$D$11:$D$1510,$B35,'Lanç. Pessoal'!$B$11:$B$1510,"&gt;="&amp;J$7,'Lanç. Pessoal'!$B$11:$B$1510,"&lt;"&amp;EDATE(J$7,1)))</f>
        <v>103.09</v>
      </c>
      <c r="K35" s="95">
        <f>IF($B35="",0,SUMIFS('Lanç. Pessoal'!$F$11:$F$1510,'Lanç. Pessoal'!$D$11:$D$1510,$B35,'Lanç. Pessoal'!$B$11:$B$1510,"&gt;="&amp;K$7,'Lanç. Pessoal'!$B$11:$B$1510,"&lt;"&amp;EDATE(K$7,1)))</f>
        <v>53.46</v>
      </c>
      <c r="L35" s="95">
        <f>IF($B35="",0,SUMIFS('Lanç. Pessoal'!$F$11:$F$1510,'Lanç. Pessoal'!$D$11:$D$1510,$B35,'Lanç. Pessoal'!$B$11:$B$1510,"&gt;="&amp;L$7,'Lanç. Pessoal'!$B$11:$B$1510,"&lt;"&amp;EDATE(L$7,1)))</f>
        <v>0</v>
      </c>
      <c r="M35" s="95">
        <f>IF($B35="",0,SUMIFS('Lanç. Pessoal'!$F$11:$F$1510,'Lanç. Pessoal'!$D$11:$D$1510,$B35,'Lanç. Pessoal'!$B$11:$B$1510,"&gt;="&amp;M$7,'Lanç. Pessoal'!$B$11:$B$1510,"&lt;"&amp;EDATE(M$7,1)))</f>
        <v>0</v>
      </c>
      <c r="N35" s="95">
        <f>IF($B35="",0,SUMIFS('Lanç. Pessoal'!$F$11:$F$1510,'Lanç. Pessoal'!$D$11:$D$1510,$B35,'Lanç. Pessoal'!$B$11:$B$1510,"&gt;="&amp;N$7,'Lanç. Pessoal'!$B$11:$B$1510,"&lt;"&amp;EDATE(N$7,1)))</f>
        <v>0</v>
      </c>
      <c r="O35" s="96">
        <f>SUM(C35:N35)</f>
        <v>605.07</v>
      </c>
      <c r="P35" s="97">
        <f>IFERROR(O35/'Dados'!$C$11,0)</f>
        <v>67.23</v>
      </c>
      <c r="Q35" s="102">
        <f>IFERROR(O35/$O$36,0)</f>
        <v>0.0148912706149482</v>
      </c>
    </row>
    <row r="36" spans="2:17" ht="16.5" customHeight="1">
      <c r="B36" s="103" t="s">
        <v>199</v>
      </c>
      <c r="C36" s="104">
        <f>SUM(C20:C35)</f>
        <v>3820.83</v>
      </c>
      <c r="D36" s="104">
        <f>SUM(D20:D35)</f>
        <v>4753.13</v>
      </c>
      <c r="E36" s="104">
        <f>SUM(E20:E35)</f>
        <v>4238.38</v>
      </c>
      <c r="F36" s="104">
        <f>SUM(F20:F35)</f>
        <v>4786.95</v>
      </c>
      <c r="G36" s="104">
        <f>SUM(G20:G35)</f>
        <v>4658.59</v>
      </c>
      <c r="H36" s="104">
        <f>SUM(H20:H35)</f>
        <v>4032.46</v>
      </c>
      <c r="I36" s="104">
        <f>SUM(I20:I35)</f>
        <v>5693.25</v>
      </c>
      <c r="J36" s="104">
        <f>SUM(J20:J35)</f>
        <v>4656.1</v>
      </c>
      <c r="K36" s="104">
        <f>SUM(K20:K35)</f>
        <v>3992.84</v>
      </c>
      <c r="L36" s="104">
        <f>SUM(L20:L35)</f>
        <v>0</v>
      </c>
      <c r="M36" s="104">
        <f>SUM(M20:M35)</f>
        <v>0</v>
      </c>
      <c r="N36" s="104">
        <f>SUM(N20:N35)</f>
        <v>0</v>
      </c>
      <c r="O36" s="104">
        <f>SUM(O20:O35)</f>
        <v>40632.53</v>
      </c>
      <c r="P36" s="104">
        <f>SUM(P20:P35)</f>
        <v>4514.72555555556</v>
      </c>
      <c r="Q36" s="104"/>
    </row>
    <row r="37" spans="2:17" ht="16.5" customHeight="1">
      <c r="B37" s="105" t="s">
        <v>200</v>
      </c>
      <c r="C37" s="106">
        <f>C18-C36</f>
        <v>725.8</v>
      </c>
      <c r="D37" s="106">
        <f>D18-D36</f>
        <v>-202.35</v>
      </c>
      <c r="E37" s="106">
        <f>E18-E36</f>
        <v>706.3</v>
      </c>
      <c r="F37" s="106">
        <f>F18-F36</f>
        <v>-217.54</v>
      </c>
      <c r="G37" s="106">
        <f>G18-G36</f>
        <v>-105.37</v>
      </c>
      <c r="H37" s="106">
        <f>H18-H36</f>
        <v>869.54</v>
      </c>
      <c r="I37" s="106">
        <f>I18-I36</f>
        <v>-1132.66</v>
      </c>
      <c r="J37" s="106">
        <f>J18-J36</f>
        <v>-111.18</v>
      </c>
      <c r="K37" s="106">
        <f>K18-K36</f>
        <v>560.05</v>
      </c>
      <c r="L37" s="106">
        <f>L18-L36</f>
        <v>0</v>
      </c>
      <c r="M37" s="106">
        <f>M18-M36</f>
        <v>0</v>
      </c>
      <c r="N37" s="106">
        <f>N18-N36</f>
        <v>0</v>
      </c>
      <c r="O37" s="106">
        <f>O18-O36</f>
        <v>1092.59</v>
      </c>
    </row>
    <row r="38" spans="2:17" ht="16.5" customHeight="1">
      <c r="B38" s="107" t="s">
        <v>201</v>
      </c>
      <c r="C38" s="106">
        <f>'Config'!$C$12+C37</f>
        <v>3225.8</v>
      </c>
      <c r="D38" s="106">
        <f>C38+D37</f>
        <v>3023.45</v>
      </c>
      <c r="E38" s="106">
        <f>D38+E37</f>
        <v>3729.75</v>
      </c>
      <c r="F38" s="106">
        <f>E38+F37</f>
        <v>3512.21</v>
      </c>
      <c r="G38" s="106">
        <f>F38+G37</f>
        <v>3406.84</v>
      </c>
      <c r="H38" s="106">
        <f>G38+H37</f>
        <v>4276.38</v>
      </c>
      <c r="I38" s="106">
        <f>H38+I37</f>
        <v>3143.72</v>
      </c>
      <c r="J38" s="106">
        <f>I38+J37</f>
        <v>3032.54</v>
      </c>
      <c r="K38" s="106">
        <f>J38+K37</f>
        <v>3592.59</v>
      </c>
      <c r="L38" s="106">
        <f>K38+L37</f>
        <v>3592.59</v>
      </c>
      <c r="M38" s="106">
        <f>L38+M37</f>
        <v>3592.59</v>
      </c>
      <c r="N38" s="106">
        <f>M38+N37</f>
        <v>3592.59</v>
      </c>
      <c r="O38" s="106">
        <f>N38</f>
        <v>3592.59</v>
      </c>
      <c r="P38" s="106"/>
    </row>
    <row r="39" spans="2:17" ht="16.5" customHeight="1">
      <c r="B39" s="107" t="s">
        <v>202</v>
      </c>
      <c r="C39" s="108">
        <f>IF(C18=0,"",(C37+C33)/C18)</f>
        <v>0.258609123680616</v>
      </c>
      <c r="D39" s="108">
        <f>IF(D18=0,"",(D37+D33)/D18)</f>
        <v>0.0544192424155858</v>
      </c>
      <c r="E39" s="108">
        <f>IF(E18=0,"",(E37+E33)/E18)</f>
        <v>0.233847286376469</v>
      </c>
      <c r="F39" s="108">
        <f>IF(F18=0,"",(F37+F33)/F18)</f>
        <v>0.083700083818261</v>
      </c>
      <c r="G39" s="108">
        <f>IF(G18=0,"",(G37+G33)/G18)</f>
        <v>0.108633011363387</v>
      </c>
      <c r="H39" s="108">
        <f>IF(H18=0,"",(H37+H33)/H18)</f>
        <v>0.299783761729906</v>
      </c>
      <c r="I39" s="108">
        <f>IF(I18=0,"",(I37+I33)/I18)</f>
        <v>-0.116796291707871</v>
      </c>
      <c r="J39" s="108">
        <f>IF(J18=0,"",(J37+J33)/J18)</f>
        <v>0.107553048238473</v>
      </c>
      <c r="K39" s="108">
        <f>IF(K18=0,"",(K37+K33)/K18)</f>
        <v>0.25479420763515</v>
      </c>
      <c r="L39" s="108">
        <f>IF(L18=0,"",(L37+L33)/L18)</f>
        <v/>
      </c>
      <c r="M39" s="108">
        <f>IF(M18=0,"",(M37+M33)/M18)</f>
        <v/>
      </c>
      <c r="N39" s="108">
        <f>IF(N18=0,"",(N37+N33)/N18)</f>
        <v/>
      </c>
      <c r="O39" s="108">
        <f>IF(O18=0,"",(O37+O33)/O18)</f>
        <v>0.144818996326434</v>
      </c>
    </row>
    <row r="41" spans="2:17" ht="16.5" customHeight="1">
      <c r="B41" s="109" t="s">
        <v>203</v>
      </c>
    </row>
  </sheetData>
  <mergeCells count="19">
    <mergeCell ref="B1:C1"/>
    <mergeCell ref="D1:F1"/>
    <mergeCell ref="G1:J1"/>
    <mergeCell ref="K1:N1"/>
    <mergeCell ref="O1:Q1"/>
    <mergeCell ref="B2:C2"/>
    <mergeCell ref="D2:F2"/>
    <mergeCell ref="G2:J2"/>
    <mergeCell ref="K2:N2"/>
    <mergeCell ref="O2:Q2"/>
    <mergeCell ref="C3:E3"/>
    <mergeCell ref="F3:H3"/>
    <mergeCell ref="I3:K3"/>
    <mergeCell ref="L3:N3"/>
    <mergeCell ref="O3:Q3"/>
    <mergeCell ref="B5:Q5"/>
    <mergeCell ref="B6:Q6"/>
    <mergeCell ref="B9:Q9"/>
    <mergeCell ref="B19:Q19"/>
  </mergeCells>
  <conditionalFormatting sqref="C10:N17">
    <cfRule type="colorScale" priority="1">
      <colorScale>
        <cfvo type="num" val="0"/>
        <cfvo type="max" val="0"/>
        <color rgb="FFFFFFFF"/>
        <color rgb="FFA7F3D0"/>
      </colorScale>
    </cfRule>
  </conditionalFormatting>
  <conditionalFormatting sqref="C20:N35">
    <cfRule type="colorScale" priority="2">
      <colorScale>
        <cfvo type="num" val="0"/>
        <cfvo type="max" val="0"/>
        <color rgb="FFFFFFFF"/>
        <color rgb="FFFDA4AF"/>
      </colorScale>
    </cfRule>
  </conditionalFormatting>
  <conditionalFormatting sqref="C37:O37">
    <cfRule type="cellIs" dxfId="9" priority="3" operator="lessThan">
      <formula>0</formula>
    </cfRule>
    <cfRule type="cellIs" dxfId="10" priority="4" operator="greaterThan">
      <formula>0</formula>
    </cfRule>
  </conditionalFormatting>
  <conditionalFormatting sqref="C38:O38">
    <cfRule type="cellIs" dxfId="9" priority="5" operator="lessThan">
      <formula>0</formula>
    </cfRule>
    <cfRule type="cellIs" dxfId="10" priority="6" operator="greaterThan">
      <formula>0</formula>
    </cfRule>
  </conditionalFormatting>
  <conditionalFormatting sqref="C39:O39">
    <cfRule type="expression" dxfId="5" priority="7">
      <formula>AND(ISNUMBER(C39),C39&lt;0)</formula>
    </cfRule>
    <cfRule type="expression" dxfId="4" priority="8">
      <formula>AND(ISNUMBER(C39),C39&gt;='Config'!$C$11)</formula>
    </cfRule>
    <cfRule type="expression" dxfId="6" priority="9">
      <formula>AND(ISNUMBER(C39),C39&gt;=0,C39&lt;'Config'!$C$11)</formula>
    </cfRule>
  </conditionalFormatting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K1" location="'Painel Negócio'!A1" display="💼 Painel Negócio"/>
    <hyperlink ref="O1" location="'Config'!A1" display="⚙ Config"/>
    <hyperlink ref="D2" location="'Lanç. Pessoal'!A1" display="📝 Lançamentos"/>
    <hyperlink ref="G2" location="'Orçamento Pessoal'!A1" display="💳 Orçamento"/>
    <hyperlink ref="K2" location="'Resumo Pessoal'!A1" display="📅 Resumo anual"/>
    <hyperlink ref="O2" location="'Metas'!A1" display="🎯 Metas"/>
    <hyperlink ref="C3" location="'Lanç. Negócio'!A1" display="📝 Lançamentos"/>
    <hyperlink ref="F3" location="'Clientes'!A1" display="🤝 Clientes"/>
    <hyperlink ref="I3" location="'Recebimentos'!A1" display="💰 Recebimentos"/>
    <hyperlink ref="L3" location="'Impostos'!A1" display="🧾 Impostos"/>
    <hyperlink ref="O3" location="'Fluxo de Caixa'!A1" display="📈 Fluxo de Caixa"/>
  </hyperlinks>
  <pageMargins left="0.4" right="0.4" top="0.5" bottom="0.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M23"/>
  <sheetViews>
    <sheetView showGridLines="0" workbookViewId="0"/>
  </sheetViews>
  <sheetFormatPr defaultRowHeight="16.5" customHeight="1"/>
  <cols>
    <col min="1" max="1" width="2.7109375" customWidth="1"/>
    <col min="2" max="2" width="28.7109375" customWidth="1"/>
    <col min="3" max="4" width="15.7109375" customWidth="1"/>
    <col min="5" max="5" width="13.7109375" customWidth="1"/>
    <col min="6" max="6" width="16.7109375" customWidth="1"/>
    <col min="7" max="7" width="15.7109375" customWidth="1"/>
    <col min="8" max="8" width="10.7109375" customWidth="1"/>
    <col min="9" max="9" width="22.7109375" customWidth="1"/>
    <col min="10" max="10" width="14.7109375" customWidth="1"/>
    <col min="11" max="11" width="11.7109375" customWidth="1"/>
    <col min="12" max="12" width="17.7109375" customWidth="1"/>
    <col min="13" max="13" width="15.7109375" customWidth="1"/>
  </cols>
  <sheetData>
    <row r="1" spans="2:13" ht="22" customHeight="1">
      <c r="B1" s="3" t="s">
        <v>0</v>
      </c>
      <c r="C1" s="3" t="s">
        <v>1</v>
      </c>
      <c r="D1" s="3"/>
      <c r="E1" s="3"/>
      <c r="F1" s="3" t="s">
        <v>2</v>
      </c>
      <c r="G1" s="3"/>
      <c r="H1" s="3"/>
      <c r="I1" s="3" t="s">
        <v>3</v>
      </c>
      <c r="J1" s="3"/>
      <c r="K1" s="3" t="s">
        <v>4</v>
      </c>
      <c r="L1" s="3"/>
      <c r="M1" s="3"/>
    </row>
    <row r="2" spans="2:13" ht="22" customHeight="1">
      <c r="B2" s="4" t="s">
        <v>5</v>
      </c>
      <c r="C2" s="5" t="s">
        <v>6</v>
      </c>
      <c r="D2" s="5"/>
      <c r="E2" s="5"/>
      <c r="F2" s="5" t="s">
        <v>7</v>
      </c>
      <c r="G2" s="5"/>
      <c r="H2" s="5"/>
      <c r="I2" s="5" t="s">
        <v>8</v>
      </c>
      <c r="J2" s="5"/>
      <c r="K2" s="67" t="s">
        <v>9</v>
      </c>
      <c r="L2" s="67"/>
      <c r="M2" s="67"/>
    </row>
    <row r="3" spans="2:13" ht="22" customHeight="1">
      <c r="B3" s="6" t="s">
        <v>10</v>
      </c>
      <c r="C3" s="7" t="s">
        <v>6</v>
      </c>
      <c r="D3" s="7"/>
      <c r="E3" s="7"/>
      <c r="F3" s="7" t="s">
        <v>11</v>
      </c>
      <c r="G3" s="7"/>
      <c r="H3" s="7" t="s">
        <v>12</v>
      </c>
      <c r="I3" s="7"/>
      <c r="J3" s="7" t="s">
        <v>13</v>
      </c>
      <c r="K3" s="7"/>
      <c r="L3" s="7" t="s">
        <v>14</v>
      </c>
      <c r="M3" s="7"/>
    </row>
    <row r="4" spans="2:13" ht="6" customHeight="1"/>
    <row r="5" spans="2:13" ht="38" customHeight="1">
      <c r="B5" s="41" t="s">
        <v>217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2:13" ht="20" customHeight="1">
      <c r="B6" s="68" t="s">
        <v>218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2:13" ht="32" customHeight="1">
      <c r="B7" s="78" t="s">
        <v>219</v>
      </c>
      <c r="C7" s="74" t="s">
        <v>220</v>
      </c>
      <c r="D7" s="74" t="s">
        <v>221</v>
      </c>
      <c r="E7" s="74" t="s">
        <v>222</v>
      </c>
      <c r="F7" s="74" t="s">
        <v>223</v>
      </c>
      <c r="G7" s="74" t="s">
        <v>224</v>
      </c>
      <c r="H7" s="74" t="s">
        <v>225</v>
      </c>
      <c r="I7" s="74" t="s">
        <v>211</v>
      </c>
      <c r="J7" s="74" t="s">
        <v>226</v>
      </c>
      <c r="K7" s="74" t="s">
        <v>227</v>
      </c>
      <c r="L7" s="74" t="s">
        <v>228</v>
      </c>
      <c r="M7" s="74" t="s">
        <v>212</v>
      </c>
    </row>
    <row r="8" spans="2:13" ht="16.5" customHeight="1">
      <c r="B8" s="110" t="s">
        <v>155</v>
      </c>
      <c r="C8" s="80">
        <v>24000</v>
      </c>
      <c r="D8" s="80">
        <v>6000</v>
      </c>
      <c r="E8" s="111">
        <v>46752</v>
      </c>
      <c r="F8" s="95">
        <f>IF($B8="","",SUMIFS('Lanç. Pessoal'!$F$11:$F$1510,'Lanç. Pessoal'!$H$11:$H$1510,$B8,'Lanç. Pessoal'!$G$11:$G$1510,"Saída")-SUMIFS('Lanç. Pessoal'!$F$11:$F$1510,'Lanç. Pessoal'!$H$11:$H$1510,$B8,'Lanç. Pessoal'!$G$11:$G$1510,"Entrada"))</f>
        <v>2700</v>
      </c>
      <c r="G8" s="96">
        <f>IF($B8="","",N(D8)+F8)</f>
        <v>8700</v>
      </c>
      <c r="H8" s="112">
        <f>IF(OR($B8="",N(C8)=0),"",G8/C8)</f>
        <v>0.3625</v>
      </c>
      <c r="I8" s="113" t="str">
        <f>IF(H8="","",REPT("█",MIN(24,ROUND(H8*20,0))))</f>
        <v>███████</v>
      </c>
      <c r="J8" s="95">
        <f>IF(H8="","",MAX(0,C8-G8))</f>
        <v>15300</v>
      </c>
      <c r="K8" s="114">
        <f>IF(OR($B8="",E8=""),"",MAX(0,(YEAR(E8)-YEAR('Config'!$C$9))*12+MONTH(E8)-MONTH('Config'!$C$9)))</f>
        <v>15</v>
      </c>
      <c r="L8" s="95">
        <f>IF(OR(J8="",K8=""),"",IF(J8=0,0,IF(K8=0,J8,J8/K8)))</f>
        <v>1020</v>
      </c>
      <c r="M8" s="84" t="str">
        <f>IF($B8="","",IF(N(C8)=0,"—",IF(G8&gt;=C8,"✓ Concluída",IF(E8="","Em andamento",IF('Config'!$C$9&gt;E8,"✖ Atrasada","● No prazo")))))</f>
        <v>● No prazo</v>
      </c>
    </row>
    <row r="9" spans="2:13" ht="16.5" customHeight="1">
      <c r="B9" s="110" t="s">
        <v>157</v>
      </c>
      <c r="C9" s="80">
        <v>4000</v>
      </c>
      <c r="D9" s="80">
        <v>0</v>
      </c>
      <c r="E9" s="111">
        <v>46387</v>
      </c>
      <c r="F9" s="95">
        <f>IF($B9="","",SUMIFS('Lanç. Pessoal'!$F$11:$F$1510,'Lanç. Pessoal'!$H$11:$H$1510,$B9,'Lanç. Pessoal'!$G$11:$G$1510,"Saída")-SUMIFS('Lanç. Pessoal'!$F$11:$F$1510,'Lanç. Pessoal'!$H$11:$H$1510,$B9,'Lanç. Pessoal'!$G$11:$G$1510,"Entrada"))</f>
        <v>1350</v>
      </c>
      <c r="G9" s="96">
        <f>IF($B9="","",N(D9)+F9)</f>
        <v>1350</v>
      </c>
      <c r="H9" s="112">
        <f>IF(OR($B9="",N(C9)=0),"",G9/C9)</f>
        <v>0.3375</v>
      </c>
      <c r="I9" s="113" t="str">
        <f>IF(H9="","",REPT("█",MIN(24,ROUND(H9*20,0))))</f>
        <v>███████</v>
      </c>
      <c r="J9" s="95">
        <f>IF(H9="","",MAX(0,C9-G9))</f>
        <v>2650</v>
      </c>
      <c r="K9" s="114">
        <f>IF(OR($B9="",E9=""),"",MAX(0,(YEAR(E9)-YEAR('Config'!$C$9))*12+MONTH(E9)-MONTH('Config'!$C$9)))</f>
        <v>3</v>
      </c>
      <c r="L9" s="95">
        <f>IF(OR(J9="",K9=""),"",IF(J9=0,0,IF(K9=0,J9,J9/K9)))</f>
        <v>883.333333333333</v>
      </c>
      <c r="M9" s="84" t="str">
        <f>IF($B9="","",IF(N(C9)=0,"—",IF(G9&gt;=C9,"✓ Concluída",IF(E9="","Em andamento",IF('Config'!$C$9&gt;E9,"✖ Atrasada","● No prazo")))))</f>
        <v>● No prazo</v>
      </c>
    </row>
    <row r="10" spans="2:13" ht="16.5" customHeight="1">
      <c r="B10" s="110" t="s">
        <v>184</v>
      </c>
      <c r="C10" s="80">
        <v>6000</v>
      </c>
      <c r="D10" s="80">
        <v>500</v>
      </c>
      <c r="E10" s="111">
        <v>46568</v>
      </c>
      <c r="F10" s="95">
        <f>IF($B10="","",SUMIFS('Lanç. Pessoal'!$F$11:$F$1510,'Lanç. Pessoal'!$H$11:$H$1510,$B10,'Lanç. Pessoal'!$G$11:$G$1510,"Saída")-SUMIFS('Lanç. Pessoal'!$F$11:$F$1510,'Lanç. Pessoal'!$H$11:$H$1510,$B10,'Lanç. Pessoal'!$G$11:$G$1510,"Entrada"))</f>
        <v>900</v>
      </c>
      <c r="G10" s="96">
        <f>IF($B10="","",N(D10)+F10)</f>
        <v>1400</v>
      </c>
      <c r="H10" s="112">
        <f>IF(OR($B10="",N(C10)=0),"",G10/C10)</f>
        <v>0.233333333333333</v>
      </c>
      <c r="I10" s="113" t="str">
        <f>IF(H10="","",REPT("█",MIN(24,ROUND(H10*20,0))))</f>
        <v>█████</v>
      </c>
      <c r="J10" s="95">
        <f>IF(H10="","",MAX(0,C10-G10))</f>
        <v>4600</v>
      </c>
      <c r="K10" s="114">
        <f>IF(OR($B10="",E10=""),"",MAX(0,(YEAR(E10)-YEAR('Config'!$C$9))*12+MONTH(E10)-MONTH('Config'!$C$9)))</f>
        <v>9</v>
      </c>
      <c r="L10" s="95">
        <f>IF(OR(J10="",K10=""),"",IF(J10=0,0,IF(K10=0,J10,J10/K10)))</f>
        <v>511.111111111111</v>
      </c>
      <c r="M10" s="84" t="str">
        <f>IF($B10="","",IF(N(C10)=0,"—",IF(G10&gt;=C10,"✓ Concluída",IF(E10="","Em andamento",IF('Config'!$C$9&gt;E10,"✖ Atrasada","● No prazo")))))</f>
        <v>● No prazo</v>
      </c>
    </row>
    <row r="11" spans="2:13" ht="16.5" customHeight="1">
      <c r="B11" s="110"/>
      <c r="C11" s="80"/>
      <c r="D11" s="80"/>
      <c r="E11" s="111"/>
      <c r="F11" s="95">
        <f>IF($B11="","",SUMIFS('Lanç. Pessoal'!$F$11:$F$1510,'Lanç. Pessoal'!$H$11:$H$1510,$B11,'Lanç. Pessoal'!$G$11:$G$1510,"Saída")-SUMIFS('Lanç. Pessoal'!$F$11:$F$1510,'Lanç. Pessoal'!$H$11:$H$1510,$B11,'Lanç. Pessoal'!$G$11:$G$1510,"Entrada"))</f>
        <v/>
      </c>
      <c r="G11" s="96">
        <f>IF($B11="","",N(D11)+F11)</f>
        <v/>
      </c>
      <c r="H11" s="112">
        <f>IF(OR($B11="",N(C11)=0),"",G11/C11)</f>
        <v/>
      </c>
      <c r="I11" s="113">
        <f>IF(H11="","",REPT("█",MIN(24,ROUND(H11*20,0))))</f>
        <v/>
      </c>
      <c r="J11" s="95">
        <f>IF(H11="","",MAX(0,C11-G11))</f>
        <v/>
      </c>
      <c r="K11" s="114">
        <f>IF(OR($B11="",E11=""),"",MAX(0,(YEAR(E11)-YEAR('Config'!$C$9))*12+MONTH(E11)-MONTH('Config'!$C$9)))</f>
        <v/>
      </c>
      <c r="L11" s="95">
        <f>IF(OR(J11="",K11=""),"",IF(J11=0,0,IF(K11=0,J11,J11/K11)))</f>
        <v/>
      </c>
      <c r="M11" s="84">
        <f>IF($B11="","",IF(N(C11)=0,"—",IF(G11&gt;=C11,"✓ Concluída",IF(E11="","Em andamento",IF('Config'!$C$9&gt;E11,"✖ Atrasada","● No prazo")))))</f>
        <v/>
      </c>
    </row>
    <row r="12" spans="2:13" ht="16.5" customHeight="1">
      <c r="B12" s="110"/>
      <c r="C12" s="80"/>
      <c r="D12" s="80"/>
      <c r="E12" s="111"/>
      <c r="F12" s="95">
        <f>IF($B12="","",SUMIFS('Lanç. Pessoal'!$F$11:$F$1510,'Lanç. Pessoal'!$H$11:$H$1510,$B12,'Lanç. Pessoal'!$G$11:$G$1510,"Saída")-SUMIFS('Lanç. Pessoal'!$F$11:$F$1510,'Lanç. Pessoal'!$H$11:$H$1510,$B12,'Lanç. Pessoal'!$G$11:$G$1510,"Entrada"))</f>
        <v/>
      </c>
      <c r="G12" s="96">
        <f>IF($B12="","",N(D12)+F12)</f>
        <v/>
      </c>
      <c r="H12" s="112">
        <f>IF(OR($B12="",N(C12)=0),"",G12/C12)</f>
        <v/>
      </c>
      <c r="I12" s="113">
        <f>IF(H12="","",REPT("█",MIN(24,ROUND(H12*20,0))))</f>
        <v/>
      </c>
      <c r="J12" s="95">
        <f>IF(H12="","",MAX(0,C12-G12))</f>
        <v/>
      </c>
      <c r="K12" s="114">
        <f>IF(OR($B12="",E12=""),"",MAX(0,(YEAR(E12)-YEAR('Config'!$C$9))*12+MONTH(E12)-MONTH('Config'!$C$9)))</f>
        <v/>
      </c>
      <c r="L12" s="95">
        <f>IF(OR(J12="",K12=""),"",IF(J12=0,0,IF(K12=0,J12,J12/K12)))</f>
        <v/>
      </c>
      <c r="M12" s="84">
        <f>IF($B12="","",IF(N(C12)=0,"—",IF(G12&gt;=C12,"✓ Concluída",IF(E12="","Em andamento",IF('Config'!$C$9&gt;E12,"✖ Atrasada","● No prazo")))))</f>
        <v/>
      </c>
    </row>
    <row r="13" spans="2:13" ht="16.5" customHeight="1">
      <c r="B13" s="110"/>
      <c r="C13" s="80"/>
      <c r="D13" s="80"/>
      <c r="E13" s="111"/>
      <c r="F13" s="95">
        <f>IF($B13="","",SUMIFS('Lanç. Pessoal'!$F$11:$F$1510,'Lanç. Pessoal'!$H$11:$H$1510,$B13,'Lanç. Pessoal'!$G$11:$G$1510,"Saída")-SUMIFS('Lanç. Pessoal'!$F$11:$F$1510,'Lanç. Pessoal'!$H$11:$H$1510,$B13,'Lanç. Pessoal'!$G$11:$G$1510,"Entrada"))</f>
        <v/>
      </c>
      <c r="G13" s="96">
        <f>IF($B13="","",N(D13)+F13)</f>
        <v/>
      </c>
      <c r="H13" s="112">
        <f>IF(OR($B13="",N(C13)=0),"",G13/C13)</f>
        <v/>
      </c>
      <c r="I13" s="113">
        <f>IF(H13="","",REPT("█",MIN(24,ROUND(H13*20,0))))</f>
        <v/>
      </c>
      <c r="J13" s="95">
        <f>IF(H13="","",MAX(0,C13-G13))</f>
        <v/>
      </c>
      <c r="K13" s="114">
        <f>IF(OR($B13="",E13=""),"",MAX(0,(YEAR(E13)-YEAR('Config'!$C$9))*12+MONTH(E13)-MONTH('Config'!$C$9)))</f>
        <v/>
      </c>
      <c r="L13" s="95">
        <f>IF(OR(J13="",K13=""),"",IF(J13=0,0,IF(K13=0,J13,J13/K13)))</f>
        <v/>
      </c>
      <c r="M13" s="84">
        <f>IF($B13="","",IF(N(C13)=0,"—",IF(G13&gt;=C13,"✓ Concluída",IF(E13="","Em andamento",IF('Config'!$C$9&gt;E13,"✖ Atrasada","● No prazo")))))</f>
        <v/>
      </c>
    </row>
    <row r="14" spans="2:13" ht="16.5" customHeight="1">
      <c r="B14" s="110"/>
      <c r="C14" s="80"/>
      <c r="D14" s="80"/>
      <c r="E14" s="111"/>
      <c r="F14" s="95">
        <f>IF($B14="","",SUMIFS('Lanç. Pessoal'!$F$11:$F$1510,'Lanç. Pessoal'!$H$11:$H$1510,$B14,'Lanç. Pessoal'!$G$11:$G$1510,"Saída")-SUMIFS('Lanç. Pessoal'!$F$11:$F$1510,'Lanç. Pessoal'!$H$11:$H$1510,$B14,'Lanç. Pessoal'!$G$11:$G$1510,"Entrada"))</f>
        <v/>
      </c>
      <c r="G14" s="96">
        <f>IF($B14="","",N(D14)+F14)</f>
        <v/>
      </c>
      <c r="H14" s="112">
        <f>IF(OR($B14="",N(C14)=0),"",G14/C14)</f>
        <v/>
      </c>
      <c r="I14" s="113">
        <f>IF(H14="","",REPT("█",MIN(24,ROUND(H14*20,0))))</f>
        <v/>
      </c>
      <c r="J14" s="95">
        <f>IF(H14="","",MAX(0,C14-G14))</f>
        <v/>
      </c>
      <c r="K14" s="114">
        <f>IF(OR($B14="",E14=""),"",MAX(0,(YEAR(E14)-YEAR('Config'!$C$9))*12+MONTH(E14)-MONTH('Config'!$C$9)))</f>
        <v/>
      </c>
      <c r="L14" s="95">
        <f>IF(OR(J14="",K14=""),"",IF(J14=0,0,IF(K14=0,J14,J14/K14)))</f>
        <v/>
      </c>
      <c r="M14" s="84">
        <f>IF($B14="","",IF(N(C14)=0,"—",IF(G14&gt;=C14,"✓ Concluída",IF(E14="","Em andamento",IF('Config'!$C$9&gt;E14,"✖ Atrasada","● No prazo")))))</f>
        <v/>
      </c>
    </row>
    <row r="15" spans="2:13" ht="16.5" customHeight="1">
      <c r="B15" s="110"/>
      <c r="C15" s="80"/>
      <c r="D15" s="80"/>
      <c r="E15" s="111"/>
      <c r="F15" s="95">
        <f>IF($B15="","",SUMIFS('Lanç. Pessoal'!$F$11:$F$1510,'Lanç. Pessoal'!$H$11:$H$1510,$B15,'Lanç. Pessoal'!$G$11:$G$1510,"Saída")-SUMIFS('Lanç. Pessoal'!$F$11:$F$1510,'Lanç. Pessoal'!$H$11:$H$1510,$B15,'Lanç. Pessoal'!$G$11:$G$1510,"Entrada"))</f>
        <v/>
      </c>
      <c r="G15" s="96">
        <f>IF($B15="","",N(D15)+F15)</f>
        <v/>
      </c>
      <c r="H15" s="112">
        <f>IF(OR($B15="",N(C15)=0),"",G15/C15)</f>
        <v/>
      </c>
      <c r="I15" s="113">
        <f>IF(H15="","",REPT("█",MIN(24,ROUND(H15*20,0))))</f>
        <v/>
      </c>
      <c r="J15" s="95">
        <f>IF(H15="","",MAX(0,C15-G15))</f>
        <v/>
      </c>
      <c r="K15" s="114">
        <f>IF(OR($B15="",E15=""),"",MAX(0,(YEAR(E15)-YEAR('Config'!$C$9))*12+MONTH(E15)-MONTH('Config'!$C$9)))</f>
        <v/>
      </c>
      <c r="L15" s="95">
        <f>IF(OR(J15="",K15=""),"",IF(J15=0,0,IF(K15=0,J15,J15/K15)))</f>
        <v/>
      </c>
      <c r="M15" s="84">
        <f>IF($B15="","",IF(N(C15)=0,"—",IF(G15&gt;=C15,"✓ Concluída",IF(E15="","Em andamento",IF('Config'!$C$9&gt;E15,"✖ Atrasada","● No prazo")))))</f>
        <v/>
      </c>
    </row>
    <row r="17" spans="2:5" ht="16.5" customHeight="1">
      <c r="B17" s="47" t="s">
        <v>229</v>
      </c>
      <c r="C17" s="47"/>
      <c r="D17" s="47"/>
      <c r="E17" s="47"/>
    </row>
    <row r="18" spans="2:5" ht="16.5" customHeight="1">
      <c r="B18" s="85" t="s">
        <v>230</v>
      </c>
      <c r="C18" s="85"/>
      <c r="D18" s="115">
        <v>6</v>
      </c>
    </row>
    <row r="19" spans="2:5" ht="16.5" customHeight="1">
      <c r="B19" s="85" t="s">
        <v>231</v>
      </c>
      <c r="C19" s="85"/>
      <c r="D19" s="116">
        <f>IFERROR('Resumo Pessoal'!$O$36/'Dados'!$C$11,0)</f>
        <v>4514.72555555556</v>
      </c>
    </row>
    <row r="20" spans="2:5" ht="16.5" customHeight="1">
      <c r="B20" s="85" t="s">
        <v>232</v>
      </c>
      <c r="C20" s="85"/>
      <c r="D20" s="116">
        <f>D18*D19</f>
        <v>27088.3533333333</v>
      </c>
    </row>
    <row r="21" spans="2:5" ht="16.5" customHeight="1">
      <c r="B21" s="85" t="s">
        <v>233</v>
      </c>
      <c r="C21" s="85"/>
      <c r="D21" s="116">
        <f>SUM(G8:G15)</f>
        <v>11450</v>
      </c>
    </row>
    <row r="23" spans="2:5" ht="16.5" customHeight="1">
      <c r="B23" s="117" t="s">
        <v>234</v>
      </c>
    </row>
  </sheetData>
  <mergeCells count="20">
    <mergeCell ref="C1:E1"/>
    <mergeCell ref="F1:H1"/>
    <mergeCell ref="I1:J1"/>
    <mergeCell ref="K1:M1"/>
    <mergeCell ref="C2:E2"/>
    <mergeCell ref="F2:H2"/>
    <mergeCell ref="I2:J2"/>
    <mergeCell ref="K2:M2"/>
    <mergeCell ref="C3:E3"/>
    <mergeCell ref="F3:G3"/>
    <mergeCell ref="H3:I3"/>
    <mergeCell ref="J3:K3"/>
    <mergeCell ref="L3:M3"/>
    <mergeCell ref="B5:M5"/>
    <mergeCell ref="B6:M6"/>
    <mergeCell ref="B17:E17"/>
    <mergeCell ref="B18:C18"/>
    <mergeCell ref="B19:C19"/>
    <mergeCell ref="B20:C20"/>
    <mergeCell ref="B21:C21"/>
  </mergeCells>
  <conditionalFormatting sqref="I8:I15">
    <cfRule type="expression" dxfId="11" priority="4">
      <formula>AND(ISNUMBER(H8),H8&gt;=1)</formula>
    </cfRule>
    <cfRule type="expression" dxfId="12" priority="5">
      <formula>AND(ISNUMBER(H8),H8&lt;0.34)</formula>
    </cfRule>
  </conditionalFormatting>
  <conditionalFormatting sqref="M8:M15">
    <cfRule type="containsText" dxfId="4" priority="1" operator="containsText" text="Concluída">
      <formula>NOT(ISERROR(SEARCH("Concluída",M8)))</formula>
    </cfRule>
    <cfRule type="containsText" dxfId="5" priority="2" operator="containsText" text="Atrasada">
      <formula>NOT(ISERROR(SEARCH("Atrasada",M8)))</formula>
    </cfRule>
    <cfRule type="containsText" dxfId="13" priority="3" operator="containsText" text="No prazo">
      <formula>NOT(ISERROR(SEARCH("No prazo",M8)))</formula>
    </cfRule>
  </conditionalFormatting>
  <dataValidations count="2">
    <dataValidation type="decimal" operator="greaterThanOrEqual" allowBlank="1" showInputMessage="1" showErrorMessage="1" error="Digite um valor maior ou igual a zero." sqref="C8:D15">
      <formula1>0</formula1>
    </dataValidation>
    <dataValidation type="date" operator="greaterThan" allowBlank="1" showInputMessage="1" showErrorMessage="1" error="Digite uma data válida, ex.: 31/12/2027." sqref="E8:E15">
      <formula1>36526</formula1>
    </dataValidation>
  </dataValidations>
  <hyperlinks>
    <hyperlink ref="B1" location="'Início'!A1" display="🏠 Início"/>
    <hyperlink ref="C1" location="'Painel Geral'!A1" display="📊 Painel Geral"/>
    <hyperlink ref="F1" location="'Painel Pessoal'!A1" display="👤 Painel Pessoal"/>
    <hyperlink ref="I1" location="'Painel Negócio'!A1" display="💼 Painel Negócio"/>
    <hyperlink ref="K1" location="'Config'!A1" display="⚙ Config"/>
    <hyperlink ref="C2" location="'Lanç. Pessoal'!A1" display="📝 Lançamentos"/>
    <hyperlink ref="F2" location="'Orçamento Pessoal'!A1" display="💳 Orçamento"/>
    <hyperlink ref="I2" location="'Resumo Pessoal'!A1" display="📅 Resumo anual"/>
    <hyperlink ref="K2" location="'Metas'!A1" display="🎯 Metas"/>
    <hyperlink ref="C3" location="'Lanç. Negócio'!A1" display="📝 Lançamentos"/>
    <hyperlink ref="F3" location="'Clientes'!A1" display="🤝 Clientes"/>
    <hyperlink ref="H3" location="'Recebimentos'!A1" display="💰 Recebimentos"/>
    <hyperlink ref="J3" location="'Impostos'!A1" display="🧾 Impostos"/>
    <hyperlink ref="L3" location="'Fluxo de Caixa'!A1" display="📈 Fluxo de Caixa"/>
  </hyperlinks>
  <pageMargins left="0.4" right="0.4" top="0.5" bottom="0.5" header="0.3" footer="0.3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I1510"/>
  <sheetViews>
    <sheetView showGridLines="0" workbookViewId="0">
      <pane ySplit="10" topLeftCell="A11" activePane="bottomLeft" state="frozen"/>
      <selection pane="bottomLeft"/>
    </sheetView>
  </sheetViews>
  <sheetFormatPr defaultRowHeight="16.5" customHeight="1"/>
  <cols>
    <col min="1" max="1" width="2.7109375" customWidth="1"/>
    <col min="2" max="2" width="12.7109375" style="63" customWidth="1"/>
    <col min="3" max="3" width="36.7109375" style="64" customWidth="1"/>
    <col min="4" max="4" width="28.7109375" style="64" customWidth="1"/>
    <col min="5" max="5" width="19.7109375" style="64" customWidth="1"/>
    <col min="6" max="6" width="15.7109375" style="65" customWidth="1"/>
    <col min="7" max="7" width="11.7109375" style="66" customWidth="1"/>
    <col min="8" max="8" width="24.7109375" style="64" customWidth="1"/>
    <col min="9" max="9" width="32.7109375" style="64" customWidth="1"/>
  </cols>
  <sheetData>
    <row r="1" spans="2:9" ht="22" customHeight="1">
      <c r="B1" s="3" t="s">
        <v>0</v>
      </c>
      <c r="C1" s="3"/>
      <c r="D1" s="3" t="s">
        <v>1</v>
      </c>
      <c r="E1" s="3" t="s">
        <v>2</v>
      </c>
      <c r="F1" s="3"/>
      <c r="G1" s="3" t="s">
        <v>3</v>
      </c>
      <c r="H1" s="3"/>
      <c r="I1" s="3" t="s">
        <v>4</v>
      </c>
    </row>
    <row r="2" spans="2:9" ht="22" customHeight="1">
      <c r="B2" s="4" t="s">
        <v>5</v>
      </c>
      <c r="C2" s="4"/>
      <c r="D2" s="5" t="s">
        <v>6</v>
      </c>
      <c r="E2" s="5" t="s">
        <v>7</v>
      </c>
      <c r="F2" s="5"/>
      <c r="G2" s="5" t="s">
        <v>8</v>
      </c>
      <c r="H2" s="5"/>
      <c r="I2" s="5" t="s">
        <v>9</v>
      </c>
    </row>
    <row r="3" spans="2:9" ht="22" customHeight="1">
      <c r="B3" s="6" t="s">
        <v>10</v>
      </c>
      <c r="C3" s="118" t="s">
        <v>6</v>
      </c>
      <c r="D3" s="7" t="s">
        <v>11</v>
      </c>
      <c r="E3" s="7" t="s">
        <v>12</v>
      </c>
      <c r="F3" s="7"/>
      <c r="G3" s="7" t="s">
        <v>13</v>
      </c>
      <c r="H3" s="7"/>
      <c r="I3" s="7" t="s">
        <v>14</v>
      </c>
    </row>
    <row r="4" spans="2:9" ht="6" customHeight="1"/>
    <row r="5" spans="2:9" ht="38" customHeight="1">
      <c r="B5" s="54" t="s">
        <v>250</v>
      </c>
      <c r="C5" s="54"/>
      <c r="D5" s="54"/>
      <c r="E5" s="54"/>
      <c r="F5" s="54"/>
      <c r="G5" s="54"/>
      <c r="H5" s="54"/>
      <c r="I5" s="54"/>
    </row>
    <row r="6" spans="2:9" ht="20" customHeight="1">
      <c r="B6" s="68" t="s">
        <v>251</v>
      </c>
      <c r="C6" s="68"/>
      <c r="D6" s="68"/>
      <c r="E6" s="68"/>
      <c r="F6" s="68"/>
      <c r="G6" s="68"/>
      <c r="H6" s="68"/>
      <c r="I6" s="68"/>
    </row>
    <row r="7" spans="2:9" ht="16" customHeight="1">
      <c r="B7" s="119" t="s">
        <v>252</v>
      </c>
      <c r="C7" s="119"/>
      <c r="D7" s="119" t="s">
        <v>253</v>
      </c>
      <c r="E7" s="119" t="s">
        <v>254</v>
      </c>
      <c r="F7" s="119"/>
      <c r="G7" s="119" t="s">
        <v>142</v>
      </c>
      <c r="H7" s="119"/>
      <c r="I7" s="119"/>
    </row>
    <row r="8" spans="2:9" ht="26" customHeight="1">
      <c r="B8" s="70">
        <f>SUMIFS('Lanç. Negócio'!$F$11:$F$1510,'Lanç. Negócio'!$G$11:$G$1510,"Entrada",'Lanç. Negócio'!$B$11:$B$1510,"&gt;="&amp;DATE('Config'!$C$8,1,1),'Lanç. Negócio'!$B$11:$B$1510,"&lt;"&amp;DATE('Config'!$C$8+1,1,1))</f>
        <v>978.59</v>
      </c>
      <c r="C8" s="70"/>
      <c r="D8" s="71">
        <f>SUMIFS('Lanç. Negócio'!$F$11:$F$1510,'Lanç. Negócio'!$G$11:$G$1510,"Saída",'Lanç. Negócio'!$B$11:$B$1510,"&gt;="&amp;DATE('Config'!$C$8,1,1),'Lanç. Negócio'!$B$11:$B$1510,"&lt;"&amp;DATE('Config'!$C$8+1,1,1))-SUMIFS('Lanç. Negócio'!$F$11:$F$1510,'Lanç. Negócio'!$D$11:$D$1510,'Config'!$P$8,'Lanç. Negócio'!$B$11:$B$1510,"&gt;="&amp;DATE('Config'!$C$8,1,1),'Lanç. Negócio'!$B$11:$B$1510,"&lt;"&amp;DATE('Config'!$C$8+1,1,1))</f>
        <v>15138.01</v>
      </c>
      <c r="E8" s="72">
        <f>SUMIFS('Lanç. Negócio'!$F$11:$F$1510,'Lanç. Negócio'!$D$11:$D$1510,'Config'!$P$8,'Lanç. Negócio'!$B$11:$B$1510,"&gt;="&amp;DATE('Config'!$C$8,1,1),'Lanç. Negócio'!$B$11:$B$1510,"&lt;"&amp;DATE('Config'!$C$8+1,1,1))</f>
        <v>40500</v>
      </c>
      <c r="F8" s="72"/>
      <c r="G8" s="73" t="str">
        <f>IF(SUMPRODUCT(('Lanç. Negócio'!$F$11:$F$1510&gt;0)*('Lanç. Negócio'!$D$11:$D$1510=""))&gt;0,"⚠ "&amp;SUMPRODUCT(('Lanç. Negócio'!$F$11:$F$1510&gt;0)*('Lanç. Negócio'!$D$11:$D$1510=""))&amp;" lançamento(s) sem categoria — não entram nos painéis",IF(COUNTIF('Lanç. Negócio'!$G$11:$G$1510,"Verificar")&gt;0,"⚠ "&amp;COUNTIF('Lanç. Negócio'!$G$11:$G$1510,"Verificar")&amp;" lançamento(s) com categoria inválida (coluna Tipo = Verificar)",IF((COUNT('Lanç. Negócio'!$F$11:$F$1510)-COUNTIFS('Lanç. Negócio'!$B$11:$B$1510,"&gt;="&amp;DATE('Config'!$C$8,1,1),'Lanç. Negócio'!$B$11:$B$1510,"&lt;"&amp;DATE('Config'!$C$8+1,1,1),'Lanç. Negócio'!$F$11:$F$1510,"&gt;0"))&gt;0,"⚠ "&amp;(COUNT('Lanç. Negócio'!$F$11:$F$1510)-COUNTIFS('Lanç. Negócio'!$B$11:$B$1510,"&gt;="&amp;DATE('Config'!$C$8,1,1),'Lanç. Negócio'!$B$11:$B$1510,"&lt;"&amp;DATE('Config'!$C$8+1,1,1),'Lanç. Negócio'!$F$11:$F$1510,"&gt;0"))&amp;" lançamento(s) sem data ou fora de "&amp;'Config'!$C$8&amp;" — não entram nos painéis","✓ Tudo certo: "&amp;COUNT('Lanç. Negócio'!$F$11:$F$1510)&amp;" lançamento(s) registrados")))</f>
        <v>✓ Tudo certo: 93 lançamento(s) registrados</v>
      </c>
      <c r="H8" s="73"/>
      <c r="I8" s="73"/>
    </row>
    <row r="9" spans="2:9" ht="6" customHeight="1"/>
    <row r="10" spans="2:9" ht="28" customHeight="1">
      <c r="B10" s="120" t="s">
        <v>143</v>
      </c>
      <c r="C10" s="120" t="s">
        <v>144</v>
      </c>
      <c r="D10" s="120" t="s">
        <v>131</v>
      </c>
      <c r="E10" s="120" t="s">
        <v>145</v>
      </c>
      <c r="F10" s="120" t="s">
        <v>146</v>
      </c>
      <c r="G10" s="120" t="s">
        <v>147</v>
      </c>
      <c r="H10" s="120" t="s">
        <v>255</v>
      </c>
      <c r="I10" s="120" t="s">
        <v>149</v>
      </c>
    </row>
    <row r="11" spans="2:9" ht="16.5" customHeight="1">
      <c r="B11" s="63">
        <v>46024</v>
      </c>
      <c r="C11" s="64" t="s">
        <v>256</v>
      </c>
      <c r="D11" s="64" t="s">
        <v>73</v>
      </c>
      <c r="E11" s="64" t="s">
        <v>56</v>
      </c>
      <c r="F11" s="65">
        <v>124</v>
      </c>
      <c r="G11" s="66" t="str">
        <f>IF($D11="","",IF(COUNTIF('Config'!$N$8:$N$15,$D11)&gt;0,"Entrada",IF(COUNTIF('Config'!$P$8:$P$23,$D11)&gt;0,"Saída","Verificar")))</f>
        <v>Saída</v>
      </c>
    </row>
    <row r="12" spans="2:9" ht="16.5" customHeight="1">
      <c r="B12" s="63">
        <v>46024</v>
      </c>
      <c r="C12" s="64" t="s">
        <v>257</v>
      </c>
      <c r="D12" s="64" t="s">
        <v>73</v>
      </c>
      <c r="E12" s="64" t="s">
        <v>56</v>
      </c>
      <c r="F12" s="65">
        <v>34.9</v>
      </c>
      <c r="G12" s="66" t="str">
        <f>IF($D12="","",IF(COUNTIF('Config'!$N$8:$N$15,$D12)&gt;0,"Entrada",IF(COUNTIF('Config'!$P$8:$P$23,$D12)&gt;0,"Saída","Verificar")))</f>
        <v>Saída</v>
      </c>
    </row>
    <row r="13" spans="2:9" ht="16.5" customHeight="1">
      <c r="B13" s="63">
        <v>46027</v>
      </c>
      <c r="C13" s="64" t="s">
        <v>258</v>
      </c>
      <c r="D13" s="64" t="s">
        <v>71</v>
      </c>
      <c r="E13" s="64" t="s">
        <v>59</v>
      </c>
      <c r="F13" s="65">
        <v>4500</v>
      </c>
      <c r="G13" s="66" t="str">
        <f>IF($D13="","",IF(COUNTIF('Config'!$N$8:$N$15,$D13)&gt;0,"Entrada",IF(COUNTIF('Config'!$P$8:$P$23,$D13)&gt;0,"Saída","Verificar")))</f>
        <v>Saída</v>
      </c>
      <c r="I13" s="64" t="s">
        <v>259</v>
      </c>
    </row>
    <row r="14" spans="2:9" ht="16.5" customHeight="1">
      <c r="B14" s="63">
        <v>46032</v>
      </c>
      <c r="C14" s="64" t="s">
        <v>260</v>
      </c>
      <c r="D14" s="64" t="s">
        <v>78</v>
      </c>
      <c r="E14" s="64" t="s">
        <v>58</v>
      </c>
      <c r="F14" s="65">
        <v>450</v>
      </c>
      <c r="G14" s="66" t="str">
        <f>IF($D14="","",IF(COUNTIF('Config'!$N$8:$N$15,$D14)&gt;0,"Entrada",IF(COUNTIF('Config'!$P$8:$P$23,$D14)&gt;0,"Saída","Verificar")))</f>
        <v>Saída</v>
      </c>
    </row>
    <row r="15" spans="2:9" ht="16.5" customHeight="1">
      <c r="B15" s="63">
        <v>46034</v>
      </c>
      <c r="C15" s="64" t="s">
        <v>261</v>
      </c>
      <c r="D15" s="64" t="s">
        <v>73</v>
      </c>
      <c r="E15" s="64" t="s">
        <v>56</v>
      </c>
      <c r="F15" s="65">
        <v>59.9</v>
      </c>
      <c r="G15" s="66" t="str">
        <f>IF($D15="","",IF(COUNTIF('Config'!$N$8:$N$15,$D15)&gt;0,"Entrada",IF(COUNTIF('Config'!$P$8:$P$23,$D15)&gt;0,"Saída","Verificar")))</f>
        <v>Saída</v>
      </c>
    </row>
    <row r="16" spans="2:9" ht="16.5" customHeight="1">
      <c r="B16" s="63">
        <v>46037</v>
      </c>
      <c r="C16" s="64" t="s">
        <v>262</v>
      </c>
      <c r="D16" s="64" t="s">
        <v>79</v>
      </c>
      <c r="E16" s="64" t="s">
        <v>60</v>
      </c>
      <c r="F16" s="65">
        <v>140</v>
      </c>
      <c r="G16" s="66" t="str">
        <f>IF($D16="","",IF(COUNTIF('Config'!$N$8:$N$15,$D16)&gt;0,"Entrada",IF(COUNTIF('Config'!$P$8:$P$23,$D16)&gt;0,"Saída","Verificar")))</f>
        <v>Saída</v>
      </c>
    </row>
    <row r="17" spans="2:9" ht="16.5" customHeight="1">
      <c r="B17" s="63">
        <v>46038</v>
      </c>
      <c r="C17" s="64" t="s">
        <v>263</v>
      </c>
      <c r="D17" s="64" t="s">
        <v>74</v>
      </c>
      <c r="E17" s="64" t="s">
        <v>56</v>
      </c>
      <c r="F17" s="65">
        <v>247.43</v>
      </c>
      <c r="G17" s="66" t="str">
        <f>IF($D17="","",IF(COUNTIF('Config'!$N$8:$N$15,$D17)&gt;0,"Entrada",IF(COUNTIF('Config'!$P$8:$P$23,$D17)&gt;0,"Saída","Verificar")))</f>
        <v>Saída</v>
      </c>
    </row>
    <row r="18" spans="2:9" ht="16.5" customHeight="1">
      <c r="B18" s="63">
        <v>46042</v>
      </c>
      <c r="C18" s="64" t="s">
        <v>264</v>
      </c>
      <c r="D18" s="64" t="s">
        <v>85</v>
      </c>
      <c r="E18" s="64" t="s">
        <v>56</v>
      </c>
      <c r="F18" s="65">
        <v>380</v>
      </c>
      <c r="G18" s="66" t="str">
        <f>IF($D18="","",IF(COUNTIF('Config'!$N$8:$N$15,$D18)&gt;0,"Entrada",IF(COUNTIF('Config'!$P$8:$P$23,$D18)&gt;0,"Saída","Verificar")))</f>
        <v>Saída</v>
      </c>
    </row>
    <row r="19" spans="2:9" ht="16.5" customHeight="1">
      <c r="B19" s="63">
        <v>46043</v>
      </c>
      <c r="C19" s="64" t="s">
        <v>265</v>
      </c>
      <c r="D19" s="64" t="s">
        <v>76</v>
      </c>
      <c r="E19" s="64" t="s">
        <v>56</v>
      </c>
      <c r="F19" s="65">
        <v>117.27</v>
      </c>
      <c r="G19" s="66" t="str">
        <f>IF($D19="","",IF(COUNTIF('Config'!$N$8:$N$15,$D19)&gt;0,"Entrada",IF(COUNTIF('Config'!$P$8:$P$23,$D19)&gt;0,"Saída","Verificar")))</f>
        <v>Saída</v>
      </c>
    </row>
    <row r="20" spans="2:9" ht="16.5" customHeight="1">
      <c r="B20" s="63">
        <v>46050</v>
      </c>
      <c r="C20" s="64" t="s">
        <v>266</v>
      </c>
      <c r="D20" s="64" t="s">
        <v>81</v>
      </c>
      <c r="E20" s="64" t="s">
        <v>60</v>
      </c>
      <c r="F20" s="65">
        <v>25.69</v>
      </c>
      <c r="G20" s="66" t="str">
        <f>IF($D20="","",IF(COUNTIF('Config'!$N$8:$N$15,$D20)&gt;0,"Entrada",IF(COUNTIF('Config'!$P$8:$P$23,$D20)&gt;0,"Saída","Verificar")))</f>
        <v>Saída</v>
      </c>
    </row>
    <row r="21" spans="2:9" ht="16.5" customHeight="1">
      <c r="B21" s="63">
        <v>46055</v>
      </c>
      <c r="C21" s="64" t="s">
        <v>256</v>
      </c>
      <c r="D21" s="64" t="s">
        <v>73</v>
      </c>
      <c r="E21" s="64" t="s">
        <v>56</v>
      </c>
      <c r="F21" s="65">
        <v>124</v>
      </c>
      <c r="G21" s="66" t="str">
        <f>IF($D21="","",IF(COUNTIF('Config'!$N$8:$N$15,$D21)&gt;0,"Entrada",IF(COUNTIF('Config'!$P$8:$P$23,$D21)&gt;0,"Saída","Verificar")))</f>
        <v>Saída</v>
      </c>
    </row>
    <row r="22" spans="2:9" ht="16.5" customHeight="1">
      <c r="B22" s="63">
        <v>46055</v>
      </c>
      <c r="C22" s="64" t="s">
        <v>257</v>
      </c>
      <c r="D22" s="64" t="s">
        <v>73</v>
      </c>
      <c r="E22" s="64" t="s">
        <v>56</v>
      </c>
      <c r="F22" s="65">
        <v>34.9</v>
      </c>
      <c r="G22" s="66" t="str">
        <f>IF($D22="","",IF(COUNTIF('Config'!$N$8:$N$15,$D22)&gt;0,"Entrada",IF(COUNTIF('Config'!$P$8:$P$23,$D22)&gt;0,"Saída","Verificar")))</f>
        <v>Saída</v>
      </c>
    </row>
    <row r="23" spans="2:9" ht="16.5" customHeight="1">
      <c r="B23" s="63">
        <v>46058</v>
      </c>
      <c r="C23" s="64" t="s">
        <v>258</v>
      </c>
      <c r="D23" s="64" t="s">
        <v>71</v>
      </c>
      <c r="E23" s="64" t="s">
        <v>59</v>
      </c>
      <c r="F23" s="65">
        <v>4500</v>
      </c>
      <c r="G23" s="66" t="str">
        <f>IF($D23="","",IF(COUNTIF('Config'!$N$8:$N$15,$D23)&gt;0,"Entrada",IF(COUNTIF('Config'!$P$8:$P$23,$D23)&gt;0,"Saída","Verificar")))</f>
        <v>Saída</v>
      </c>
      <c r="I23" s="64" t="s">
        <v>259</v>
      </c>
    </row>
    <row r="24" spans="2:9" ht="16.5" customHeight="1">
      <c r="B24" s="63">
        <v>46063</v>
      </c>
      <c r="C24" s="64" t="s">
        <v>260</v>
      </c>
      <c r="D24" s="64" t="s">
        <v>78</v>
      </c>
      <c r="E24" s="64" t="s">
        <v>58</v>
      </c>
      <c r="F24" s="65">
        <v>450</v>
      </c>
      <c r="G24" s="66" t="str">
        <f>IF($D24="","",IF(COUNTIF('Config'!$N$8:$N$15,$D24)&gt;0,"Entrada",IF(COUNTIF('Config'!$P$8:$P$23,$D24)&gt;0,"Saída","Verificar")))</f>
        <v>Saída</v>
      </c>
    </row>
    <row r="25" spans="2:9" ht="16.5" customHeight="1">
      <c r="B25" s="63">
        <v>46065</v>
      </c>
      <c r="C25" s="64" t="s">
        <v>261</v>
      </c>
      <c r="D25" s="64" t="s">
        <v>73</v>
      </c>
      <c r="E25" s="64" t="s">
        <v>56</v>
      </c>
      <c r="F25" s="65">
        <v>59.9</v>
      </c>
      <c r="G25" s="66" t="str">
        <f>IF($D25="","",IF(COUNTIF('Config'!$N$8:$N$15,$D25)&gt;0,"Entrada",IF(COUNTIF('Config'!$P$8:$P$23,$D25)&gt;0,"Saída","Verificar")))</f>
        <v>Saída</v>
      </c>
    </row>
    <row r="26" spans="2:9" ht="16.5" customHeight="1">
      <c r="B26" s="63">
        <v>46068</v>
      </c>
      <c r="C26" s="64" t="s">
        <v>262</v>
      </c>
      <c r="D26" s="64" t="s">
        <v>79</v>
      </c>
      <c r="E26" s="64" t="s">
        <v>60</v>
      </c>
      <c r="F26" s="65">
        <v>140</v>
      </c>
      <c r="G26" s="66" t="str">
        <f>IF($D26="","",IF(COUNTIF('Config'!$N$8:$N$15,$D26)&gt;0,"Entrada",IF(COUNTIF('Config'!$P$8:$P$23,$D26)&gt;0,"Saída","Verificar")))</f>
        <v>Saída</v>
      </c>
    </row>
    <row r="27" spans="2:9" ht="16.5" customHeight="1">
      <c r="B27" s="63">
        <v>46069</v>
      </c>
      <c r="C27" s="64" t="s">
        <v>263</v>
      </c>
      <c r="D27" s="64" t="s">
        <v>74</v>
      </c>
      <c r="E27" s="64" t="s">
        <v>56</v>
      </c>
      <c r="F27" s="65">
        <v>259.02</v>
      </c>
      <c r="G27" s="66" t="str">
        <f>IF($D27="","",IF(COUNTIF('Config'!$N$8:$N$15,$D27)&gt;0,"Entrada",IF(COUNTIF('Config'!$P$8:$P$23,$D27)&gt;0,"Saída","Verificar")))</f>
        <v>Saída</v>
      </c>
    </row>
    <row r="28" spans="2:9" ht="16.5" customHeight="1">
      <c r="B28" s="63">
        <v>46071</v>
      </c>
      <c r="C28" s="64" t="s">
        <v>267</v>
      </c>
      <c r="D28" s="64" t="s">
        <v>77</v>
      </c>
      <c r="E28" s="64" t="s">
        <v>56</v>
      </c>
      <c r="F28" s="65">
        <v>104.98</v>
      </c>
      <c r="G28" s="66" t="str">
        <f>IF($D28="","",IF(COUNTIF('Config'!$N$8:$N$15,$D28)&gt;0,"Entrada",IF(COUNTIF('Config'!$P$8:$P$23,$D28)&gt;0,"Saída","Verificar")))</f>
        <v>Saída</v>
      </c>
    </row>
    <row r="29" spans="2:9" ht="16.5" customHeight="1">
      <c r="B29" s="63">
        <v>46074</v>
      </c>
      <c r="C29" s="64" t="s">
        <v>265</v>
      </c>
      <c r="D29" s="64" t="s">
        <v>76</v>
      </c>
      <c r="E29" s="64" t="s">
        <v>56</v>
      </c>
      <c r="F29" s="65">
        <v>143.24</v>
      </c>
      <c r="G29" s="66" t="str">
        <f>IF($D29="","",IF(COUNTIF('Config'!$N$8:$N$15,$D29)&gt;0,"Entrada",IF(COUNTIF('Config'!$P$8:$P$23,$D29)&gt;0,"Saída","Verificar")))</f>
        <v>Saída</v>
      </c>
    </row>
    <row r="30" spans="2:9" ht="16.5" customHeight="1">
      <c r="B30" s="63">
        <v>46080</v>
      </c>
      <c r="C30" s="64" t="s">
        <v>268</v>
      </c>
      <c r="D30" s="64" t="s">
        <v>63</v>
      </c>
      <c r="E30" s="64" t="s">
        <v>54</v>
      </c>
      <c r="F30" s="65">
        <v>338.99</v>
      </c>
      <c r="G30" s="66" t="str">
        <f>IF($D30="","",IF(COUNTIF('Config'!$N$8:$N$15,$D30)&gt;0,"Entrada",IF(COUNTIF('Config'!$P$8:$P$23,$D30)&gt;0,"Saída","Verificar")))</f>
        <v>Entrada</v>
      </c>
    </row>
    <row r="31" spans="2:9" ht="16.5" customHeight="1">
      <c r="B31" s="63">
        <v>46081</v>
      </c>
      <c r="C31" s="64" t="s">
        <v>266</v>
      </c>
      <c r="D31" s="64" t="s">
        <v>81</v>
      </c>
      <c r="E31" s="64" t="s">
        <v>60</v>
      </c>
      <c r="F31" s="65">
        <v>44.38</v>
      </c>
      <c r="G31" s="66" t="str">
        <f>IF($D31="","",IF(COUNTIF('Config'!$N$8:$N$15,$D31)&gt;0,"Entrada",IF(COUNTIF('Config'!$P$8:$P$23,$D31)&gt;0,"Saída","Verificar")))</f>
        <v>Saída</v>
      </c>
    </row>
    <row r="32" spans="2:9" ht="16.5" customHeight="1">
      <c r="B32" s="63">
        <v>46083</v>
      </c>
      <c r="C32" s="64" t="s">
        <v>256</v>
      </c>
      <c r="D32" s="64" t="s">
        <v>73</v>
      </c>
      <c r="E32" s="64" t="s">
        <v>56</v>
      </c>
      <c r="F32" s="65">
        <v>124</v>
      </c>
      <c r="G32" s="66" t="str">
        <f>IF($D32="","",IF(COUNTIF('Config'!$N$8:$N$15,$D32)&gt;0,"Entrada",IF(COUNTIF('Config'!$P$8:$P$23,$D32)&gt;0,"Saída","Verificar")))</f>
        <v>Saída</v>
      </c>
    </row>
    <row r="33" spans="2:9" ht="16.5" customHeight="1">
      <c r="B33" s="63">
        <v>46083</v>
      </c>
      <c r="C33" s="64" t="s">
        <v>257</v>
      </c>
      <c r="D33" s="64" t="s">
        <v>73</v>
      </c>
      <c r="E33" s="64" t="s">
        <v>56</v>
      </c>
      <c r="F33" s="65">
        <v>34.9</v>
      </c>
      <c r="G33" s="66" t="str">
        <f>IF($D33="","",IF(COUNTIF('Config'!$N$8:$N$15,$D33)&gt;0,"Entrada",IF(COUNTIF('Config'!$P$8:$P$23,$D33)&gt;0,"Saída","Verificar")))</f>
        <v>Saída</v>
      </c>
    </row>
    <row r="34" spans="2:9" ht="16.5" customHeight="1">
      <c r="B34" s="63">
        <v>46086</v>
      </c>
      <c r="C34" s="64" t="s">
        <v>258</v>
      </c>
      <c r="D34" s="64" t="s">
        <v>71</v>
      </c>
      <c r="E34" s="64" t="s">
        <v>59</v>
      </c>
      <c r="F34" s="65">
        <v>4500</v>
      </c>
      <c r="G34" s="66" t="str">
        <f>IF($D34="","",IF(COUNTIF('Config'!$N$8:$N$15,$D34)&gt;0,"Entrada",IF(COUNTIF('Config'!$P$8:$P$23,$D34)&gt;0,"Saída","Verificar")))</f>
        <v>Saída</v>
      </c>
      <c r="I34" s="64" t="s">
        <v>259</v>
      </c>
    </row>
    <row r="35" spans="2:9" ht="16.5" customHeight="1">
      <c r="B35" s="63">
        <v>46091</v>
      </c>
      <c r="C35" s="64" t="s">
        <v>260</v>
      </c>
      <c r="D35" s="64" t="s">
        <v>78</v>
      </c>
      <c r="E35" s="64" t="s">
        <v>58</v>
      </c>
      <c r="F35" s="65">
        <v>450</v>
      </c>
      <c r="G35" s="66" t="str">
        <f>IF($D35="","",IF(COUNTIF('Config'!$N$8:$N$15,$D35)&gt;0,"Entrada",IF(COUNTIF('Config'!$P$8:$P$23,$D35)&gt;0,"Saída","Verificar")))</f>
        <v>Saída</v>
      </c>
    </row>
    <row r="36" spans="2:9" ht="16.5" customHeight="1">
      <c r="B36" s="63">
        <v>46093</v>
      </c>
      <c r="C36" s="64" t="s">
        <v>261</v>
      </c>
      <c r="D36" s="64" t="s">
        <v>73</v>
      </c>
      <c r="E36" s="64" t="s">
        <v>56</v>
      </c>
      <c r="F36" s="65">
        <v>59.9</v>
      </c>
      <c r="G36" s="66" t="str">
        <f>IF($D36="","",IF(COUNTIF('Config'!$N$8:$N$15,$D36)&gt;0,"Entrada",IF(COUNTIF('Config'!$P$8:$P$23,$D36)&gt;0,"Saída","Verificar")))</f>
        <v>Saída</v>
      </c>
    </row>
    <row r="37" spans="2:9" ht="16.5" customHeight="1">
      <c r="B37" s="63">
        <v>46096</v>
      </c>
      <c r="C37" s="64" t="s">
        <v>262</v>
      </c>
      <c r="D37" s="64" t="s">
        <v>79</v>
      </c>
      <c r="E37" s="64" t="s">
        <v>60</v>
      </c>
      <c r="F37" s="65">
        <v>140</v>
      </c>
      <c r="G37" s="66" t="str">
        <f>IF($D37="","",IF(COUNTIF('Config'!$N$8:$N$15,$D37)&gt;0,"Entrada",IF(COUNTIF('Config'!$P$8:$P$23,$D37)&gt;0,"Saída","Verificar")))</f>
        <v>Saída</v>
      </c>
    </row>
    <row r="38" spans="2:9" ht="16.5" customHeight="1">
      <c r="B38" s="63">
        <v>46097</v>
      </c>
      <c r="C38" s="64" t="s">
        <v>263</v>
      </c>
      <c r="D38" s="64" t="s">
        <v>74</v>
      </c>
      <c r="E38" s="64" t="s">
        <v>56</v>
      </c>
      <c r="F38" s="65">
        <v>208.41</v>
      </c>
      <c r="G38" s="66" t="str">
        <f>IF($D38="","",IF(COUNTIF('Config'!$N$8:$N$15,$D38)&gt;0,"Entrada",IF(COUNTIF('Config'!$P$8:$P$23,$D38)&gt;0,"Saída","Verificar")))</f>
        <v>Saída</v>
      </c>
    </row>
    <row r="39" spans="2:9" ht="16.5" customHeight="1">
      <c r="B39" s="63">
        <v>46102</v>
      </c>
      <c r="C39" s="64" t="s">
        <v>265</v>
      </c>
      <c r="D39" s="64" t="s">
        <v>76</v>
      </c>
      <c r="E39" s="64" t="s">
        <v>56</v>
      </c>
      <c r="F39" s="65">
        <v>189.7</v>
      </c>
      <c r="G39" s="66" t="str">
        <f>IF($D39="","",IF(COUNTIF('Config'!$N$8:$N$15,$D39)&gt;0,"Entrada",IF(COUNTIF('Config'!$P$8:$P$23,$D39)&gt;0,"Saída","Verificar")))</f>
        <v>Saída</v>
      </c>
    </row>
    <row r="40" spans="2:9" ht="16.5" customHeight="1">
      <c r="B40" s="63">
        <v>46103</v>
      </c>
      <c r="C40" s="64" t="s">
        <v>269</v>
      </c>
      <c r="D40" s="64" t="s">
        <v>84</v>
      </c>
      <c r="E40" s="64" t="s">
        <v>54</v>
      </c>
      <c r="F40" s="65">
        <v>600</v>
      </c>
      <c r="G40" s="66" t="str">
        <f>IF($D40="","",IF(COUNTIF('Config'!$N$8:$N$15,$D40)&gt;0,"Entrada",IF(COUNTIF('Config'!$P$8:$P$23,$D40)&gt;0,"Saída","Verificar")))</f>
        <v>Saída</v>
      </c>
    </row>
    <row r="41" spans="2:9" ht="16.5" customHeight="1">
      <c r="B41" s="63">
        <v>46109</v>
      </c>
      <c r="C41" s="64" t="s">
        <v>266</v>
      </c>
      <c r="D41" s="64" t="s">
        <v>81</v>
      </c>
      <c r="E41" s="64" t="s">
        <v>60</v>
      </c>
      <c r="F41" s="65">
        <v>35.52</v>
      </c>
      <c r="G41" s="66" t="str">
        <f>IF($D41="","",IF(COUNTIF('Config'!$N$8:$N$15,$D41)&gt;0,"Entrada",IF(COUNTIF('Config'!$P$8:$P$23,$D41)&gt;0,"Saída","Verificar")))</f>
        <v>Saída</v>
      </c>
    </row>
    <row r="42" spans="2:9" ht="16.5" customHeight="1">
      <c r="B42" s="63">
        <v>46114</v>
      </c>
      <c r="C42" s="64" t="s">
        <v>256</v>
      </c>
      <c r="D42" s="64" t="s">
        <v>73</v>
      </c>
      <c r="E42" s="64" t="s">
        <v>56</v>
      </c>
      <c r="F42" s="65">
        <v>124</v>
      </c>
      <c r="G42" s="66" t="str">
        <f>IF($D42="","",IF(COUNTIF('Config'!$N$8:$N$15,$D42)&gt;0,"Entrada",IF(COUNTIF('Config'!$P$8:$P$23,$D42)&gt;0,"Saída","Verificar")))</f>
        <v>Saída</v>
      </c>
    </row>
    <row r="43" spans="2:9" ht="16.5" customHeight="1">
      <c r="B43" s="63">
        <v>46114</v>
      </c>
      <c r="C43" s="64" t="s">
        <v>257</v>
      </c>
      <c r="D43" s="64" t="s">
        <v>73</v>
      </c>
      <c r="E43" s="64" t="s">
        <v>56</v>
      </c>
      <c r="F43" s="65">
        <v>34.9</v>
      </c>
      <c r="G43" s="66" t="str">
        <f>IF($D43="","",IF(COUNTIF('Config'!$N$8:$N$15,$D43)&gt;0,"Entrada",IF(COUNTIF('Config'!$P$8:$P$23,$D43)&gt;0,"Saída","Verificar")))</f>
        <v>Saída</v>
      </c>
    </row>
    <row r="44" spans="2:9" ht="16.5" customHeight="1">
      <c r="B44" s="63">
        <v>46117</v>
      </c>
      <c r="C44" s="64" t="s">
        <v>258</v>
      </c>
      <c r="D44" s="64" t="s">
        <v>71</v>
      </c>
      <c r="E44" s="64" t="s">
        <v>59</v>
      </c>
      <c r="F44" s="65">
        <v>4500</v>
      </c>
      <c r="G44" s="66" t="str">
        <f>IF($D44="","",IF(COUNTIF('Config'!$N$8:$N$15,$D44)&gt;0,"Entrada",IF(COUNTIF('Config'!$P$8:$P$23,$D44)&gt;0,"Saída","Verificar")))</f>
        <v>Saída</v>
      </c>
      <c r="I44" s="64" t="s">
        <v>259</v>
      </c>
    </row>
    <row r="45" spans="2:9" ht="16.5" customHeight="1">
      <c r="B45" s="63">
        <v>46121</v>
      </c>
      <c r="C45" s="64" t="s">
        <v>270</v>
      </c>
      <c r="D45" s="64" t="s">
        <v>82</v>
      </c>
      <c r="E45" s="64" t="s">
        <v>56</v>
      </c>
      <c r="F45" s="65">
        <v>320</v>
      </c>
      <c r="G45" s="66" t="str">
        <f>IF($D45="","",IF(COUNTIF('Config'!$N$8:$N$15,$D45)&gt;0,"Entrada",IF(COUNTIF('Config'!$P$8:$P$23,$D45)&gt;0,"Saída","Verificar")))</f>
        <v>Saída</v>
      </c>
    </row>
    <row r="46" spans="2:9" ht="16.5" customHeight="1">
      <c r="B46" s="63">
        <v>46122</v>
      </c>
      <c r="C46" s="64" t="s">
        <v>260</v>
      </c>
      <c r="D46" s="64" t="s">
        <v>78</v>
      </c>
      <c r="E46" s="64" t="s">
        <v>58</v>
      </c>
      <c r="F46" s="65">
        <v>450</v>
      </c>
      <c r="G46" s="66" t="str">
        <f>IF($D46="","",IF(COUNTIF('Config'!$N$8:$N$15,$D46)&gt;0,"Entrada",IF(COUNTIF('Config'!$P$8:$P$23,$D46)&gt;0,"Saída","Verificar")))</f>
        <v>Saída</v>
      </c>
    </row>
    <row r="47" spans="2:9" ht="16.5" customHeight="1">
      <c r="B47" s="63">
        <v>46124</v>
      </c>
      <c r="C47" s="64" t="s">
        <v>261</v>
      </c>
      <c r="D47" s="64" t="s">
        <v>73</v>
      </c>
      <c r="E47" s="64" t="s">
        <v>56</v>
      </c>
      <c r="F47" s="65">
        <v>59.9</v>
      </c>
      <c r="G47" s="66" t="str">
        <f>IF($D47="","",IF(COUNTIF('Config'!$N$8:$N$15,$D47)&gt;0,"Entrada",IF(COUNTIF('Config'!$P$8:$P$23,$D47)&gt;0,"Saída","Verificar")))</f>
        <v>Saída</v>
      </c>
    </row>
    <row r="48" spans="2:9" ht="16.5" customHeight="1">
      <c r="B48" s="63">
        <v>46127</v>
      </c>
      <c r="C48" s="64" t="s">
        <v>262</v>
      </c>
      <c r="D48" s="64" t="s">
        <v>79</v>
      </c>
      <c r="E48" s="64" t="s">
        <v>60</v>
      </c>
      <c r="F48" s="65">
        <v>140</v>
      </c>
      <c r="G48" s="66" t="str">
        <f>IF($D48="","",IF(COUNTIF('Config'!$N$8:$N$15,$D48)&gt;0,"Entrada",IF(COUNTIF('Config'!$P$8:$P$23,$D48)&gt;0,"Saída","Verificar")))</f>
        <v>Saída</v>
      </c>
    </row>
    <row r="49" spans="2:9" ht="16.5" customHeight="1">
      <c r="B49" s="63">
        <v>46128</v>
      </c>
      <c r="C49" s="64" t="s">
        <v>263</v>
      </c>
      <c r="D49" s="64" t="s">
        <v>74</v>
      </c>
      <c r="E49" s="64" t="s">
        <v>56</v>
      </c>
      <c r="F49" s="65">
        <v>326.45</v>
      </c>
      <c r="G49" s="66" t="str">
        <f>IF($D49="","",IF(COUNTIF('Config'!$N$8:$N$15,$D49)&gt;0,"Entrada",IF(COUNTIF('Config'!$P$8:$P$23,$D49)&gt;0,"Saída","Verificar")))</f>
        <v>Saída</v>
      </c>
    </row>
    <row r="50" spans="2:9" ht="16.5" customHeight="1">
      <c r="B50" s="63">
        <v>46133</v>
      </c>
      <c r="C50" s="64" t="s">
        <v>265</v>
      </c>
      <c r="D50" s="64" t="s">
        <v>76</v>
      </c>
      <c r="E50" s="64" t="s">
        <v>56</v>
      </c>
      <c r="F50" s="65">
        <v>152.02</v>
      </c>
      <c r="G50" s="66" t="str">
        <f>IF($D50="","",IF(COUNTIF('Config'!$N$8:$N$15,$D50)&gt;0,"Entrada",IF(COUNTIF('Config'!$P$8:$P$23,$D50)&gt;0,"Saída","Verificar")))</f>
        <v>Saída</v>
      </c>
    </row>
    <row r="51" spans="2:9" ht="16.5" customHeight="1">
      <c r="B51" s="63">
        <v>46140</v>
      </c>
      <c r="C51" s="64" t="s">
        <v>266</v>
      </c>
      <c r="D51" s="64" t="s">
        <v>81</v>
      </c>
      <c r="E51" s="64" t="s">
        <v>60</v>
      </c>
      <c r="F51" s="65">
        <v>47.9</v>
      </c>
      <c r="G51" s="66" t="str">
        <f>IF($D51="","",IF(COUNTIF('Config'!$N$8:$N$15,$D51)&gt;0,"Entrada",IF(COUNTIF('Config'!$P$8:$P$23,$D51)&gt;0,"Saída","Verificar")))</f>
        <v>Saída</v>
      </c>
    </row>
    <row r="52" spans="2:9" ht="16.5" customHeight="1">
      <c r="B52" s="63">
        <v>46144</v>
      </c>
      <c r="C52" s="64" t="s">
        <v>256</v>
      </c>
      <c r="D52" s="64" t="s">
        <v>73</v>
      </c>
      <c r="E52" s="64" t="s">
        <v>56</v>
      </c>
      <c r="F52" s="65">
        <v>124</v>
      </c>
      <c r="G52" s="66" t="str">
        <f>IF($D52="","",IF(COUNTIF('Config'!$N$8:$N$15,$D52)&gt;0,"Entrada",IF(COUNTIF('Config'!$P$8:$P$23,$D52)&gt;0,"Saída","Verificar")))</f>
        <v>Saída</v>
      </c>
    </row>
    <row r="53" spans="2:9" ht="16.5" customHeight="1">
      <c r="B53" s="63">
        <v>46144</v>
      </c>
      <c r="C53" s="64" t="s">
        <v>257</v>
      </c>
      <c r="D53" s="64" t="s">
        <v>73</v>
      </c>
      <c r="E53" s="64" t="s">
        <v>56</v>
      </c>
      <c r="F53" s="65">
        <v>34.9</v>
      </c>
      <c r="G53" s="66" t="str">
        <f>IF($D53="","",IF(COUNTIF('Config'!$N$8:$N$15,$D53)&gt;0,"Entrada",IF(COUNTIF('Config'!$P$8:$P$23,$D53)&gt;0,"Saída","Verificar")))</f>
        <v>Saída</v>
      </c>
    </row>
    <row r="54" spans="2:9" ht="16.5" customHeight="1">
      <c r="B54" s="63">
        <v>46147</v>
      </c>
      <c r="C54" s="64" t="s">
        <v>258</v>
      </c>
      <c r="D54" s="64" t="s">
        <v>71</v>
      </c>
      <c r="E54" s="64" t="s">
        <v>59</v>
      </c>
      <c r="F54" s="65">
        <v>4500</v>
      </c>
      <c r="G54" s="66" t="str">
        <f>IF($D54="","",IF(COUNTIF('Config'!$N$8:$N$15,$D54)&gt;0,"Entrada",IF(COUNTIF('Config'!$P$8:$P$23,$D54)&gt;0,"Saída","Verificar")))</f>
        <v>Saída</v>
      </c>
      <c r="I54" s="64" t="s">
        <v>259</v>
      </c>
    </row>
    <row r="55" spans="2:9" ht="16.5" customHeight="1">
      <c r="B55" s="63">
        <v>46152</v>
      </c>
      <c r="C55" s="64" t="s">
        <v>260</v>
      </c>
      <c r="D55" s="64" t="s">
        <v>78</v>
      </c>
      <c r="E55" s="64" t="s">
        <v>58</v>
      </c>
      <c r="F55" s="65">
        <v>450</v>
      </c>
      <c r="G55" s="66" t="str">
        <f>IF($D55="","",IF(COUNTIF('Config'!$N$8:$N$15,$D55)&gt;0,"Entrada",IF(COUNTIF('Config'!$P$8:$P$23,$D55)&gt;0,"Saída","Verificar")))</f>
        <v>Saída</v>
      </c>
    </row>
    <row r="56" spans="2:9" ht="16.5" customHeight="1">
      <c r="B56" s="63">
        <v>46154</v>
      </c>
      <c r="C56" s="64" t="s">
        <v>261</v>
      </c>
      <c r="D56" s="64" t="s">
        <v>73</v>
      </c>
      <c r="E56" s="64" t="s">
        <v>56</v>
      </c>
      <c r="F56" s="65">
        <v>59.9</v>
      </c>
      <c r="G56" s="66" t="str">
        <f>IF($D56="","",IF(COUNTIF('Config'!$N$8:$N$15,$D56)&gt;0,"Entrada",IF(COUNTIF('Config'!$P$8:$P$23,$D56)&gt;0,"Saída","Verificar")))</f>
        <v>Saída</v>
      </c>
    </row>
    <row r="57" spans="2:9" ht="16.5" customHeight="1">
      <c r="B57" s="63">
        <v>46157</v>
      </c>
      <c r="C57" s="64" t="s">
        <v>262</v>
      </c>
      <c r="D57" s="64" t="s">
        <v>79</v>
      </c>
      <c r="E57" s="64" t="s">
        <v>60</v>
      </c>
      <c r="F57" s="65">
        <v>140</v>
      </c>
      <c r="G57" s="66" t="str">
        <f>IF($D57="","",IF(COUNTIF('Config'!$N$8:$N$15,$D57)&gt;0,"Entrada",IF(COUNTIF('Config'!$P$8:$P$23,$D57)&gt;0,"Saída","Verificar")))</f>
        <v>Saída</v>
      </c>
    </row>
    <row r="58" spans="2:9" ht="16.5" customHeight="1">
      <c r="B58" s="63">
        <v>46158</v>
      </c>
      <c r="C58" s="64" t="s">
        <v>263</v>
      </c>
      <c r="D58" s="64" t="s">
        <v>74</v>
      </c>
      <c r="E58" s="64" t="s">
        <v>56</v>
      </c>
      <c r="F58" s="65">
        <v>198.23</v>
      </c>
      <c r="G58" s="66" t="str">
        <f>IF($D58="","",IF(COUNTIF('Config'!$N$8:$N$15,$D58)&gt;0,"Entrada",IF(COUNTIF('Config'!$P$8:$P$23,$D58)&gt;0,"Saída","Verificar")))</f>
        <v>Saída</v>
      </c>
    </row>
    <row r="59" spans="2:9" ht="16.5" customHeight="1">
      <c r="B59" s="63">
        <v>46160</v>
      </c>
      <c r="C59" s="64" t="s">
        <v>267</v>
      </c>
      <c r="D59" s="64" t="s">
        <v>77</v>
      </c>
      <c r="E59" s="64" t="s">
        <v>56</v>
      </c>
      <c r="F59" s="65">
        <v>74.92</v>
      </c>
      <c r="G59" s="66" t="str">
        <f>IF($D59="","",IF(COUNTIF('Config'!$N$8:$N$15,$D59)&gt;0,"Entrada",IF(COUNTIF('Config'!$P$8:$P$23,$D59)&gt;0,"Saída","Verificar")))</f>
        <v>Saída</v>
      </c>
    </row>
    <row r="60" spans="2:9" ht="16.5" customHeight="1">
      <c r="B60" s="63">
        <v>46163</v>
      </c>
      <c r="C60" s="64" t="s">
        <v>265</v>
      </c>
      <c r="D60" s="64" t="s">
        <v>76</v>
      </c>
      <c r="E60" s="64" t="s">
        <v>56</v>
      </c>
      <c r="F60" s="65">
        <v>97.58</v>
      </c>
      <c r="G60" s="66" t="str">
        <f>IF($D60="","",IF(COUNTIF('Config'!$N$8:$N$15,$D60)&gt;0,"Entrada",IF(COUNTIF('Config'!$P$8:$P$23,$D60)&gt;0,"Saída","Verificar")))</f>
        <v>Saída</v>
      </c>
    </row>
    <row r="61" spans="2:9" ht="16.5" customHeight="1">
      <c r="B61" s="63">
        <v>46170</v>
      </c>
      <c r="C61" s="64" t="s">
        <v>266</v>
      </c>
      <c r="D61" s="64" t="s">
        <v>81</v>
      </c>
      <c r="E61" s="64" t="s">
        <v>60</v>
      </c>
      <c r="F61" s="65">
        <v>32.25</v>
      </c>
      <c r="G61" s="66" t="str">
        <f>IF($D61="","",IF(COUNTIF('Config'!$N$8:$N$15,$D61)&gt;0,"Entrada",IF(COUNTIF('Config'!$P$8:$P$23,$D61)&gt;0,"Saída","Verificar")))</f>
        <v>Saída</v>
      </c>
    </row>
    <row r="62" spans="2:9" ht="16.5" customHeight="1">
      <c r="B62" s="63">
        <v>46175</v>
      </c>
      <c r="C62" s="64" t="s">
        <v>256</v>
      </c>
      <c r="D62" s="64" t="s">
        <v>73</v>
      </c>
      <c r="E62" s="64" t="s">
        <v>56</v>
      </c>
      <c r="F62" s="65">
        <v>124</v>
      </c>
      <c r="G62" s="66" t="str">
        <f>IF($D62="","",IF(COUNTIF('Config'!$N$8:$N$15,$D62)&gt;0,"Entrada",IF(COUNTIF('Config'!$P$8:$P$23,$D62)&gt;0,"Saída","Verificar")))</f>
        <v>Saída</v>
      </c>
    </row>
    <row r="63" spans="2:9" ht="16.5" customHeight="1">
      <c r="B63" s="63">
        <v>46175</v>
      </c>
      <c r="C63" s="64" t="s">
        <v>257</v>
      </c>
      <c r="D63" s="64" t="s">
        <v>73</v>
      </c>
      <c r="E63" s="64" t="s">
        <v>56</v>
      </c>
      <c r="F63" s="65">
        <v>34.9</v>
      </c>
      <c r="G63" s="66" t="str">
        <f>IF($D63="","",IF(COUNTIF('Config'!$N$8:$N$15,$D63)&gt;0,"Entrada",IF(COUNTIF('Config'!$P$8:$P$23,$D63)&gt;0,"Saída","Verificar")))</f>
        <v>Saída</v>
      </c>
    </row>
    <row r="64" spans="2:9" ht="16.5" customHeight="1">
      <c r="B64" s="63">
        <v>46178</v>
      </c>
      <c r="C64" s="64" t="s">
        <v>258</v>
      </c>
      <c r="D64" s="64" t="s">
        <v>71</v>
      </c>
      <c r="E64" s="64" t="s">
        <v>59</v>
      </c>
      <c r="F64" s="65">
        <v>4500</v>
      </c>
      <c r="G64" s="66" t="str">
        <f>IF($D64="","",IF(COUNTIF('Config'!$N$8:$N$15,$D64)&gt;0,"Entrada",IF(COUNTIF('Config'!$P$8:$P$23,$D64)&gt;0,"Saída","Verificar")))</f>
        <v>Saída</v>
      </c>
      <c r="I64" s="64" t="s">
        <v>259</v>
      </c>
    </row>
    <row r="65" spans="2:9" ht="16.5" customHeight="1">
      <c r="B65" s="63">
        <v>46183</v>
      </c>
      <c r="C65" s="64" t="s">
        <v>260</v>
      </c>
      <c r="D65" s="64" t="s">
        <v>78</v>
      </c>
      <c r="E65" s="64" t="s">
        <v>58</v>
      </c>
      <c r="F65" s="65">
        <v>450</v>
      </c>
      <c r="G65" s="66" t="str">
        <f>IF($D65="","",IF(COUNTIF('Config'!$N$8:$N$15,$D65)&gt;0,"Entrada",IF(COUNTIF('Config'!$P$8:$P$23,$D65)&gt;0,"Saída","Verificar")))</f>
        <v>Saída</v>
      </c>
    </row>
    <row r="66" spans="2:9" ht="16.5" customHeight="1">
      <c r="B66" s="63">
        <v>46185</v>
      </c>
      <c r="C66" s="64" t="s">
        <v>261</v>
      </c>
      <c r="D66" s="64" t="s">
        <v>73</v>
      </c>
      <c r="E66" s="64" t="s">
        <v>56</v>
      </c>
      <c r="F66" s="65">
        <v>59.9</v>
      </c>
      <c r="G66" s="66" t="str">
        <f>IF($D66="","",IF(COUNTIF('Config'!$N$8:$N$15,$D66)&gt;0,"Entrada",IF(COUNTIF('Config'!$P$8:$P$23,$D66)&gt;0,"Saída","Verificar")))</f>
        <v>Saída</v>
      </c>
    </row>
    <row r="67" spans="2:9" ht="16.5" customHeight="1">
      <c r="B67" s="63">
        <v>46187</v>
      </c>
      <c r="C67" s="64" t="s">
        <v>271</v>
      </c>
      <c r="D67" s="64" t="s">
        <v>75</v>
      </c>
      <c r="E67" s="64" t="s">
        <v>56</v>
      </c>
      <c r="F67" s="65">
        <v>1480</v>
      </c>
      <c r="G67" s="66" t="str">
        <f>IF($D67="","",IF(COUNTIF('Config'!$N$8:$N$15,$D67)&gt;0,"Entrada",IF(COUNTIF('Config'!$P$8:$P$23,$D67)&gt;0,"Saída","Verificar")))</f>
        <v>Saída</v>
      </c>
      <c r="I67" s="64" t="s">
        <v>272</v>
      </c>
    </row>
    <row r="68" spans="2:9" ht="16.5" customHeight="1">
      <c r="B68" s="63">
        <v>46188</v>
      </c>
      <c r="C68" s="64" t="s">
        <v>262</v>
      </c>
      <c r="D68" s="64" t="s">
        <v>79</v>
      </c>
      <c r="E68" s="64" t="s">
        <v>60</v>
      </c>
      <c r="F68" s="65">
        <v>140</v>
      </c>
      <c r="G68" s="66" t="str">
        <f>IF($D68="","",IF(COUNTIF('Config'!$N$8:$N$15,$D68)&gt;0,"Entrada",IF(COUNTIF('Config'!$P$8:$P$23,$D68)&gt;0,"Saída","Verificar")))</f>
        <v>Saída</v>
      </c>
    </row>
    <row r="69" spans="2:9" ht="16.5" customHeight="1">
      <c r="B69" s="63">
        <v>46189</v>
      </c>
      <c r="C69" s="64" t="s">
        <v>263</v>
      </c>
      <c r="D69" s="64" t="s">
        <v>74</v>
      </c>
      <c r="E69" s="64" t="s">
        <v>56</v>
      </c>
      <c r="F69" s="65">
        <v>234.08</v>
      </c>
      <c r="G69" s="66" t="str">
        <f>IF($D69="","",IF(COUNTIF('Config'!$N$8:$N$15,$D69)&gt;0,"Entrada",IF(COUNTIF('Config'!$P$8:$P$23,$D69)&gt;0,"Saída","Verificar")))</f>
        <v>Saída</v>
      </c>
    </row>
    <row r="70" spans="2:9" ht="16.5" customHeight="1">
      <c r="B70" s="63">
        <v>46194</v>
      </c>
      <c r="C70" s="64" t="s">
        <v>265</v>
      </c>
      <c r="D70" s="64" t="s">
        <v>76</v>
      </c>
      <c r="E70" s="64" t="s">
        <v>56</v>
      </c>
      <c r="F70" s="65">
        <v>170.06</v>
      </c>
      <c r="G70" s="66" t="str">
        <f>IF($D70="","",IF(COUNTIF('Config'!$N$8:$N$15,$D70)&gt;0,"Entrada",IF(COUNTIF('Config'!$P$8:$P$23,$D70)&gt;0,"Saída","Verificar")))</f>
        <v>Saída</v>
      </c>
    </row>
    <row r="71" spans="2:9" ht="16.5" customHeight="1">
      <c r="B71" s="63">
        <v>46200</v>
      </c>
      <c r="C71" s="64" t="s">
        <v>268</v>
      </c>
      <c r="D71" s="64" t="s">
        <v>63</v>
      </c>
      <c r="E71" s="64" t="s">
        <v>54</v>
      </c>
      <c r="F71" s="65">
        <v>272.76</v>
      </c>
      <c r="G71" s="66" t="str">
        <f>IF($D71="","",IF(COUNTIF('Config'!$N$8:$N$15,$D71)&gt;0,"Entrada",IF(COUNTIF('Config'!$P$8:$P$23,$D71)&gt;0,"Saída","Verificar")))</f>
        <v>Entrada</v>
      </c>
    </row>
    <row r="72" spans="2:9" ht="16.5" customHeight="1">
      <c r="B72" s="63">
        <v>46201</v>
      </c>
      <c r="C72" s="64" t="s">
        <v>266</v>
      </c>
      <c r="D72" s="64" t="s">
        <v>81</v>
      </c>
      <c r="E72" s="64" t="s">
        <v>60</v>
      </c>
      <c r="F72" s="65">
        <v>42.62</v>
      </c>
      <c r="G72" s="66" t="str">
        <f>IF($D72="","",IF(COUNTIF('Config'!$N$8:$N$15,$D72)&gt;0,"Entrada",IF(COUNTIF('Config'!$P$8:$P$23,$D72)&gt;0,"Saída","Verificar")))</f>
        <v>Saída</v>
      </c>
    </row>
    <row r="73" spans="2:9" ht="16.5" customHeight="1">
      <c r="B73" s="63">
        <v>46205</v>
      </c>
      <c r="C73" s="64" t="s">
        <v>256</v>
      </c>
      <c r="D73" s="64" t="s">
        <v>73</v>
      </c>
      <c r="E73" s="64" t="s">
        <v>56</v>
      </c>
      <c r="F73" s="65">
        <v>124</v>
      </c>
      <c r="G73" s="66" t="str">
        <f>IF($D73="","",IF(COUNTIF('Config'!$N$8:$N$15,$D73)&gt;0,"Entrada",IF(COUNTIF('Config'!$P$8:$P$23,$D73)&gt;0,"Saída","Verificar")))</f>
        <v>Saída</v>
      </c>
    </row>
    <row r="74" spans="2:9" ht="16.5" customHeight="1">
      <c r="B74" s="63">
        <v>46205</v>
      </c>
      <c r="C74" s="64" t="s">
        <v>257</v>
      </c>
      <c r="D74" s="64" t="s">
        <v>73</v>
      </c>
      <c r="E74" s="64" t="s">
        <v>56</v>
      </c>
      <c r="F74" s="65">
        <v>34.9</v>
      </c>
      <c r="G74" s="66" t="str">
        <f>IF($D74="","",IF(COUNTIF('Config'!$N$8:$N$15,$D74)&gt;0,"Entrada",IF(COUNTIF('Config'!$P$8:$P$23,$D74)&gt;0,"Saída","Verificar")))</f>
        <v>Saída</v>
      </c>
    </row>
    <row r="75" spans="2:9" ht="16.5" customHeight="1">
      <c r="B75" s="63">
        <v>46208</v>
      </c>
      <c r="C75" s="64" t="s">
        <v>258</v>
      </c>
      <c r="D75" s="64" t="s">
        <v>71</v>
      </c>
      <c r="E75" s="64" t="s">
        <v>59</v>
      </c>
      <c r="F75" s="65">
        <v>4500</v>
      </c>
      <c r="G75" s="66" t="str">
        <f>IF($D75="","",IF(COUNTIF('Config'!$N$8:$N$15,$D75)&gt;0,"Entrada",IF(COUNTIF('Config'!$P$8:$P$23,$D75)&gt;0,"Saída","Verificar")))</f>
        <v>Saída</v>
      </c>
      <c r="I75" s="64" t="s">
        <v>259</v>
      </c>
    </row>
    <row r="76" spans="2:9" ht="16.5" customHeight="1">
      <c r="B76" s="63">
        <v>46213</v>
      </c>
      <c r="C76" s="64" t="s">
        <v>260</v>
      </c>
      <c r="D76" s="64" t="s">
        <v>78</v>
      </c>
      <c r="E76" s="64" t="s">
        <v>58</v>
      </c>
      <c r="F76" s="65">
        <v>450</v>
      </c>
      <c r="G76" s="66" t="str">
        <f>IF($D76="","",IF(COUNTIF('Config'!$N$8:$N$15,$D76)&gt;0,"Entrada",IF(COUNTIF('Config'!$P$8:$P$23,$D76)&gt;0,"Saída","Verificar")))</f>
        <v>Saída</v>
      </c>
    </row>
    <row r="77" spans="2:9" ht="16.5" customHeight="1">
      <c r="B77" s="63">
        <v>46215</v>
      </c>
      <c r="C77" s="64" t="s">
        <v>261</v>
      </c>
      <c r="D77" s="64" t="s">
        <v>73</v>
      </c>
      <c r="E77" s="64" t="s">
        <v>56</v>
      </c>
      <c r="F77" s="65">
        <v>59.9</v>
      </c>
      <c r="G77" s="66" t="str">
        <f>IF($D77="","",IF(COUNTIF('Config'!$N$8:$N$15,$D77)&gt;0,"Entrada",IF(COUNTIF('Config'!$P$8:$P$23,$D77)&gt;0,"Saída","Verificar")))</f>
        <v>Saída</v>
      </c>
    </row>
    <row r="78" spans="2:9" ht="16.5" customHeight="1">
      <c r="B78" s="63">
        <v>46218</v>
      </c>
      <c r="C78" s="64" t="s">
        <v>262</v>
      </c>
      <c r="D78" s="64" t="s">
        <v>79</v>
      </c>
      <c r="E78" s="64" t="s">
        <v>60</v>
      </c>
      <c r="F78" s="65">
        <v>140</v>
      </c>
      <c r="G78" s="66" t="str">
        <f>IF($D78="","",IF(COUNTIF('Config'!$N$8:$N$15,$D78)&gt;0,"Entrada",IF(COUNTIF('Config'!$P$8:$P$23,$D78)&gt;0,"Saída","Verificar")))</f>
        <v>Saída</v>
      </c>
    </row>
    <row r="79" spans="2:9" ht="16.5" customHeight="1">
      <c r="B79" s="63">
        <v>46219</v>
      </c>
      <c r="C79" s="64" t="s">
        <v>263</v>
      </c>
      <c r="D79" s="64" t="s">
        <v>74</v>
      </c>
      <c r="E79" s="64" t="s">
        <v>56</v>
      </c>
      <c r="F79" s="65">
        <v>327.94</v>
      </c>
      <c r="G79" s="66" t="str">
        <f>IF($D79="","",IF(COUNTIF('Config'!$N$8:$N$15,$D79)&gt;0,"Entrada",IF(COUNTIF('Config'!$P$8:$P$23,$D79)&gt;0,"Saída","Verificar")))</f>
        <v>Saída</v>
      </c>
    </row>
    <row r="80" spans="2:9" ht="16.5" customHeight="1">
      <c r="B80" s="63">
        <v>46224</v>
      </c>
      <c r="C80" s="64" t="s">
        <v>265</v>
      </c>
      <c r="D80" s="64" t="s">
        <v>76</v>
      </c>
      <c r="E80" s="64" t="s">
        <v>56</v>
      </c>
      <c r="F80" s="65">
        <v>60.07</v>
      </c>
      <c r="G80" s="66" t="str">
        <f>IF($D80="","",IF(COUNTIF('Config'!$N$8:$N$15,$D80)&gt;0,"Entrada",IF(COUNTIF('Config'!$P$8:$P$23,$D80)&gt;0,"Saída","Verificar")))</f>
        <v>Saída</v>
      </c>
    </row>
    <row r="81" spans="2:9" ht="16.5" customHeight="1">
      <c r="B81" s="63">
        <v>46225</v>
      </c>
      <c r="C81" s="64" t="s">
        <v>269</v>
      </c>
      <c r="D81" s="64" t="s">
        <v>84</v>
      </c>
      <c r="E81" s="64" t="s">
        <v>54</v>
      </c>
      <c r="F81" s="65">
        <v>600</v>
      </c>
      <c r="G81" s="66" t="str">
        <f>IF($D81="","",IF(COUNTIF('Config'!$N$8:$N$15,$D81)&gt;0,"Entrada",IF(COUNTIF('Config'!$P$8:$P$23,$D81)&gt;0,"Saída","Verificar")))</f>
        <v>Saída</v>
      </c>
    </row>
    <row r="82" spans="2:9" ht="16.5" customHeight="1">
      <c r="B82" s="63">
        <v>46231</v>
      </c>
      <c r="C82" s="64" t="s">
        <v>266</v>
      </c>
      <c r="D82" s="64" t="s">
        <v>81</v>
      </c>
      <c r="E82" s="64" t="s">
        <v>60</v>
      </c>
      <c r="F82" s="65">
        <v>47.03</v>
      </c>
      <c r="G82" s="66" t="str">
        <f>IF($D82="","",IF(COUNTIF('Config'!$N$8:$N$15,$D82)&gt;0,"Entrada",IF(COUNTIF('Config'!$P$8:$P$23,$D82)&gt;0,"Saída","Verificar")))</f>
        <v>Saída</v>
      </c>
    </row>
    <row r="83" spans="2:9" ht="16.5" customHeight="1">
      <c r="B83" s="63">
        <v>46236</v>
      </c>
      <c r="C83" s="64" t="s">
        <v>256</v>
      </c>
      <c r="D83" s="64" t="s">
        <v>73</v>
      </c>
      <c r="E83" s="64" t="s">
        <v>56</v>
      </c>
      <c r="F83" s="65">
        <v>124</v>
      </c>
      <c r="G83" s="66" t="str">
        <f>IF($D83="","",IF(COUNTIF('Config'!$N$8:$N$15,$D83)&gt;0,"Entrada",IF(COUNTIF('Config'!$P$8:$P$23,$D83)&gt;0,"Saída","Verificar")))</f>
        <v>Saída</v>
      </c>
    </row>
    <row r="84" spans="2:9" ht="16.5" customHeight="1">
      <c r="B84" s="63">
        <v>46236</v>
      </c>
      <c r="C84" s="64" t="s">
        <v>257</v>
      </c>
      <c r="D84" s="64" t="s">
        <v>73</v>
      </c>
      <c r="E84" s="64" t="s">
        <v>56</v>
      </c>
      <c r="F84" s="65">
        <v>34.9</v>
      </c>
      <c r="G84" s="66" t="str">
        <f>IF($D84="","",IF(COUNTIF('Config'!$N$8:$N$15,$D84)&gt;0,"Entrada",IF(COUNTIF('Config'!$P$8:$P$23,$D84)&gt;0,"Saída","Verificar")))</f>
        <v>Saída</v>
      </c>
    </row>
    <row r="85" spans="2:9" ht="16.5" customHeight="1">
      <c r="B85" s="63">
        <v>46239</v>
      </c>
      <c r="C85" s="64" t="s">
        <v>258</v>
      </c>
      <c r="D85" s="64" t="s">
        <v>71</v>
      </c>
      <c r="E85" s="64" t="s">
        <v>59</v>
      </c>
      <c r="F85" s="65">
        <v>4500</v>
      </c>
      <c r="G85" s="66" t="str">
        <f>IF($D85="","",IF(COUNTIF('Config'!$N$8:$N$15,$D85)&gt;0,"Entrada",IF(COUNTIF('Config'!$P$8:$P$23,$D85)&gt;0,"Saída","Verificar")))</f>
        <v>Saída</v>
      </c>
      <c r="I85" s="64" t="s">
        <v>259</v>
      </c>
    </row>
    <row r="86" spans="2:9" ht="16.5" customHeight="1">
      <c r="B86" s="63">
        <v>46244</v>
      </c>
      <c r="C86" s="64" t="s">
        <v>260</v>
      </c>
      <c r="D86" s="64" t="s">
        <v>78</v>
      </c>
      <c r="E86" s="64" t="s">
        <v>58</v>
      </c>
      <c r="F86" s="65">
        <v>450</v>
      </c>
      <c r="G86" s="66" t="str">
        <f>IF($D86="","",IF(COUNTIF('Config'!$N$8:$N$15,$D86)&gt;0,"Entrada",IF(COUNTIF('Config'!$P$8:$P$23,$D86)&gt;0,"Saída","Verificar")))</f>
        <v>Saída</v>
      </c>
    </row>
    <row r="87" spans="2:9" ht="16.5" customHeight="1">
      <c r="B87" s="63">
        <v>46246</v>
      </c>
      <c r="C87" s="64" t="s">
        <v>261</v>
      </c>
      <c r="D87" s="64" t="s">
        <v>73</v>
      </c>
      <c r="E87" s="64" t="s">
        <v>56</v>
      </c>
      <c r="F87" s="65">
        <v>59.9</v>
      </c>
      <c r="G87" s="66" t="str">
        <f>IF($D87="","",IF(COUNTIF('Config'!$N$8:$N$15,$D87)&gt;0,"Entrada",IF(COUNTIF('Config'!$P$8:$P$23,$D87)&gt;0,"Saída","Verificar")))</f>
        <v>Saída</v>
      </c>
    </row>
    <row r="88" spans="2:9" ht="16.5" customHeight="1">
      <c r="B88" s="63">
        <v>46249</v>
      </c>
      <c r="C88" s="64" t="s">
        <v>262</v>
      </c>
      <c r="D88" s="64" t="s">
        <v>79</v>
      </c>
      <c r="E88" s="64" t="s">
        <v>60</v>
      </c>
      <c r="F88" s="65">
        <v>140</v>
      </c>
      <c r="G88" s="66" t="str">
        <f>IF($D88="","",IF(COUNTIF('Config'!$N$8:$N$15,$D88)&gt;0,"Entrada",IF(COUNTIF('Config'!$P$8:$P$23,$D88)&gt;0,"Saída","Verificar")))</f>
        <v>Saída</v>
      </c>
    </row>
    <row r="89" spans="2:9" ht="16.5" customHeight="1">
      <c r="B89" s="63">
        <v>46250</v>
      </c>
      <c r="C89" s="64" t="s">
        <v>263</v>
      </c>
      <c r="D89" s="64" t="s">
        <v>74</v>
      </c>
      <c r="E89" s="64" t="s">
        <v>56</v>
      </c>
      <c r="F89" s="65">
        <v>341.16</v>
      </c>
      <c r="G89" s="66" t="str">
        <f>IF($D89="","",IF(COUNTIF('Config'!$N$8:$N$15,$D89)&gt;0,"Entrada",IF(COUNTIF('Config'!$P$8:$P$23,$D89)&gt;0,"Saída","Verificar")))</f>
        <v>Saída</v>
      </c>
    </row>
    <row r="90" spans="2:9" ht="16.5" customHeight="1">
      <c r="B90" s="63">
        <v>46252</v>
      </c>
      <c r="C90" s="64" t="s">
        <v>267</v>
      </c>
      <c r="D90" s="64" t="s">
        <v>77</v>
      </c>
      <c r="E90" s="64" t="s">
        <v>56</v>
      </c>
      <c r="F90" s="65">
        <v>138.63</v>
      </c>
      <c r="G90" s="66" t="str">
        <f>IF($D90="","",IF(COUNTIF('Config'!$N$8:$N$15,$D90)&gt;0,"Entrada",IF(COUNTIF('Config'!$P$8:$P$23,$D90)&gt;0,"Saída","Verificar")))</f>
        <v>Saída</v>
      </c>
    </row>
    <row r="91" spans="2:9" ht="16.5" customHeight="1">
      <c r="B91" s="63">
        <v>46255</v>
      </c>
      <c r="C91" s="64" t="s">
        <v>265</v>
      </c>
      <c r="D91" s="64" t="s">
        <v>76</v>
      </c>
      <c r="E91" s="64" t="s">
        <v>56</v>
      </c>
      <c r="F91" s="65">
        <v>121.1</v>
      </c>
      <c r="G91" s="66" t="str">
        <f>IF($D91="","",IF(COUNTIF('Config'!$N$8:$N$15,$D91)&gt;0,"Entrada",IF(COUNTIF('Config'!$P$8:$P$23,$D91)&gt;0,"Saída","Verificar")))</f>
        <v>Saída</v>
      </c>
    </row>
    <row r="92" spans="2:9" ht="16.5" customHeight="1">
      <c r="B92" s="63">
        <v>46262</v>
      </c>
      <c r="C92" s="64" t="s">
        <v>266</v>
      </c>
      <c r="D92" s="64" t="s">
        <v>81</v>
      </c>
      <c r="E92" s="64" t="s">
        <v>60</v>
      </c>
      <c r="F92" s="65">
        <v>29.82</v>
      </c>
      <c r="G92" s="66" t="str">
        <f>IF($D92="","",IF(COUNTIF('Config'!$N$8:$N$15,$D92)&gt;0,"Entrada",IF(COUNTIF('Config'!$P$8:$P$23,$D92)&gt;0,"Saída","Verificar")))</f>
        <v>Saída</v>
      </c>
    </row>
    <row r="93" spans="2:9" ht="16.5" customHeight="1">
      <c r="B93" s="63">
        <v>46267</v>
      </c>
      <c r="C93" s="64" t="s">
        <v>256</v>
      </c>
      <c r="D93" s="64" t="s">
        <v>73</v>
      </c>
      <c r="E93" s="64" t="s">
        <v>56</v>
      </c>
      <c r="F93" s="65">
        <v>124</v>
      </c>
      <c r="G93" s="66" t="str">
        <f>IF($D93="","",IF(COUNTIF('Config'!$N$8:$N$15,$D93)&gt;0,"Entrada",IF(COUNTIF('Config'!$P$8:$P$23,$D93)&gt;0,"Saída","Verificar")))</f>
        <v>Saída</v>
      </c>
    </row>
    <row r="94" spans="2:9" ht="16.5" customHeight="1">
      <c r="B94" s="63">
        <v>46267</v>
      </c>
      <c r="C94" s="64" t="s">
        <v>257</v>
      </c>
      <c r="D94" s="64" t="s">
        <v>73</v>
      </c>
      <c r="E94" s="64" t="s">
        <v>56</v>
      </c>
      <c r="F94" s="65">
        <v>34.9</v>
      </c>
      <c r="G94" s="66" t="str">
        <f>IF($D94="","",IF(COUNTIF('Config'!$N$8:$N$15,$D94)&gt;0,"Entrada",IF(COUNTIF('Config'!$P$8:$P$23,$D94)&gt;0,"Saída","Verificar")))</f>
        <v>Saída</v>
      </c>
    </row>
    <row r="95" spans="2:9" ht="16.5" customHeight="1">
      <c r="B95" s="63">
        <v>46270</v>
      </c>
      <c r="C95" s="64" t="s">
        <v>258</v>
      </c>
      <c r="D95" s="64" t="s">
        <v>71</v>
      </c>
      <c r="E95" s="64" t="s">
        <v>59</v>
      </c>
      <c r="F95" s="65">
        <v>4500</v>
      </c>
      <c r="G95" s="66" t="str">
        <f>IF($D95="","",IF(COUNTIF('Config'!$N$8:$N$15,$D95)&gt;0,"Entrada",IF(COUNTIF('Config'!$P$8:$P$23,$D95)&gt;0,"Saída","Verificar")))</f>
        <v>Saída</v>
      </c>
      <c r="I95" s="64" t="s">
        <v>259</v>
      </c>
    </row>
    <row r="96" spans="2:9" ht="16.5" customHeight="1">
      <c r="B96" s="63">
        <v>46274</v>
      </c>
      <c r="C96" s="64" t="s">
        <v>270</v>
      </c>
      <c r="D96" s="64" t="s">
        <v>82</v>
      </c>
      <c r="E96" s="64" t="s">
        <v>56</v>
      </c>
      <c r="F96" s="65">
        <v>320</v>
      </c>
      <c r="G96" s="66" t="str">
        <f>IF($D96="","",IF(COUNTIF('Config'!$N$8:$N$15,$D96)&gt;0,"Entrada",IF(COUNTIF('Config'!$P$8:$P$23,$D96)&gt;0,"Saída","Verificar")))</f>
        <v>Saída</v>
      </c>
    </row>
    <row r="97" spans="2:7" ht="16.5" customHeight="1">
      <c r="B97" s="63">
        <v>46275</v>
      </c>
      <c r="C97" s="64" t="s">
        <v>260</v>
      </c>
      <c r="D97" s="64" t="s">
        <v>78</v>
      </c>
      <c r="E97" s="64" t="s">
        <v>58</v>
      </c>
      <c r="F97" s="65">
        <v>450</v>
      </c>
      <c r="G97" s="66" t="str">
        <f>IF($D97="","",IF(COUNTIF('Config'!$N$8:$N$15,$D97)&gt;0,"Entrada",IF(COUNTIF('Config'!$P$8:$P$23,$D97)&gt;0,"Saída","Verificar")))</f>
        <v>Saída</v>
      </c>
    </row>
    <row r="98" spans="2:7" ht="16.5" customHeight="1">
      <c r="B98" s="63">
        <v>46277</v>
      </c>
      <c r="C98" s="64" t="s">
        <v>261</v>
      </c>
      <c r="D98" s="64" t="s">
        <v>73</v>
      </c>
      <c r="E98" s="64" t="s">
        <v>56</v>
      </c>
      <c r="F98" s="65">
        <v>59.9</v>
      </c>
      <c r="G98" s="66" t="str">
        <f>IF($D98="","",IF(COUNTIF('Config'!$N$8:$N$15,$D98)&gt;0,"Entrada",IF(COUNTIF('Config'!$P$8:$P$23,$D98)&gt;0,"Saída","Verificar")))</f>
        <v>Saída</v>
      </c>
    </row>
    <row r="99" spans="2:7" ht="16.5" customHeight="1">
      <c r="B99" s="63">
        <v>46280</v>
      </c>
      <c r="C99" s="64" t="s">
        <v>262</v>
      </c>
      <c r="D99" s="64" t="s">
        <v>79</v>
      </c>
      <c r="E99" s="64" t="s">
        <v>60</v>
      </c>
      <c r="F99" s="65">
        <v>140</v>
      </c>
      <c r="G99" s="66" t="str">
        <f>IF($D99="","",IF(COUNTIF('Config'!$N$8:$N$15,$D99)&gt;0,"Entrada",IF(COUNTIF('Config'!$P$8:$P$23,$D99)&gt;0,"Saída","Verificar")))</f>
        <v>Saída</v>
      </c>
    </row>
    <row r="100" spans="2:7" ht="16.5" customHeight="1">
      <c r="B100" s="63">
        <v>46281</v>
      </c>
      <c r="C100" s="64" t="s">
        <v>263</v>
      </c>
      <c r="D100" s="64" t="s">
        <v>74</v>
      </c>
      <c r="E100" s="64" t="s">
        <v>56</v>
      </c>
      <c r="F100" s="65">
        <v>165.34</v>
      </c>
      <c r="G100" s="66" t="str">
        <f>IF($D100="","",IF(COUNTIF('Config'!$N$8:$N$15,$D100)&gt;0,"Entrada",IF(COUNTIF('Config'!$P$8:$P$23,$D100)&gt;0,"Saída","Verificar")))</f>
        <v>Saída</v>
      </c>
    </row>
    <row r="101" spans="2:7" ht="16.5" customHeight="1">
      <c r="B101" s="63">
        <v>46286</v>
      </c>
      <c r="C101" s="64" t="s">
        <v>265</v>
      </c>
      <c r="D101" s="64" t="s">
        <v>76</v>
      </c>
      <c r="E101" s="64" t="s">
        <v>56</v>
      </c>
      <c r="F101" s="65">
        <v>141.83</v>
      </c>
      <c r="G101" s="66" t="str">
        <f>IF($D101="","",IF(COUNTIF('Config'!$N$8:$N$15,$D101)&gt;0,"Entrada",IF(COUNTIF('Config'!$P$8:$P$23,$D101)&gt;0,"Saída","Verificar")))</f>
        <v>Saída</v>
      </c>
    </row>
    <row r="102" spans="2:7" ht="16.5" customHeight="1">
      <c r="B102" s="63">
        <v>46292</v>
      </c>
      <c r="C102" s="64" t="s">
        <v>268</v>
      </c>
      <c r="D102" s="64" t="s">
        <v>63</v>
      </c>
      <c r="E102" s="64" t="s">
        <v>54</v>
      </c>
      <c r="F102" s="65">
        <v>366.84</v>
      </c>
      <c r="G102" s="66" t="str">
        <f>IF($D102="","",IF(COUNTIF('Config'!$N$8:$N$15,$D102)&gt;0,"Entrada",IF(COUNTIF('Config'!$P$8:$P$23,$D102)&gt;0,"Saída","Verificar")))</f>
        <v>Entrada</v>
      </c>
    </row>
    <row r="103" spans="2:7" ht="16.5" customHeight="1">
      <c r="B103" s="63">
        <v>46293</v>
      </c>
      <c r="C103" s="64" t="s">
        <v>266</v>
      </c>
      <c r="D103" s="64" t="s">
        <v>81</v>
      </c>
      <c r="E103" s="64" t="s">
        <v>60</v>
      </c>
      <c r="F103" s="65">
        <v>34.14</v>
      </c>
      <c r="G103" s="66" t="str">
        <f>IF($D103="","",IF(COUNTIF('Config'!$N$8:$N$15,$D103)&gt;0,"Entrada",IF(COUNTIF('Config'!$P$8:$P$23,$D103)&gt;0,"Saída","Verificar")))</f>
        <v>Saída</v>
      </c>
    </row>
    <row r="104" spans="2:7" ht="16.5" customHeight="1">
      <c r="G104" s="66">
        <f>IF($D104="","",IF(COUNTIF('Config'!$N$8:$N$15,$D104)&gt;0,"Entrada",IF(COUNTIF('Config'!$P$8:$P$23,$D104)&gt;0,"Saída","Verificar")))</f>
        <v/>
      </c>
    </row>
    <row r="105" spans="2:7" ht="16.5" customHeight="1">
      <c r="G105" s="66">
        <f>IF($D105="","",IF(COUNTIF('Config'!$N$8:$N$15,$D105)&gt;0,"Entrada",IF(COUNTIF('Config'!$P$8:$P$23,$D105)&gt;0,"Saída","Verificar")))</f>
        <v/>
      </c>
    </row>
    <row r="106" spans="2:7" ht="16.5" customHeight="1">
      <c r="G106" s="66">
        <f>IF($D106="","",IF(COUNTIF('Config'!$N$8:$N$15,$D106)&gt;0,"Entrada",IF(COUNTIF('Config'!$P$8:$P$23,$D106)&gt;0,"Saída","Verificar")))</f>
        <v/>
      </c>
    </row>
    <row r="107" spans="2:7" ht="16.5" customHeight="1">
      <c r="G107" s="66">
        <f>IF($D107="","",IF(COUNTIF('Config'!$N$8:$N$15,$D107)&gt;0,"Entrada",IF(COUNTIF('Config'!$P$8:$P$23,$D107)&gt;0,"Saída","Verificar")))</f>
        <v/>
      </c>
    </row>
    <row r="108" spans="2:7" ht="16.5" customHeight="1">
      <c r="G108" s="66">
        <f>IF($D108="","",IF(COUNTIF('Config'!$N$8:$N$15,$D108)&gt;0,"Entrada",IF(COUNTIF('Config'!$P$8:$P$23,$D108)&gt;0,"Saída","Verificar")))</f>
        <v/>
      </c>
    </row>
    <row r="109" spans="2:7" ht="16.5" customHeight="1">
      <c r="G109" s="66">
        <f>IF($D109="","",IF(COUNTIF('Config'!$N$8:$N$15,$D109)&gt;0,"Entrada",IF(COUNTIF('Config'!$P$8:$P$23,$D109)&gt;0,"Saída","Verificar")))</f>
        <v/>
      </c>
    </row>
    <row r="110" spans="2:7" ht="16.5" customHeight="1">
      <c r="G110" s="66">
        <f>IF($D110="","",IF(COUNTIF('Config'!$N$8:$N$15,$D110)&gt;0,"Entrada",IF(COUNTIF('Config'!$P$8:$P$23,$D110)&gt;0,"Saída","Verificar")))</f>
        <v/>
      </c>
    </row>
    <row r="111" spans="2:7" ht="16.5" customHeight="1">
      <c r="G111" s="66">
        <f>IF($D111="","",IF(COUNTIF('Config'!$N$8:$N$15,$D111)&gt;0,"Entrada",IF(COUNTIF('Config'!$P$8:$P$23,$D111)&gt;0,"Saída","Verificar")))</f>
        <v/>
      </c>
    </row>
    <row r="112" spans="2:7" ht="16.5" customHeight="1">
      <c r="G112" s="66">
        <f>IF($D112="","",IF(COUNTIF('Config'!$N$8:$N$15,$D112)&gt;0,"Entrada",IF(COUNTIF('Config'!$P$8:$P$23,$D112)&gt;0,"Saída","Verificar")))</f>
        <v/>
      </c>
    </row>
    <row r="113" spans="7:7" ht="16.5" customHeight="1">
      <c r="G113" s="66">
        <f>IF($D113="","",IF(COUNTIF('Config'!$N$8:$N$15,$D113)&gt;0,"Entrada",IF(COUNTIF('Config'!$P$8:$P$23,$D113)&gt;0,"Saída","Verificar")))</f>
        <v/>
      </c>
    </row>
    <row r="114" spans="7:7" ht="16.5" customHeight="1">
      <c r="G114" s="66">
        <f>IF($D114="","",IF(COUNTIF('Config'!$N$8:$N$15,$D114)&gt;0,"Entrada",IF(COUNTIF('Config'!$P$8:$P$23,$D114)&gt;0,"Saída","Verificar")))</f>
        <v/>
      </c>
    </row>
    <row r="115" spans="7:7" ht="16.5" customHeight="1">
      <c r="G115" s="66">
        <f>IF($D115="","",IF(COUNTIF('Config'!$N$8:$N$15,$D115)&gt;0,"Entrada",IF(COUNTIF('Config'!$P$8:$P$23,$D115)&gt;0,"Saída","Verificar")))</f>
        <v/>
      </c>
    </row>
    <row r="116" spans="7:7" ht="16.5" customHeight="1">
      <c r="G116" s="66">
        <f>IF($D116="","",IF(COUNTIF('Config'!$N$8:$N$15,$D116)&gt;0,"Entrada",IF(COUNTIF('Config'!$P$8:$P$23,$D116)&gt;0,"Saída","Verificar")))</f>
        <v/>
      </c>
    </row>
    <row r="117" spans="7:7" ht="16.5" customHeight="1">
      <c r="G117" s="66">
        <f>IF($D117="","",IF(COUNTIF('Config'!$N$8:$N$15,$D117)&gt;0,"Entrada",IF(COUNTIF('Config'!$P$8:$P$23,$D117)&gt;0,"Saída","Verificar")))</f>
        <v/>
      </c>
    </row>
    <row r="118" spans="7:7" ht="16.5" customHeight="1">
      <c r="G118" s="66">
        <f>IF($D118="","",IF(COUNTIF('Config'!$N$8:$N$15,$D118)&gt;0,"Entrada",IF(COUNTIF('Config'!$P$8:$P$23,$D118)&gt;0,"Saída","Verificar")))</f>
        <v/>
      </c>
    </row>
    <row r="119" spans="7:7" ht="16.5" customHeight="1">
      <c r="G119" s="66">
        <f>IF($D119="","",IF(COUNTIF('Config'!$N$8:$N$15,$D119)&gt;0,"Entrada",IF(COUNTIF('Config'!$P$8:$P$23,$D119)&gt;0,"Saída","Verificar")))</f>
        <v/>
      </c>
    </row>
    <row r="120" spans="7:7" ht="16.5" customHeight="1">
      <c r="G120" s="66">
        <f>IF($D120="","",IF(COUNTIF('Config'!$N$8:$N$15,$D120)&gt;0,"Entrada",IF(COUNTIF('Config'!$P$8:$P$23,$D120)&gt;0,"Saída","Verificar")))</f>
        <v/>
      </c>
    </row>
    <row r="121" spans="7:7" ht="16.5" customHeight="1">
      <c r="G121" s="66">
        <f>IF($D121="","",IF(COUNTIF('Config'!$N$8:$N$15,$D121)&gt;0,"Entrada",IF(COUNTIF('Config'!$P$8:$P$23,$D121)&gt;0,"Saída","Verificar")))</f>
        <v/>
      </c>
    </row>
    <row r="122" spans="7:7" ht="16.5" customHeight="1">
      <c r="G122" s="66">
        <f>IF($D122="","",IF(COUNTIF('Config'!$N$8:$N$15,$D122)&gt;0,"Entrada",IF(COUNTIF('Config'!$P$8:$P$23,$D122)&gt;0,"Saída","Verificar")))</f>
        <v/>
      </c>
    </row>
    <row r="123" spans="7:7" ht="16.5" customHeight="1">
      <c r="G123" s="66">
        <f>IF($D123="","",IF(COUNTIF('Config'!$N$8:$N$15,$D123)&gt;0,"Entrada",IF(COUNTIF('Config'!$P$8:$P$23,$D123)&gt;0,"Saída","Verificar")))</f>
        <v/>
      </c>
    </row>
    <row r="124" spans="7:7" ht="16.5" customHeight="1">
      <c r="G124" s="66">
        <f>IF($D124="","",IF(COUNTIF('Config'!$N$8:$N$15,$D124)&gt;0,"Entrada",IF(COUNTIF('Config'!$P$8:$P$23,$D124)&gt;0,"Saída","Verificar")))</f>
        <v/>
      </c>
    </row>
    <row r="125" spans="7:7" ht="16.5" customHeight="1">
      <c r="G125" s="66">
        <f>IF($D125="","",IF(COUNTIF('Config'!$N$8:$N$15,$D125)&gt;0,"Entrada",IF(COUNTIF('Config'!$P$8:$P$23,$D125)&gt;0,"Saída","Verificar")))</f>
        <v/>
      </c>
    </row>
    <row r="126" spans="7:7" ht="16.5" customHeight="1">
      <c r="G126" s="66">
        <f>IF($D126="","",IF(COUNTIF('Config'!$N$8:$N$15,$D126)&gt;0,"Entrada",IF(COUNTIF('Config'!$P$8:$P$23,$D126)&gt;0,"Saída","Verificar")))</f>
        <v/>
      </c>
    </row>
    <row r="127" spans="7:7" ht="16.5" customHeight="1">
      <c r="G127" s="66">
        <f>IF($D127="","",IF(COUNTIF('Config'!$N$8:$N$15,$D127)&gt;0,"Entrada",IF(COUNTIF('Config'!$P$8:$P$23,$D127)&gt;0,"Saída","Verificar")))</f>
        <v/>
      </c>
    </row>
    <row r="128" spans="7:7" ht="16.5" customHeight="1">
      <c r="G128" s="66">
        <f>IF($D128="","",IF(COUNTIF('Config'!$N$8:$N$15,$D128)&gt;0,"Entrada",IF(COUNTIF('Config'!$P$8:$P$23,$D128)&gt;0,"Saída","Verificar")))</f>
        <v/>
      </c>
    </row>
    <row r="129" spans="7:7" ht="16.5" customHeight="1">
      <c r="G129" s="66">
        <f>IF($D129="","",IF(COUNTIF('Config'!$N$8:$N$15,$D129)&gt;0,"Entrada",IF(COUNTIF('Config'!$P$8:$P$23,$D129)&gt;0,"Saída","Verificar")))</f>
        <v/>
      </c>
    </row>
    <row r="130" spans="7:7" ht="16.5" customHeight="1">
      <c r="G130" s="66">
        <f>IF($D130="","",IF(COUNTIF('Config'!$N$8:$N$15,$D130)&gt;0,"Entrada",IF(COUNTIF('Config'!$P$8:$P$23,$D130)&gt;0,"Saída","Verificar")))</f>
        <v/>
      </c>
    </row>
    <row r="131" spans="7:7" ht="16.5" customHeight="1">
      <c r="G131" s="66">
        <f>IF($D131="","",IF(COUNTIF('Config'!$N$8:$N$15,$D131)&gt;0,"Entrada",IF(COUNTIF('Config'!$P$8:$P$23,$D131)&gt;0,"Saída","Verificar")))</f>
        <v/>
      </c>
    </row>
    <row r="132" spans="7:7" ht="16.5" customHeight="1">
      <c r="G132" s="66">
        <f>IF($D132="","",IF(COUNTIF('Config'!$N$8:$N$15,$D132)&gt;0,"Entrada",IF(COUNTIF('Config'!$P$8:$P$23,$D132)&gt;0,"Saída","Verificar")))</f>
        <v/>
      </c>
    </row>
    <row r="133" spans="7:7" ht="16.5" customHeight="1">
      <c r="G133" s="66">
        <f>IF($D133="","",IF(COUNTIF('Config'!$N$8:$N$15,$D133)&gt;0,"Entrada",IF(COUNTIF('Config'!$P$8:$P$23,$D133)&gt;0,"Saída","Verificar")))</f>
        <v/>
      </c>
    </row>
    <row r="134" spans="7:7" ht="16.5" customHeight="1">
      <c r="G134" s="66">
        <f>IF($D134="","",IF(COUNTIF('Config'!$N$8:$N$15,$D134)&gt;0,"Entrada",IF(COUNTIF('Config'!$P$8:$P$23,$D134)&gt;0,"Saída","Verificar")))</f>
        <v/>
      </c>
    </row>
    <row r="135" spans="7:7" ht="16.5" customHeight="1">
      <c r="G135" s="66">
        <f>IF($D135="","",IF(COUNTIF('Config'!$N$8:$N$15,$D135)&gt;0,"Entrada",IF(COUNTIF('Config'!$P$8:$P$23,$D135)&gt;0,"Saída","Verificar")))</f>
        <v/>
      </c>
    </row>
    <row r="136" spans="7:7" ht="16.5" customHeight="1">
      <c r="G136" s="66">
        <f>IF($D136="","",IF(COUNTIF('Config'!$N$8:$N$15,$D136)&gt;0,"Entrada",IF(COUNTIF('Config'!$P$8:$P$23,$D136)&gt;0,"Saída","Verificar")))</f>
        <v/>
      </c>
    </row>
    <row r="137" spans="7:7" ht="16.5" customHeight="1">
      <c r="G137" s="66">
        <f>IF($D137="","",IF(COUNTIF('Config'!$N$8:$N$15,$D137)&gt;0,"Entrada",IF(COUNTIF('Config'!$P$8:$P$23,$D137)&gt;0,"Saída","Verificar")))</f>
        <v/>
      </c>
    </row>
    <row r="138" spans="7:7" ht="16.5" customHeight="1">
      <c r="G138" s="66">
        <f>IF($D138="","",IF(COUNTIF('Config'!$N$8:$N$15,$D138)&gt;0,"Entrada",IF(COUNTIF('Config'!$P$8:$P$23,$D138)&gt;0,"Saída","Verificar")))</f>
        <v/>
      </c>
    </row>
    <row r="139" spans="7:7" ht="16.5" customHeight="1">
      <c r="G139" s="66">
        <f>IF($D139="","",IF(COUNTIF('Config'!$N$8:$N$15,$D139)&gt;0,"Entrada",IF(COUNTIF('Config'!$P$8:$P$23,$D139)&gt;0,"Saída","Verificar")))</f>
        <v/>
      </c>
    </row>
    <row r="140" spans="7:7" ht="16.5" customHeight="1">
      <c r="G140" s="66">
        <f>IF($D140="","",IF(COUNTIF('Config'!$N$8:$N$15,$D140)&gt;0,"Entrada",IF(COUNTIF('Config'!$P$8:$P$23,$D140)&gt;0,"Saída","Verificar")))</f>
        <v/>
      </c>
    </row>
    <row r="141" spans="7:7" ht="16.5" customHeight="1">
      <c r="G141" s="66">
        <f>IF($D141="","",IF(COUNTIF('Config'!$N$8:$N$15,$D141)&gt;0,"Entrada",IF(COUNTIF('Config'!$P$8:$P$23,$D141)&gt;0,"Saída","Verificar")))</f>
        <v/>
      </c>
    </row>
    <row r="142" spans="7:7" ht="16.5" customHeight="1">
      <c r="G142" s="66">
        <f>IF($D142="","",IF(COUNTIF('Config'!$N$8:$N$15,$D142)&gt;0,"Entrada",IF(COUNTIF('Config'!$P$8:$P$23,$D142)&gt;0,"Saída","Verificar")))</f>
        <v/>
      </c>
    </row>
    <row r="143" spans="7:7" ht="16.5" customHeight="1">
      <c r="G143" s="66">
        <f>IF($D143="","",IF(COUNTIF('Config'!$N$8:$N$15,$D143)&gt;0,"Entrada",IF(COUNTIF('Config'!$P$8:$P$23,$D143)&gt;0,"Saída","Verificar")))</f>
        <v/>
      </c>
    </row>
    <row r="144" spans="7:7" ht="16.5" customHeight="1">
      <c r="G144" s="66">
        <f>IF($D144="","",IF(COUNTIF('Config'!$N$8:$N$15,$D144)&gt;0,"Entrada",IF(COUNTIF('Config'!$P$8:$P$23,$D144)&gt;0,"Saída","Verificar")))</f>
        <v/>
      </c>
    </row>
    <row r="145" spans="7:7" ht="16.5" customHeight="1">
      <c r="G145" s="66">
        <f>IF($D145="","",IF(COUNTIF('Config'!$N$8:$N$15,$D145)&gt;0,"Entrada",IF(COUNTIF('Config'!$P$8:$P$23,$D145)&gt;0,"Saída","Verificar")))</f>
        <v/>
      </c>
    </row>
    <row r="146" spans="7:7" ht="16.5" customHeight="1">
      <c r="G146" s="66">
        <f>IF($D146="","",IF(COUNTIF('Config'!$N$8:$N$15,$D146)&gt;0,"Entrada",IF(COUNTIF('Config'!$P$8:$P$23,$D146)&gt;0,"Saída","Verificar")))</f>
        <v/>
      </c>
    </row>
    <row r="147" spans="7:7" ht="16.5" customHeight="1">
      <c r="G147" s="66">
        <f>IF($D147="","",IF(COUNTIF('Config'!$N$8:$N$15,$D147)&gt;0,"Entrada",IF(COUNTIF('Config'!$P$8:$P$23,$D147)&gt;0,"Saída","Verificar")))</f>
        <v/>
      </c>
    </row>
    <row r="148" spans="7:7" ht="16.5" customHeight="1">
      <c r="G148" s="66">
        <f>IF($D148="","",IF(COUNTIF('Config'!$N$8:$N$15,$D148)&gt;0,"Entrada",IF(COUNTIF('Config'!$P$8:$P$23,$D148)&gt;0,"Saída","Verificar")))</f>
        <v/>
      </c>
    </row>
    <row r="149" spans="7:7" ht="16.5" customHeight="1">
      <c r="G149" s="66">
        <f>IF($D149="","",IF(COUNTIF('Config'!$N$8:$N$15,$D149)&gt;0,"Entrada",IF(COUNTIF('Config'!$P$8:$P$23,$D149)&gt;0,"Saída","Verificar")))</f>
        <v/>
      </c>
    </row>
    <row r="150" spans="7:7" ht="16.5" customHeight="1">
      <c r="G150" s="66">
        <f>IF($D150="","",IF(COUNTIF('Config'!$N$8:$N$15,$D150)&gt;0,"Entrada",IF(COUNTIF('Config'!$P$8:$P$23,$D150)&gt;0,"Saída","Verificar")))</f>
        <v/>
      </c>
    </row>
    <row r="151" spans="7:7" ht="16.5" customHeight="1">
      <c r="G151" s="66">
        <f>IF($D151="","",IF(COUNTIF('Config'!$N$8:$N$15,$D151)&gt;0,"Entrada",IF(COUNTIF('Config'!$P$8:$P$23,$D151)&gt;0,"Saída","Verificar")))</f>
        <v/>
      </c>
    </row>
    <row r="152" spans="7:7" ht="16.5" customHeight="1">
      <c r="G152" s="66">
        <f>IF($D152="","",IF(COUNTIF('Config'!$N$8:$N$15,$D152)&gt;0,"Entrada",IF(COUNTIF('Config'!$P$8:$P$23,$D152)&gt;0,"Saída","Verificar")))</f>
        <v/>
      </c>
    </row>
    <row r="153" spans="7:7" ht="16.5" customHeight="1">
      <c r="G153" s="66">
        <f>IF($D153="","",IF(COUNTIF('Config'!$N$8:$N$15,$D153)&gt;0,"Entrada",IF(COUNTIF('Config'!$P$8:$P$23,$D153)&gt;0,"Saída","Verificar")))</f>
        <v/>
      </c>
    </row>
    <row r="154" spans="7:7" ht="16.5" customHeight="1">
      <c r="G154" s="66">
        <f>IF($D154="","",IF(COUNTIF('Config'!$N$8:$N$15,$D154)&gt;0,"Entrada",IF(COUNTIF('Config'!$P$8:$P$23,$D154)&gt;0,"Saída","Verificar")))</f>
        <v/>
      </c>
    </row>
    <row r="155" spans="7:7" ht="16.5" customHeight="1">
      <c r="G155" s="66">
        <f>IF($D155="","",IF(COUNTIF('Config'!$N$8:$N$15,$D155)&gt;0,"Entrada",IF(COUNTIF('Config'!$P$8:$P$23,$D155)&gt;0,"Saída","Verificar")))</f>
        <v/>
      </c>
    </row>
    <row r="156" spans="7:7" ht="16.5" customHeight="1">
      <c r="G156" s="66">
        <f>IF($D156="","",IF(COUNTIF('Config'!$N$8:$N$15,$D156)&gt;0,"Entrada",IF(COUNTIF('Config'!$P$8:$P$23,$D156)&gt;0,"Saída","Verificar")))</f>
        <v/>
      </c>
    </row>
    <row r="157" spans="7:7" ht="16.5" customHeight="1">
      <c r="G157" s="66">
        <f>IF($D157="","",IF(COUNTIF('Config'!$N$8:$N$15,$D157)&gt;0,"Entrada",IF(COUNTIF('Config'!$P$8:$P$23,$D157)&gt;0,"Saída","Verificar")))</f>
        <v/>
      </c>
    </row>
    <row r="158" spans="7:7" ht="16.5" customHeight="1">
      <c r="G158" s="66">
        <f>IF($D158="","",IF(COUNTIF('Config'!$N$8:$N$15,$D158)&gt;0,"Entrada",IF(COUNTIF('Config'!$P$8:$P$23,$D158)&gt;0,"Saída","Verificar")))</f>
        <v/>
      </c>
    </row>
    <row r="159" spans="7:7" ht="16.5" customHeight="1">
      <c r="G159" s="66">
        <f>IF($D159="","",IF(COUNTIF('Config'!$N$8:$N$15,$D159)&gt;0,"Entrada",IF(COUNTIF('Config'!$P$8:$P$23,$D159)&gt;0,"Saída","Verificar")))</f>
        <v/>
      </c>
    </row>
    <row r="160" spans="7:7" ht="16.5" customHeight="1">
      <c r="G160" s="66">
        <f>IF($D160="","",IF(COUNTIF('Config'!$N$8:$N$15,$D160)&gt;0,"Entrada",IF(COUNTIF('Config'!$P$8:$P$23,$D160)&gt;0,"Saída","Verificar")))</f>
        <v/>
      </c>
    </row>
    <row r="161" spans="7:7" ht="16.5" customHeight="1">
      <c r="G161" s="66">
        <f>IF($D161="","",IF(COUNTIF('Config'!$N$8:$N$15,$D161)&gt;0,"Entrada",IF(COUNTIF('Config'!$P$8:$P$23,$D161)&gt;0,"Saída","Verificar")))</f>
        <v/>
      </c>
    </row>
    <row r="162" spans="7:7" ht="16.5" customHeight="1">
      <c r="G162" s="66">
        <f>IF($D162="","",IF(COUNTIF('Config'!$N$8:$N$15,$D162)&gt;0,"Entrada",IF(COUNTIF('Config'!$P$8:$P$23,$D162)&gt;0,"Saída","Verificar")))</f>
        <v/>
      </c>
    </row>
    <row r="163" spans="7:7" ht="16.5" customHeight="1">
      <c r="G163" s="66">
        <f>IF($D163="","",IF(COUNTIF('Config'!$N$8:$N$15,$D163)&gt;0,"Entrada",IF(COUNTIF('Config'!$P$8:$P$23,$D163)&gt;0,"Saída","Verificar")))</f>
        <v/>
      </c>
    </row>
    <row r="164" spans="7:7" ht="16.5" customHeight="1">
      <c r="G164" s="66">
        <f>IF($D164="","",IF(COUNTIF('Config'!$N$8:$N$15,$D164)&gt;0,"Entrada",IF(COUNTIF('Config'!$P$8:$P$23,$D164)&gt;0,"Saída","Verificar")))</f>
        <v/>
      </c>
    </row>
    <row r="165" spans="7:7" ht="16.5" customHeight="1">
      <c r="G165" s="66">
        <f>IF($D165="","",IF(COUNTIF('Config'!$N$8:$N$15,$D165)&gt;0,"Entrada",IF(COUNTIF('Config'!$P$8:$P$23,$D165)&gt;0,"Saída","Verificar")))</f>
        <v/>
      </c>
    </row>
    <row r="166" spans="7:7" ht="16.5" customHeight="1">
      <c r="G166" s="66">
        <f>IF($D166="","",IF(COUNTIF('Config'!$N$8:$N$15,$D166)&gt;0,"Entrada",IF(COUNTIF('Config'!$P$8:$P$23,$D166)&gt;0,"Saída","Verificar")))</f>
        <v/>
      </c>
    </row>
    <row r="167" spans="7:7" ht="16.5" customHeight="1">
      <c r="G167" s="66">
        <f>IF($D167="","",IF(COUNTIF('Config'!$N$8:$N$15,$D167)&gt;0,"Entrada",IF(COUNTIF('Config'!$P$8:$P$23,$D167)&gt;0,"Saída","Verificar")))</f>
        <v/>
      </c>
    </row>
    <row r="168" spans="7:7" ht="16.5" customHeight="1">
      <c r="G168" s="66">
        <f>IF($D168="","",IF(COUNTIF('Config'!$N$8:$N$15,$D168)&gt;0,"Entrada",IF(COUNTIF('Config'!$P$8:$P$23,$D168)&gt;0,"Saída","Verificar")))</f>
        <v/>
      </c>
    </row>
    <row r="169" spans="7:7" ht="16.5" customHeight="1">
      <c r="G169" s="66">
        <f>IF($D169="","",IF(COUNTIF('Config'!$N$8:$N$15,$D169)&gt;0,"Entrada",IF(COUNTIF('Config'!$P$8:$P$23,$D169)&gt;0,"Saída","Verificar")))</f>
        <v/>
      </c>
    </row>
    <row r="170" spans="7:7" ht="16.5" customHeight="1">
      <c r="G170" s="66">
        <f>IF($D170="","",IF(COUNTIF('Config'!$N$8:$N$15,$D170)&gt;0,"Entrada",IF(COUNTIF('Config'!$P$8:$P$23,$D170)&gt;0,"Saída","Verificar")))</f>
        <v/>
      </c>
    </row>
    <row r="171" spans="7:7" ht="16.5" customHeight="1">
      <c r="G171" s="66">
        <f>IF($D171="","",IF(COUNTIF('Config'!$N$8:$N$15,$D171)&gt;0,"Entrada",IF(COUNTIF('Config'!$P$8:$P$23,$D171)&gt;0,"Saída","Verificar")))</f>
        <v/>
      </c>
    </row>
    <row r="172" spans="7:7" ht="16.5" customHeight="1">
      <c r="G172" s="66">
        <f>IF($D172="","",IF(COUNTIF('Config'!$N$8:$N$15,$D172)&gt;0,"Entrada",IF(COUNTIF('Config'!$P$8:$P$23,$D172)&gt;0,"Saída","Verificar")))</f>
        <v/>
      </c>
    </row>
    <row r="173" spans="7:7" ht="16.5" customHeight="1">
      <c r="G173" s="66">
        <f>IF($D173="","",IF(COUNTIF('Config'!$N$8:$N$15,$D173)&gt;0,"Entrada",IF(COUNTIF('Config'!$P$8:$P$23,$D173)&gt;0,"Saída","Verificar")))</f>
        <v/>
      </c>
    </row>
    <row r="174" spans="7:7" ht="16.5" customHeight="1">
      <c r="G174" s="66">
        <f>IF($D174="","",IF(COUNTIF('Config'!$N$8:$N$15,$D174)&gt;0,"Entrada",IF(COUNTIF('Config'!$P$8:$P$23,$D174)&gt;0,"Saída","Verificar")))</f>
        <v/>
      </c>
    </row>
    <row r="175" spans="7:7" ht="16.5" customHeight="1">
      <c r="G175" s="66">
        <f>IF($D175="","",IF(COUNTIF('Config'!$N$8:$N$15,$D175)&gt;0,"Entrada",IF(COUNTIF('Config'!$P$8:$P$23,$D175)&gt;0,"Saída","Verificar")))</f>
        <v/>
      </c>
    </row>
    <row r="176" spans="7:7" ht="16.5" customHeight="1">
      <c r="G176" s="66">
        <f>IF($D176="","",IF(COUNTIF('Config'!$N$8:$N$15,$D176)&gt;0,"Entrada",IF(COUNTIF('Config'!$P$8:$P$23,$D176)&gt;0,"Saída","Verificar")))</f>
        <v/>
      </c>
    </row>
    <row r="177" spans="7:7" ht="16.5" customHeight="1">
      <c r="G177" s="66">
        <f>IF($D177="","",IF(COUNTIF('Config'!$N$8:$N$15,$D177)&gt;0,"Entrada",IF(COUNTIF('Config'!$P$8:$P$23,$D177)&gt;0,"Saída","Verificar")))</f>
        <v/>
      </c>
    </row>
    <row r="178" spans="7:7" ht="16.5" customHeight="1">
      <c r="G178" s="66">
        <f>IF($D178="","",IF(COUNTIF('Config'!$N$8:$N$15,$D178)&gt;0,"Entrada",IF(COUNTIF('Config'!$P$8:$P$23,$D178)&gt;0,"Saída","Verificar")))</f>
        <v/>
      </c>
    </row>
    <row r="179" spans="7:7" ht="16.5" customHeight="1">
      <c r="G179" s="66">
        <f>IF($D179="","",IF(COUNTIF('Config'!$N$8:$N$15,$D179)&gt;0,"Entrada",IF(COUNTIF('Config'!$P$8:$P$23,$D179)&gt;0,"Saída","Verificar")))</f>
        <v/>
      </c>
    </row>
    <row r="180" spans="7:7" ht="16.5" customHeight="1">
      <c r="G180" s="66">
        <f>IF($D180="","",IF(COUNTIF('Config'!$N$8:$N$15,$D180)&gt;0,"Entrada",IF(COUNTIF('Config'!$P$8:$P$23,$D180)&gt;0,"Saída","Verificar")))</f>
        <v/>
      </c>
    </row>
    <row r="181" spans="7:7" ht="16.5" customHeight="1">
      <c r="G181" s="66">
        <f>IF($D181="","",IF(COUNTIF('Config'!$N$8:$N$15,$D181)&gt;0,"Entrada",IF(COUNTIF('Config'!$P$8:$P$23,$D181)&gt;0,"Saída","Verificar")))</f>
        <v/>
      </c>
    </row>
    <row r="182" spans="7:7" ht="16.5" customHeight="1">
      <c r="G182" s="66">
        <f>IF($D182="","",IF(COUNTIF('Config'!$N$8:$N$15,$D182)&gt;0,"Entrada",IF(COUNTIF('Config'!$P$8:$P$23,$D182)&gt;0,"Saída","Verificar")))</f>
        <v/>
      </c>
    </row>
    <row r="183" spans="7:7" ht="16.5" customHeight="1">
      <c r="G183" s="66">
        <f>IF($D183="","",IF(COUNTIF('Config'!$N$8:$N$15,$D183)&gt;0,"Entrada",IF(COUNTIF('Config'!$P$8:$P$23,$D183)&gt;0,"Saída","Verificar")))</f>
        <v/>
      </c>
    </row>
    <row r="184" spans="7:7" ht="16.5" customHeight="1">
      <c r="G184" s="66">
        <f>IF($D184="","",IF(COUNTIF('Config'!$N$8:$N$15,$D184)&gt;0,"Entrada",IF(COUNTIF('Config'!$P$8:$P$23,$D184)&gt;0,"Saída","Verificar")))</f>
        <v/>
      </c>
    </row>
    <row r="185" spans="7:7" ht="16.5" customHeight="1">
      <c r="G185" s="66">
        <f>IF($D185="","",IF(COUNTIF('Config'!$N$8:$N$15,$D185)&gt;0,"Entrada",IF(COUNTIF('Config'!$P$8:$P$23,$D185)&gt;0,"Saída","Verificar")))</f>
        <v/>
      </c>
    </row>
    <row r="186" spans="7:7" ht="16.5" customHeight="1">
      <c r="G186" s="66">
        <f>IF($D186="","",IF(COUNTIF('Config'!$N$8:$N$15,$D186)&gt;0,"Entrada",IF(COUNTIF('Config'!$P$8:$P$23,$D186)&gt;0,"Saída","Verificar")))</f>
        <v/>
      </c>
    </row>
    <row r="187" spans="7:7" ht="16.5" customHeight="1">
      <c r="G187" s="66">
        <f>IF($D187="","",IF(COUNTIF('Config'!$N$8:$N$15,$D187)&gt;0,"Entrada",IF(COUNTIF('Config'!$P$8:$P$23,$D187)&gt;0,"Saída","Verificar")))</f>
        <v/>
      </c>
    </row>
    <row r="188" spans="7:7" ht="16.5" customHeight="1">
      <c r="G188" s="66">
        <f>IF($D188="","",IF(COUNTIF('Config'!$N$8:$N$15,$D188)&gt;0,"Entrada",IF(COUNTIF('Config'!$P$8:$P$23,$D188)&gt;0,"Saída","Verificar")))</f>
        <v/>
      </c>
    </row>
    <row r="189" spans="7:7" ht="16.5" customHeight="1">
      <c r="G189" s="66">
        <f>IF($D189="","",IF(COUNTIF('Config'!$N$8:$N$15,$D189)&gt;0,"Entrada",IF(COUNTIF('Config'!$P$8:$P$23,$D189)&gt;0,"Saída","Verificar")))</f>
        <v/>
      </c>
    </row>
    <row r="190" spans="7:7" ht="16.5" customHeight="1">
      <c r="G190" s="66">
        <f>IF($D190="","",IF(COUNTIF('Config'!$N$8:$N$15,$D190)&gt;0,"Entrada",IF(COUNTIF('Config'!$P$8:$P$23,$D190)&gt;0,"Saída","Verificar")))</f>
        <v/>
      </c>
    </row>
    <row r="191" spans="7:7" ht="16.5" customHeight="1">
      <c r="G191" s="66">
        <f>IF($D191="","",IF(COUNTIF('Config'!$N$8:$N$15,$D191)&gt;0,"Entrada",IF(COUNTIF('Config'!$P$8:$P$23,$D191)&gt;0,"Saída","Verificar")))</f>
        <v/>
      </c>
    </row>
    <row r="192" spans="7:7" ht="16.5" customHeight="1">
      <c r="G192" s="66">
        <f>IF($D192="","",IF(COUNTIF('Config'!$N$8:$N$15,$D192)&gt;0,"Entrada",IF(COUNTIF('Config'!$P$8:$P$23,$D192)&gt;0,"Saída","Verificar")))</f>
        <v/>
      </c>
    </row>
    <row r="193" spans="7:7" ht="16.5" customHeight="1">
      <c r="G193" s="66">
        <f>IF($D193="","",IF(COUNTIF('Config'!$N$8:$N$15,$D193)&gt;0,"Entrada",IF(COUNTIF('Config'!$P$8:$P$23,$D193)&gt;0,"Saída","Verificar")))</f>
        <v/>
      </c>
    </row>
    <row r="194" spans="7:7" ht="16.5" customHeight="1">
      <c r="G194" s="66">
        <f>IF($D194="","",IF(COUNTIF('Config'!$N$8:$N$15,$D194)&gt;0,"Entrada",IF(COUNTIF('Config'!$P$8:$P$23,$D194)&gt;0,"Saída","Verificar")))</f>
        <v/>
      </c>
    </row>
    <row r="195" spans="7:7" ht="16.5" customHeight="1">
      <c r="G195" s="66">
        <f>IF($D195="","",IF(COUNTIF('Config'!$N$8:$N$15,$D195)&gt;0,"Entrada",IF(COUNTIF('Config'!$P$8:$P$23,$D195)&gt;0,"Saída","Verificar")))</f>
        <v/>
      </c>
    </row>
    <row r="196" spans="7:7" ht="16.5" customHeight="1">
      <c r="G196" s="66">
        <f>IF($D196="","",IF(COUNTIF('Config'!$N$8:$N$15,$D196)&gt;0,"Entrada",IF(COUNTIF('Config'!$P$8:$P$23,$D196)&gt;0,"Saída","Verificar")))</f>
        <v/>
      </c>
    </row>
    <row r="197" spans="7:7" ht="16.5" customHeight="1">
      <c r="G197" s="66">
        <f>IF($D197="","",IF(COUNTIF('Config'!$N$8:$N$15,$D197)&gt;0,"Entrada",IF(COUNTIF('Config'!$P$8:$P$23,$D197)&gt;0,"Saída","Verificar")))</f>
        <v/>
      </c>
    </row>
    <row r="198" spans="7:7" ht="16.5" customHeight="1">
      <c r="G198" s="66">
        <f>IF($D198="","",IF(COUNTIF('Config'!$N$8:$N$15,$D198)&gt;0,"Entrada",IF(COUNTIF('Config'!$P$8:$P$23,$D198)&gt;0,"Saída","Verificar")))</f>
        <v/>
      </c>
    </row>
    <row r="199" spans="7:7" ht="16.5" customHeight="1">
      <c r="G199" s="66">
        <f>IF($D199="","",IF(COUNTIF('Config'!$N$8:$N$15,$D199)&gt;0,"Entrada",IF(COUNTIF('Config'!$P$8:$P$23,$D199)&gt;0,"Saída","Verificar")))</f>
        <v/>
      </c>
    </row>
    <row r="200" spans="7:7" ht="16.5" customHeight="1">
      <c r="G200" s="66">
        <f>IF($D200="","",IF(COUNTIF('Config'!$N$8:$N$15,$D200)&gt;0,"Entrada",IF(COUNTIF('Config'!$P$8:$P$23,$D200)&gt;0,"Saída","Verificar")))</f>
        <v/>
      </c>
    </row>
    <row r="201" spans="7:7" ht="16.5" customHeight="1">
      <c r="G201" s="66">
        <f>IF($D201="","",IF(COUNTIF('Config'!$N$8:$N$15,$D201)&gt;0,"Entrada",IF(COUNTIF('Config'!$P$8:$P$23,$D201)&gt;0,"Saída","Verificar")))</f>
        <v/>
      </c>
    </row>
    <row r="202" spans="7:7" ht="16.5" customHeight="1">
      <c r="G202" s="66">
        <f>IF($D202="","",IF(COUNTIF('Config'!$N$8:$N$15,$D202)&gt;0,"Entrada",IF(COUNTIF('Config'!$P$8:$P$23,$D202)&gt;0,"Saída","Verificar")))</f>
        <v/>
      </c>
    </row>
    <row r="203" spans="7:7" ht="16.5" customHeight="1">
      <c r="G203" s="66">
        <f>IF($D203="","",IF(COUNTIF('Config'!$N$8:$N$15,$D203)&gt;0,"Entrada",IF(COUNTIF('Config'!$P$8:$P$23,$D203)&gt;0,"Saída","Verificar")))</f>
        <v/>
      </c>
    </row>
    <row r="204" spans="7:7" ht="16.5" customHeight="1">
      <c r="G204" s="66">
        <f>IF($D204="","",IF(COUNTIF('Config'!$N$8:$N$15,$D204)&gt;0,"Entrada",IF(COUNTIF('Config'!$P$8:$P$23,$D204)&gt;0,"Saída","Verificar")))</f>
        <v/>
      </c>
    </row>
    <row r="205" spans="7:7" ht="16.5" customHeight="1">
      <c r="G205" s="66">
        <f>IF($D205="","",IF(COUNTIF('Config'!$N$8:$N$15,$D205)&gt;0,"Entrada",IF(COUNTIF('Config'!$P$8:$P$23,$D205)&gt;0,"Saída","Verificar")))</f>
        <v/>
      </c>
    </row>
    <row r="206" spans="7:7" ht="16.5" customHeight="1">
      <c r="G206" s="66">
        <f>IF($D206="","",IF(COUNTIF('Config'!$N$8:$N$15,$D206)&gt;0,"Entrada",IF(COUNTIF('Config'!$P$8:$P$23,$D206)&gt;0,"Saída","Verificar")))</f>
        <v/>
      </c>
    </row>
    <row r="207" spans="7:7" ht="16.5" customHeight="1">
      <c r="G207" s="66">
        <f>IF($D207="","",IF(COUNTIF('Config'!$N$8:$N$15,$D207)&gt;0,"Entrada",IF(COUNTIF('Config'!$P$8:$P$23,$D207)&gt;0,"Saída","Verificar")))</f>
        <v/>
      </c>
    </row>
    <row r="208" spans="7:7" ht="16.5" customHeight="1">
      <c r="G208" s="66">
        <f>IF($D208="","",IF(COUNTIF('Config'!$N$8:$N$15,$D208)&gt;0,"Entrada",IF(COUNTIF('Config'!$P$8:$P$23,$D208)&gt;0,"Saída","Verificar")))</f>
        <v/>
      </c>
    </row>
    <row r="209" spans="7:7" ht="16.5" customHeight="1">
      <c r="G209" s="66">
        <f>IF($D209="","",IF(COUNTIF('Config'!$N$8:$N$15,$D209)&gt;0,"Entrada",IF(COUNTIF('Config'!$P$8:$P$23,$D209)&gt;0,"Saída","Verificar")))</f>
        <v/>
      </c>
    </row>
    <row r="210" spans="7:7" ht="16.5" customHeight="1">
      <c r="G210" s="66">
        <f>IF($D210="","",IF(COUNTIF('Config'!$N$8:$N$15,$D210)&gt;0,"Entrada",IF(COUNTIF('Config'!$P$8:$P$23,$D210)&gt;0,"Saída","Verificar")))</f>
        <v/>
      </c>
    </row>
    <row r="211" spans="7:7" ht="16.5" customHeight="1">
      <c r="G211" s="66">
        <f>IF($D211="","",IF(COUNTIF('Config'!$N$8:$N$15,$D211)&gt;0,"Entrada",IF(COUNTIF('Config'!$P$8:$P$23,$D211)&gt;0,"Saída","Verificar")))</f>
        <v/>
      </c>
    </row>
    <row r="212" spans="7:7" ht="16.5" customHeight="1">
      <c r="G212" s="66">
        <f>IF($D212="","",IF(COUNTIF('Config'!$N$8:$N$15,$D212)&gt;0,"Entrada",IF(COUNTIF('Config'!$P$8:$P$23,$D212)&gt;0,"Saída","Verificar")))</f>
        <v/>
      </c>
    </row>
    <row r="213" spans="7:7" ht="16.5" customHeight="1">
      <c r="G213" s="66">
        <f>IF($D213="","",IF(COUNTIF('Config'!$N$8:$N$15,$D213)&gt;0,"Entrada",IF(COUNTIF('Config'!$P$8:$P$23,$D213)&gt;0,"Saída","Verificar")))</f>
        <v/>
      </c>
    </row>
    <row r="214" spans="7:7" ht="16.5" customHeight="1">
      <c r="G214" s="66">
        <f>IF($D214="","",IF(COUNTIF('Config'!$N$8:$N$15,$D214)&gt;0,"Entrada",IF(COUNTIF('Config'!$P$8:$P$23,$D214)&gt;0,"Saída","Verificar")))</f>
        <v/>
      </c>
    </row>
    <row r="215" spans="7:7" ht="16.5" customHeight="1">
      <c r="G215" s="66">
        <f>IF($D215="","",IF(COUNTIF('Config'!$N$8:$N$15,$D215)&gt;0,"Entrada",IF(COUNTIF('Config'!$P$8:$P$23,$D215)&gt;0,"Saída","Verificar")))</f>
        <v/>
      </c>
    </row>
    <row r="216" spans="7:7" ht="16.5" customHeight="1">
      <c r="G216" s="66">
        <f>IF($D216="","",IF(COUNTIF('Config'!$N$8:$N$15,$D216)&gt;0,"Entrada",IF(COUNTIF('Config'!$P$8:$P$23,$D216)&gt;0,"Saída","Verificar")))</f>
        <v/>
      </c>
    </row>
    <row r="217" spans="7:7" ht="16.5" customHeight="1">
      <c r="G217" s="66">
        <f>IF($D217="","",IF(COUNTIF('Config'!$N$8:$N$15,$D217)&gt;0,"Entrada",IF(COUNTIF('Config'!$P$8:$P$23,$D217)&gt;0,"Saída","Verificar")))</f>
        <v/>
      </c>
    </row>
    <row r="218" spans="7:7" ht="16.5" customHeight="1">
      <c r="G218" s="66">
        <f>IF($D218="","",IF(COUNTIF('Config'!$N$8:$N$15,$D218)&gt;0,"Entrada",IF(COUNTIF('Config'!$P$8:$P$23,$D218)&gt;0,"Saída","Verificar")))</f>
        <v/>
      </c>
    </row>
    <row r="219" spans="7:7" ht="16.5" customHeight="1">
      <c r="G219" s="66">
        <f>IF($D219="","",IF(COUNTIF('Config'!$N$8:$N$15,$D219)&gt;0,"Entrada",IF(COUNTIF('Config'!$P$8:$P$23,$D219)&gt;0,"Saída","Verificar")))</f>
        <v/>
      </c>
    </row>
    <row r="220" spans="7:7" ht="16.5" customHeight="1">
      <c r="G220" s="66">
        <f>IF($D220="","",IF(COUNTIF('Config'!$N$8:$N$15,$D220)&gt;0,"Entrada",IF(COUNTIF('Config'!$P$8:$P$23,$D220)&gt;0,"Saída","Verificar")))</f>
        <v/>
      </c>
    </row>
    <row r="221" spans="7:7" ht="16.5" customHeight="1">
      <c r="G221" s="66">
        <f>IF($D221="","",IF(COUNTIF('Config'!$N$8:$N$15,$D221)&gt;0,"Entrada",IF(COUNTIF('Config'!$P$8:$P$23,$D221)&gt;0,"Saída","Verificar")))</f>
        <v/>
      </c>
    </row>
    <row r="222" spans="7:7" ht="16.5" customHeight="1">
      <c r="G222" s="66">
        <f>IF($D222="","",IF(COUNTIF('Config'!$N$8:$N$15,$D222)&gt;0,"Entrada",IF(COUNTIF('Config'!$P$8:$P$23,$D222)&gt;0,"Saída","Verificar")))</f>
        <v/>
      </c>
    </row>
    <row r="223" spans="7:7" ht="16.5" customHeight="1">
      <c r="G223" s="66">
        <f>IF($D223="","",IF(COUNTIF('Config'!$N$8:$N$15,$D223)&gt;0,"Entrada",IF(COUNTIF('Config'!$P$8:$P$23,$D223)&gt;0,"Saída","Verificar")))</f>
        <v/>
      </c>
    </row>
    <row r="224" spans="7:7" ht="16.5" customHeight="1">
      <c r="G224" s="66">
        <f>IF($D224="","",IF(COUNTIF('Config'!$N$8:$N$15,$D224)&gt;0,"Entrada",IF(COUNTIF('Config'!$P$8:$P$23,$D224)&gt;0,"Saída","Verificar")))</f>
        <v/>
      </c>
    </row>
    <row r="225" spans="7:7" ht="16.5" customHeight="1">
      <c r="G225" s="66">
        <f>IF($D225="","",IF(COUNTIF('Config'!$N$8:$N$15,$D225)&gt;0,"Entrada",IF(COUNTIF('Config'!$P$8:$P$23,$D225)&gt;0,"Saída","Verificar")))</f>
        <v/>
      </c>
    </row>
    <row r="226" spans="7:7" ht="16.5" customHeight="1">
      <c r="G226" s="66">
        <f>IF($D226="","",IF(COUNTIF('Config'!$N$8:$N$15,$D226)&gt;0,"Entrada",IF(COUNTIF('Config'!$P$8:$P$23,$D226)&gt;0,"Saída","Verificar")))</f>
        <v/>
      </c>
    </row>
    <row r="227" spans="7:7" ht="16.5" customHeight="1">
      <c r="G227" s="66">
        <f>IF($D227="","",IF(COUNTIF('Config'!$N$8:$N$15,$D227)&gt;0,"Entrada",IF(COUNTIF('Config'!$P$8:$P$23,$D227)&gt;0,"Saída","Verificar")))</f>
        <v/>
      </c>
    </row>
    <row r="228" spans="7:7" ht="16.5" customHeight="1">
      <c r="G228" s="66">
        <f>IF($D228="","",IF(COUNTIF('Config'!$N$8:$N$15,$D228)&gt;0,"Entrada",IF(COUNTIF('Config'!$P$8:$P$23,$D228)&gt;0,"Saída","Verificar")))</f>
        <v/>
      </c>
    </row>
    <row r="229" spans="7:7" ht="16.5" customHeight="1">
      <c r="G229" s="66">
        <f>IF($D229="","",IF(COUNTIF('Config'!$N$8:$N$15,$D229)&gt;0,"Entrada",IF(COUNTIF('Config'!$P$8:$P$23,$D229)&gt;0,"Saída","Verificar")))</f>
        <v/>
      </c>
    </row>
    <row r="230" spans="7:7" ht="16.5" customHeight="1">
      <c r="G230" s="66">
        <f>IF($D230="","",IF(COUNTIF('Config'!$N$8:$N$15,$D230)&gt;0,"Entrada",IF(COUNTIF('Config'!$P$8:$P$23,$D230)&gt;0,"Saída","Verificar")))</f>
        <v/>
      </c>
    </row>
    <row r="231" spans="7:7" ht="16.5" customHeight="1">
      <c r="G231" s="66">
        <f>IF($D231="","",IF(COUNTIF('Config'!$N$8:$N$15,$D231)&gt;0,"Entrada",IF(COUNTIF('Config'!$P$8:$P$23,$D231)&gt;0,"Saída","Verificar")))</f>
        <v/>
      </c>
    </row>
    <row r="232" spans="7:7" ht="16.5" customHeight="1">
      <c r="G232" s="66">
        <f>IF($D232="","",IF(COUNTIF('Config'!$N$8:$N$15,$D232)&gt;0,"Entrada",IF(COUNTIF('Config'!$P$8:$P$23,$D232)&gt;0,"Saída","Verificar")))</f>
        <v/>
      </c>
    </row>
    <row r="233" spans="7:7" ht="16.5" customHeight="1">
      <c r="G233" s="66">
        <f>IF($D233="","",IF(COUNTIF('Config'!$N$8:$N$15,$D233)&gt;0,"Entrada",IF(COUNTIF('Config'!$P$8:$P$23,$D233)&gt;0,"Saída","Verificar")))</f>
        <v/>
      </c>
    </row>
    <row r="234" spans="7:7" ht="16.5" customHeight="1">
      <c r="G234" s="66">
        <f>IF($D234="","",IF(COUNTIF('Config'!$N$8:$N$15,$D234)&gt;0,"Entrada",IF(COUNTIF('Config'!$P$8:$P$23,$D234)&gt;0,"Saída","Verificar")))</f>
        <v/>
      </c>
    </row>
    <row r="235" spans="7:7" ht="16.5" customHeight="1">
      <c r="G235" s="66">
        <f>IF($D235="","",IF(COUNTIF('Config'!$N$8:$N$15,$D235)&gt;0,"Entrada",IF(COUNTIF('Config'!$P$8:$P$23,$D235)&gt;0,"Saída","Verificar")))</f>
        <v/>
      </c>
    </row>
    <row r="236" spans="7:7" ht="16.5" customHeight="1">
      <c r="G236" s="66">
        <f>IF($D236="","",IF(COUNTIF('Config'!$N$8:$N$15,$D236)&gt;0,"Entrada",IF(COUNTIF('Config'!$P$8:$P$23,$D236)&gt;0,"Saída","Verificar")))</f>
        <v/>
      </c>
    </row>
    <row r="237" spans="7:7" ht="16.5" customHeight="1">
      <c r="G237" s="66">
        <f>IF($D237="","",IF(COUNTIF('Config'!$N$8:$N$15,$D237)&gt;0,"Entrada",IF(COUNTIF('Config'!$P$8:$P$23,$D237)&gt;0,"Saída","Verificar")))</f>
        <v/>
      </c>
    </row>
    <row r="238" spans="7:7" ht="16.5" customHeight="1">
      <c r="G238" s="66">
        <f>IF($D238="","",IF(COUNTIF('Config'!$N$8:$N$15,$D238)&gt;0,"Entrada",IF(COUNTIF('Config'!$P$8:$P$23,$D238)&gt;0,"Saída","Verificar")))</f>
        <v/>
      </c>
    </row>
    <row r="239" spans="7:7" ht="16.5" customHeight="1">
      <c r="G239" s="66">
        <f>IF($D239="","",IF(COUNTIF('Config'!$N$8:$N$15,$D239)&gt;0,"Entrada",IF(COUNTIF('Config'!$P$8:$P$23,$D239)&gt;0,"Saída","Verificar")))</f>
        <v/>
      </c>
    </row>
    <row r="240" spans="7:7" ht="16.5" customHeight="1">
      <c r="G240" s="66">
        <f>IF($D240="","",IF(COUNTIF('Config'!$N$8:$N$15,$D240)&gt;0,"Entrada",IF(COUNTIF('Config'!$P$8:$P$23,$D240)&gt;0,"Saída","Verificar")))</f>
        <v/>
      </c>
    </row>
    <row r="241" spans="7:7" ht="16.5" customHeight="1">
      <c r="G241" s="66">
        <f>IF($D241="","",IF(COUNTIF('Config'!$N$8:$N$15,$D241)&gt;0,"Entrada",IF(COUNTIF('Config'!$P$8:$P$23,$D241)&gt;0,"Saída","Verificar")))</f>
        <v/>
      </c>
    </row>
    <row r="242" spans="7:7" ht="16.5" customHeight="1">
      <c r="G242" s="66">
        <f>IF($D242="","",IF(COUNTIF('Config'!$N$8:$N$15,$D242)&gt;0,"Entrada",IF(COUNTIF('Config'!$P$8:$P$23,$D242)&gt;0,"Saída","Verificar")))</f>
        <v/>
      </c>
    </row>
    <row r="243" spans="7:7" ht="16.5" customHeight="1">
      <c r="G243" s="66">
        <f>IF($D243="","",IF(COUNTIF('Config'!$N$8:$N$15,$D243)&gt;0,"Entrada",IF(COUNTIF('Config'!$P$8:$P$23,$D243)&gt;0,"Saída","Verificar")))</f>
        <v/>
      </c>
    </row>
    <row r="244" spans="7:7" ht="16.5" customHeight="1">
      <c r="G244" s="66">
        <f>IF($D244="","",IF(COUNTIF('Config'!$N$8:$N$15,$D244)&gt;0,"Entrada",IF(COUNTIF('Config'!$P$8:$P$23,$D244)&gt;0,"Saída","Verificar")))</f>
        <v/>
      </c>
    </row>
    <row r="245" spans="7:7" ht="16.5" customHeight="1">
      <c r="G245" s="66">
        <f>IF($D245="","",IF(COUNTIF('Config'!$N$8:$N$15,$D245)&gt;0,"Entrada",IF(COUNTIF('Config'!$P$8:$P$23,$D245)&gt;0,"Saída","Verificar")))</f>
        <v/>
      </c>
    </row>
    <row r="246" spans="7:7" ht="16.5" customHeight="1">
      <c r="G246" s="66">
        <f>IF($D246="","",IF(COUNTIF('Config'!$N$8:$N$15,$D246)&gt;0,"Entrada",IF(COUNTIF('Config'!$P$8:$P$23,$D246)&gt;0,"Saída","Verificar")))</f>
        <v/>
      </c>
    </row>
    <row r="247" spans="7:7" ht="16.5" customHeight="1">
      <c r="G247" s="66">
        <f>IF($D247="","",IF(COUNTIF('Config'!$N$8:$N$15,$D247)&gt;0,"Entrada",IF(COUNTIF('Config'!$P$8:$P$23,$D247)&gt;0,"Saída","Verificar")))</f>
        <v/>
      </c>
    </row>
    <row r="248" spans="7:7" ht="16.5" customHeight="1">
      <c r="G248" s="66">
        <f>IF($D248="","",IF(COUNTIF('Config'!$N$8:$N$15,$D248)&gt;0,"Entrada",IF(COUNTIF('Config'!$P$8:$P$23,$D248)&gt;0,"Saída","Verificar")))</f>
        <v/>
      </c>
    </row>
    <row r="249" spans="7:7" ht="16.5" customHeight="1">
      <c r="G249" s="66">
        <f>IF($D249="","",IF(COUNTIF('Config'!$N$8:$N$15,$D249)&gt;0,"Entrada",IF(COUNTIF('Config'!$P$8:$P$23,$D249)&gt;0,"Saída","Verificar")))</f>
        <v/>
      </c>
    </row>
    <row r="250" spans="7:7" ht="16.5" customHeight="1">
      <c r="G250" s="66">
        <f>IF($D250="","",IF(COUNTIF('Config'!$N$8:$N$15,$D250)&gt;0,"Entrada",IF(COUNTIF('Config'!$P$8:$P$23,$D250)&gt;0,"Saída","Verificar")))</f>
        <v/>
      </c>
    </row>
    <row r="251" spans="7:7" ht="16.5" customHeight="1">
      <c r="G251" s="66">
        <f>IF($D251="","",IF(COUNTIF('Config'!$N$8:$N$15,$D251)&gt;0,"Entrada",IF(COUNTIF('Config'!$P$8:$P$23,$D251)&gt;0,"Saída","Verificar")))</f>
        <v/>
      </c>
    </row>
    <row r="252" spans="7:7" ht="16.5" customHeight="1">
      <c r="G252" s="66">
        <f>IF($D252="","",IF(COUNTIF('Config'!$N$8:$N$15,$D252)&gt;0,"Entrada",IF(COUNTIF('Config'!$P$8:$P$23,$D252)&gt;0,"Saída","Verificar")))</f>
        <v/>
      </c>
    </row>
    <row r="253" spans="7:7" ht="16.5" customHeight="1">
      <c r="G253" s="66">
        <f>IF($D253="","",IF(COUNTIF('Config'!$N$8:$N$15,$D253)&gt;0,"Entrada",IF(COUNTIF('Config'!$P$8:$P$23,$D253)&gt;0,"Saída","Verificar")))</f>
        <v/>
      </c>
    </row>
    <row r="254" spans="7:7" ht="16.5" customHeight="1">
      <c r="G254" s="66">
        <f>IF($D254="","",IF(COUNTIF('Config'!$N$8:$N$15,$D254)&gt;0,"Entrada",IF(COUNTIF('Config'!$P$8:$P$23,$D254)&gt;0,"Saída","Verificar")))</f>
        <v/>
      </c>
    </row>
    <row r="255" spans="7:7" ht="16.5" customHeight="1">
      <c r="G255" s="66">
        <f>IF($D255="","",IF(COUNTIF('Config'!$N$8:$N$15,$D255)&gt;0,"Entrada",IF(COUNTIF('Config'!$P$8:$P$23,$D255)&gt;0,"Saída","Verificar")))</f>
        <v/>
      </c>
    </row>
    <row r="256" spans="7:7" ht="16.5" customHeight="1">
      <c r="G256" s="66">
        <f>IF($D256="","",IF(COUNTIF('Config'!$N$8:$N$15,$D256)&gt;0,"Entrada",IF(COUNTIF('Config'!$P$8:$P$23,$D256)&gt;0,"Saída","Verificar")))</f>
        <v/>
      </c>
    </row>
    <row r="257" spans="7:7" ht="16.5" customHeight="1">
      <c r="G257" s="66">
        <f>IF($D257="","",IF(COUNTIF('Config'!$N$8:$N$15,$D257)&gt;0,"Entrada",IF(COUNTIF('Config'!$P$8:$P$23,$D257)&gt;0,"Saída","Verificar")))</f>
        <v/>
      </c>
    </row>
    <row r="258" spans="7:7" ht="16.5" customHeight="1">
      <c r="G258" s="66">
        <f>IF($D258="","",IF(COUNTIF('Config'!$N$8:$N$15,$D258)&gt;0,"Entrada",IF(COUNTIF('Config'!$P$8:$P$23,$D258)&gt;0,"Saída","Verificar")))</f>
        <v/>
      </c>
    </row>
    <row r="259" spans="7:7" ht="16.5" customHeight="1">
      <c r="G259" s="66">
        <f>IF($D259="","",IF(COUNTIF('Config'!$N$8:$N$15,$D259)&gt;0,"Entrada",IF(COUNTIF('Config'!$P$8:$P$23,$D259)&gt;0,"Saída","Verificar")))</f>
        <v/>
      </c>
    </row>
    <row r="260" spans="7:7" ht="16.5" customHeight="1">
      <c r="G260" s="66">
        <f>IF($D260="","",IF(COUNTIF('Config'!$N$8:$N$15,$D260)&gt;0,"Entrada",IF(COUNTIF('Config'!$P$8:$P$23,$D260)&gt;0,"Saída","Verificar")))</f>
        <v/>
      </c>
    </row>
    <row r="261" spans="7:7" ht="16.5" customHeight="1">
      <c r="G261" s="66">
        <f>IF($D261="","",IF(COUNTIF('Config'!$N$8:$N$15,$D261)&gt;0,"Entrada",IF(COUNTIF('Config'!$P$8:$P$23,$D261)&gt;0,"Saída","Verificar")))</f>
        <v/>
      </c>
    </row>
    <row r="262" spans="7:7" ht="16.5" customHeight="1">
      <c r="G262" s="66">
        <f>IF($D262="","",IF(COUNTIF('Config'!$N$8:$N$15,$D262)&gt;0,"Entrada",IF(COUNTIF('Config'!$P$8:$P$23,$D262)&gt;0,"Saída","Verificar")))</f>
        <v/>
      </c>
    </row>
    <row r="263" spans="7:7" ht="16.5" customHeight="1">
      <c r="G263" s="66">
        <f>IF($D263="","",IF(COUNTIF('Config'!$N$8:$N$15,$D263)&gt;0,"Entrada",IF(COUNTIF('Config'!$P$8:$P$23,$D263)&gt;0,"Saída","Verificar")))</f>
        <v/>
      </c>
    </row>
    <row r="264" spans="7:7" ht="16.5" customHeight="1">
      <c r="G264" s="66">
        <f>IF($D264="","",IF(COUNTIF('Config'!$N$8:$N$15,$D264)&gt;0,"Entrada",IF(COUNTIF('Config'!$P$8:$P$23,$D264)&gt;0,"Saída","Verificar")))</f>
        <v/>
      </c>
    </row>
    <row r="265" spans="7:7" ht="16.5" customHeight="1">
      <c r="G265" s="66">
        <f>IF($D265="","",IF(COUNTIF('Config'!$N$8:$N$15,$D265)&gt;0,"Entrada",IF(COUNTIF('Config'!$P$8:$P$23,$D265)&gt;0,"Saída","Verificar")))</f>
        <v/>
      </c>
    </row>
    <row r="266" spans="7:7" ht="16.5" customHeight="1">
      <c r="G266" s="66">
        <f>IF($D266="","",IF(COUNTIF('Config'!$N$8:$N$15,$D266)&gt;0,"Entrada",IF(COUNTIF('Config'!$P$8:$P$23,$D266)&gt;0,"Saída","Verificar")))</f>
        <v/>
      </c>
    </row>
    <row r="267" spans="7:7" ht="16.5" customHeight="1">
      <c r="G267" s="66">
        <f>IF($D267="","",IF(COUNTIF('Config'!$N$8:$N$15,$D267)&gt;0,"Entrada",IF(COUNTIF('Config'!$P$8:$P$23,$D267)&gt;0,"Saída","Verificar")))</f>
        <v/>
      </c>
    </row>
    <row r="268" spans="7:7" ht="16.5" customHeight="1">
      <c r="G268" s="66">
        <f>IF($D268="","",IF(COUNTIF('Config'!$N$8:$N$15,$D268)&gt;0,"Entrada",IF(COUNTIF('Config'!$P$8:$P$23,$D268)&gt;0,"Saída","Verificar")))</f>
        <v/>
      </c>
    </row>
    <row r="269" spans="7:7" ht="16.5" customHeight="1">
      <c r="G269" s="66">
        <f>IF($D269="","",IF(COUNTIF('Config'!$N$8:$N$15,$D269)&gt;0,"Entrada",IF(COUNTIF('Config'!$P$8:$P$23,$D269)&gt;0,"Saída","Verificar")))</f>
        <v/>
      </c>
    </row>
    <row r="270" spans="7:7" ht="16.5" customHeight="1">
      <c r="G270" s="66">
        <f>IF($D270="","",IF(COUNTIF('Config'!$N$8:$N$15,$D270)&gt;0,"Entrada",IF(COUNTIF('Config'!$P$8:$P$23,$D270)&gt;0,"Saída","Verificar")))</f>
        <v/>
      </c>
    </row>
    <row r="271" spans="7:7" ht="16.5" customHeight="1">
      <c r="G271" s="66">
        <f>IF($D271="","",IF(COUNTIF('Config'!$N$8:$N$15,$D271)&gt;0,"Entrada",IF(COUNTIF('Config'!$P$8:$P$23,$D271)&gt;0,"Saída","Verificar")))</f>
        <v/>
      </c>
    </row>
    <row r="272" spans="7:7" ht="16.5" customHeight="1">
      <c r="G272" s="66">
        <f>IF($D272="","",IF(COUNTIF('Config'!$N$8:$N$15,$D272)&gt;0,"Entrada",IF(COUNTIF('Config'!$P$8:$P$23,$D272)&gt;0,"Saída","Verificar")))</f>
        <v/>
      </c>
    </row>
    <row r="273" spans="7:7" ht="16.5" customHeight="1">
      <c r="G273" s="66">
        <f>IF($D273="","",IF(COUNTIF('Config'!$N$8:$N$15,$D273)&gt;0,"Entrada",IF(COUNTIF('Config'!$P$8:$P$23,$D273)&gt;0,"Saída","Verificar")))</f>
        <v/>
      </c>
    </row>
    <row r="274" spans="7:7" ht="16.5" customHeight="1">
      <c r="G274" s="66">
        <f>IF($D274="","",IF(COUNTIF('Config'!$N$8:$N$15,$D274)&gt;0,"Entrada",IF(COUNTIF('Config'!$P$8:$P$23,$D274)&gt;0,"Saída","Verificar")))</f>
        <v/>
      </c>
    </row>
    <row r="275" spans="7:7" ht="16.5" customHeight="1">
      <c r="G275" s="66">
        <f>IF($D275="","",IF(COUNTIF('Config'!$N$8:$N$15,$D275)&gt;0,"Entrada",IF(COUNTIF('Config'!$P$8:$P$23,$D275)&gt;0,"Saída","Verificar")))</f>
        <v/>
      </c>
    </row>
    <row r="276" spans="7:7" ht="16.5" customHeight="1">
      <c r="G276" s="66">
        <f>IF($D276="","",IF(COUNTIF('Config'!$N$8:$N$15,$D276)&gt;0,"Entrada",IF(COUNTIF('Config'!$P$8:$P$23,$D276)&gt;0,"Saída","Verificar")))</f>
        <v/>
      </c>
    </row>
    <row r="277" spans="7:7" ht="16.5" customHeight="1">
      <c r="G277" s="66">
        <f>IF($D277="","",IF(COUNTIF('Config'!$N$8:$N$15,$D277)&gt;0,"Entrada",IF(COUNTIF('Config'!$P$8:$P$23,$D277)&gt;0,"Saída","Verificar")))</f>
        <v/>
      </c>
    </row>
    <row r="278" spans="7:7" ht="16.5" customHeight="1">
      <c r="G278" s="66">
        <f>IF($D278="","",IF(COUNTIF('Config'!$N$8:$N$15,$D278)&gt;0,"Entrada",IF(COUNTIF('Config'!$P$8:$P$23,$D278)&gt;0,"Saída","Verificar")))</f>
        <v/>
      </c>
    </row>
    <row r="279" spans="7:7" ht="16.5" customHeight="1">
      <c r="G279" s="66">
        <f>IF($D279="","",IF(COUNTIF('Config'!$N$8:$N$15,$D279)&gt;0,"Entrada",IF(COUNTIF('Config'!$P$8:$P$23,$D279)&gt;0,"Saída","Verificar")))</f>
        <v/>
      </c>
    </row>
    <row r="280" spans="7:7" ht="16.5" customHeight="1">
      <c r="G280" s="66">
        <f>IF($D280="","",IF(COUNTIF('Config'!$N$8:$N$15,$D280)&gt;0,"Entrada",IF(COUNTIF('Config'!$P$8:$P$23,$D280)&gt;0,"Saída","Verificar")))</f>
        <v/>
      </c>
    </row>
    <row r="281" spans="7:7" ht="16.5" customHeight="1">
      <c r="G281" s="66">
        <f>IF($D281="","",IF(COUNTIF('Config'!$N$8:$N$15,$D281)&gt;0,"Entrada",IF(COUNTIF('Config'!$P$8:$P$23,$D281)&gt;0,"Saída","Verificar")))</f>
        <v/>
      </c>
    </row>
    <row r="282" spans="7:7" ht="16.5" customHeight="1">
      <c r="G282" s="66">
        <f>IF($D282="","",IF(COUNTIF('Config'!$N$8:$N$15,$D282)&gt;0,"Entrada",IF(COUNTIF('Config'!$P$8:$P$23,$D282)&gt;0,"Saída","Verificar")))</f>
        <v/>
      </c>
    </row>
    <row r="283" spans="7:7" ht="16.5" customHeight="1">
      <c r="G283" s="66">
        <f>IF($D283="","",IF(COUNTIF('Config'!$N$8:$N$15,$D283)&gt;0,"Entrada",IF(COUNTIF('Config'!$P$8:$P$23,$D283)&gt;0,"Saída","Verificar")))</f>
        <v/>
      </c>
    </row>
    <row r="284" spans="7:7" ht="16.5" customHeight="1">
      <c r="G284" s="66">
        <f>IF($D284="","",IF(COUNTIF('Config'!$N$8:$N$15,$D284)&gt;0,"Entrada",IF(COUNTIF('Config'!$P$8:$P$23,$D284)&gt;0,"Saída","Verificar")))</f>
        <v/>
      </c>
    </row>
    <row r="285" spans="7:7" ht="16.5" customHeight="1">
      <c r="G285" s="66">
        <f>IF($D285="","",IF(COUNTIF('Config'!$N$8:$N$15,$D285)&gt;0,"Entrada",IF(COUNTIF('Config'!$P$8:$P$23,$D285)&gt;0,"Saída","Verificar")))</f>
        <v/>
      </c>
    </row>
    <row r="286" spans="7:7" ht="16.5" customHeight="1">
      <c r="G286" s="66">
        <f>IF($D286="","",IF(COUNTIF('Config'!$N$8:$N$15,$D286)&gt;0,"Entrada",IF(COUNTIF('Config'!$P$8:$P$23,$D286)&gt;0,"Saída","Verificar")))</f>
        <v/>
      </c>
    </row>
    <row r="287" spans="7:7" ht="16.5" customHeight="1">
      <c r="G287" s="66">
        <f>IF($D287="","",IF(COUNTIF('Config'!$N$8:$N$15,$D287)&gt;0,"Entrada",IF(COUNTIF('Config'!$P$8:$P$23,$D287)&gt;0,"Saída","Verificar")))</f>
        <v/>
      </c>
    </row>
    <row r="288" spans="7:7" ht="16.5" customHeight="1">
      <c r="G288" s="66">
        <f>IF($D288="","",IF(COUNTIF('Config'!$N$8:$N$15,$D288)&gt;0,"Entrada",IF(COUNTIF('Config'!$P$8:$P$23,$D288)&gt;0,"Saída","Verificar")))</f>
        <v/>
      </c>
    </row>
    <row r="289" spans="7:7" ht="16.5" customHeight="1">
      <c r="G289" s="66">
        <f>IF($D289="","",IF(COUNTIF('Config'!$N$8:$N$15,$D289)&gt;0,"Entrada",IF(COUNTIF('Config'!$P$8:$P$23,$D289)&gt;0,"Saída","Verificar")))</f>
        <v/>
      </c>
    </row>
    <row r="290" spans="7:7" ht="16.5" customHeight="1">
      <c r="G290" s="66">
        <f>IF($D290="","",IF(COUNTIF('Config'!$N$8:$N$15,$D290)&gt;0,"Entrada",IF(COUNTIF('Config'!$P$8:$P$23,$D290)&gt;0,"Saída","Verificar")))</f>
        <v/>
      </c>
    </row>
    <row r="291" spans="7:7" ht="16.5" customHeight="1">
      <c r="G291" s="66">
        <f>IF($D291="","",IF(COUNTIF('Config'!$N$8:$N$15,$D291)&gt;0,"Entrada",IF(COUNTIF('Config'!$P$8:$P$23,$D291)&gt;0,"Saída","Verificar")))</f>
        <v/>
      </c>
    </row>
    <row r="292" spans="7:7" ht="16.5" customHeight="1">
      <c r="G292" s="66">
        <f>IF($D292="","",IF(COUNTIF('Config'!$N$8:$N$15,$D292)&gt;0,"Entrada",IF(COUNTIF('Config'!$P$8:$P$23,$D292)&gt;0,"Saída","Verificar")))</f>
        <v/>
      </c>
    </row>
    <row r="293" spans="7:7" ht="16.5" customHeight="1">
      <c r="G293" s="66">
        <f>IF($D293="","",IF(COUNTIF('Config'!$N$8:$N$15,$D293)&gt;0,"Entrada",IF(COUNTIF('Config'!$P$8:$P$23,$D293)&gt;0,"Saída","Verificar")))</f>
        <v/>
      </c>
    </row>
    <row r="294" spans="7:7" ht="16.5" customHeight="1">
      <c r="G294" s="66">
        <f>IF($D294="","",IF(COUNTIF('Config'!$N$8:$N$15,$D294)&gt;0,"Entrada",IF(COUNTIF('Config'!$P$8:$P$23,$D294)&gt;0,"Saída","Verificar")))</f>
        <v/>
      </c>
    </row>
    <row r="295" spans="7:7" ht="16.5" customHeight="1">
      <c r="G295" s="66">
        <f>IF($D295="","",IF(COUNTIF('Config'!$N$8:$N$15,$D295)&gt;0,"Entrada",IF(COUNTIF('Config'!$P$8:$P$23,$D295)&gt;0,"Saída","Verificar")))</f>
        <v/>
      </c>
    </row>
    <row r="296" spans="7:7" ht="16.5" customHeight="1">
      <c r="G296" s="66">
        <f>IF($D296="","",IF(COUNTIF('Config'!$N$8:$N$15,$D296)&gt;0,"Entrada",IF(COUNTIF('Config'!$P$8:$P$23,$D296)&gt;0,"Saída","Verificar")))</f>
        <v/>
      </c>
    </row>
    <row r="297" spans="7:7" ht="16.5" customHeight="1">
      <c r="G297" s="66">
        <f>IF($D297="","",IF(COUNTIF('Config'!$N$8:$N$15,$D297)&gt;0,"Entrada",IF(COUNTIF('Config'!$P$8:$P$23,$D297)&gt;0,"Saída","Verificar")))</f>
        <v/>
      </c>
    </row>
    <row r="298" spans="7:7" ht="16.5" customHeight="1">
      <c r="G298" s="66">
        <f>IF($D298="","",IF(COUNTIF('Config'!$N$8:$N$15,$D298)&gt;0,"Entrada",IF(COUNTIF('Config'!$P$8:$P$23,$D298)&gt;0,"Saída","Verificar")))</f>
        <v/>
      </c>
    </row>
    <row r="299" spans="7:7" ht="16.5" customHeight="1">
      <c r="G299" s="66">
        <f>IF($D299="","",IF(COUNTIF('Config'!$N$8:$N$15,$D299)&gt;0,"Entrada",IF(COUNTIF('Config'!$P$8:$P$23,$D299)&gt;0,"Saída","Verificar")))</f>
        <v/>
      </c>
    </row>
    <row r="300" spans="7:7" ht="16.5" customHeight="1">
      <c r="G300" s="66">
        <f>IF($D300="","",IF(COUNTIF('Config'!$N$8:$N$15,$D300)&gt;0,"Entrada",IF(COUNTIF('Config'!$P$8:$P$23,$D300)&gt;0,"Saída","Verificar")))</f>
        <v/>
      </c>
    </row>
    <row r="301" spans="7:7" ht="16.5" customHeight="1">
      <c r="G301" s="66">
        <f>IF($D301="","",IF(COUNTIF('Config'!$N$8:$N$15,$D301)&gt;0,"Entrada",IF(COUNTIF('Config'!$P$8:$P$23,$D301)&gt;0,"Saída","Verificar")))</f>
        <v/>
      </c>
    </row>
    <row r="302" spans="7:7" ht="16.5" customHeight="1">
      <c r="G302" s="66">
        <f>IF($D302="","",IF(COUNTIF('Config'!$N$8:$N$15,$D302)&gt;0,"Entrada",IF(COUNTIF('Config'!$P$8:$P$23,$D302)&gt;0,"Saída","Verificar")))</f>
        <v/>
      </c>
    </row>
    <row r="303" spans="7:7" ht="16.5" customHeight="1">
      <c r="G303" s="66">
        <f>IF($D303="","",IF(COUNTIF('Config'!$N$8:$N$15,$D303)&gt;0,"Entrada",IF(COUNTIF('Config'!$P$8:$P$23,$D303)&gt;0,"Saída","Verificar")))</f>
        <v/>
      </c>
    </row>
    <row r="304" spans="7:7" ht="16.5" customHeight="1">
      <c r="G304" s="66">
        <f>IF($D304="","",IF(COUNTIF('Config'!$N$8:$N$15,$D304)&gt;0,"Entrada",IF(COUNTIF('Config'!$P$8:$P$23,$D304)&gt;0,"Saída","Verificar")))</f>
        <v/>
      </c>
    </row>
    <row r="305" spans="7:7" ht="16.5" customHeight="1">
      <c r="G305" s="66">
        <f>IF($D305="","",IF(COUNTIF('Config'!$N$8:$N$15,$D305)&gt;0,"Entrada",IF(COUNTIF('Config'!$P$8:$P$23,$D305)&gt;0,"Saída","Verificar")))</f>
        <v/>
      </c>
    </row>
    <row r="306" spans="7:7" ht="16.5" customHeight="1">
      <c r="G306" s="66">
        <f>IF($D306="","",IF(COUNTIF('Config'!$N$8:$N$15,$D306)&gt;0,"Entrada",IF(COUNTIF('Config'!$P$8:$P$23,$D306)&gt;0,"Saída","Verificar")))</f>
        <v/>
      </c>
    </row>
    <row r="307" spans="7:7" ht="16.5" customHeight="1">
      <c r="G307" s="66">
        <f>IF($D307="","",IF(COUNTIF('Config'!$N$8:$N$15,$D307)&gt;0,"Entrada",IF(COUNTIF('Config'!$P$8:$P$23,$D307)&gt;0,"Saída","Verificar")))</f>
        <v/>
      </c>
    </row>
    <row r="308" spans="7:7" ht="16.5" customHeight="1">
      <c r="G308" s="66">
        <f>IF($D308="","",IF(COUNTIF('Config'!$N$8:$N$15,$D308)&gt;0,"Entrada",IF(COUNTIF('Config'!$P$8:$P$23,$D308)&gt;0,"Saída","Verificar")))</f>
        <v/>
      </c>
    </row>
    <row r="309" spans="7:7" ht="16.5" customHeight="1">
      <c r="G309" s="66">
        <f>IF($D309="","",IF(COUNTIF('Config'!$N$8:$N$15,$D309)&gt;0,"Entrada",IF(COUNTIF('Config'!$P$8:$P$23,$D309)&gt;0,"Saída","Verificar")))</f>
        <v/>
      </c>
    </row>
    <row r="310" spans="7:7" ht="16.5" customHeight="1">
      <c r="G310" s="66">
        <f>IF($D310="","",IF(COUNTIF('Config'!$N$8:$N$15,$D310)&gt;0,"Entrada",IF(COUNTIF('Config'!$P$8:$P$23,$D310)&gt;0,"Saída","Verificar")))</f>
        <v/>
      </c>
    </row>
    <row r="311" spans="7:7" ht="16.5" customHeight="1">
      <c r="G311" s="66">
        <f>IF($D311="","",IF(COUNTIF('Config'!$N$8:$N$15,$D311)&gt;0,"Entrada",IF(COUNTIF('Config'!$P$8:$P$23,$D311)&gt;0,"Saída","Verificar")))</f>
        <v/>
      </c>
    </row>
    <row r="312" spans="7:7" ht="16.5" customHeight="1">
      <c r="G312" s="66">
        <f>IF($D312="","",IF(COUNTIF('Config'!$N$8:$N$15,$D312)&gt;0,"Entrada",IF(COUNTIF('Config'!$P$8:$P$23,$D312)&gt;0,"Saída","Verificar")))</f>
        <v/>
      </c>
    </row>
    <row r="313" spans="7:7" ht="16.5" customHeight="1">
      <c r="G313" s="66">
        <f>IF($D313="","",IF(COUNTIF('Config'!$N$8:$N$15,$D313)&gt;0,"Entrada",IF(COUNTIF('Config'!$P$8:$P$23,$D313)&gt;0,"Saída","Verificar")))</f>
        <v/>
      </c>
    </row>
    <row r="314" spans="7:7" ht="16.5" customHeight="1">
      <c r="G314" s="66">
        <f>IF($D314="","",IF(COUNTIF('Config'!$N$8:$N$15,$D314)&gt;0,"Entrada",IF(COUNTIF('Config'!$P$8:$P$23,$D314)&gt;0,"Saída","Verificar")))</f>
        <v/>
      </c>
    </row>
    <row r="315" spans="7:7" ht="16.5" customHeight="1">
      <c r="G315" s="66">
        <f>IF($D315="","",IF(COUNTIF('Config'!$N$8:$N$15,$D315)&gt;0,"Entrada",IF(COUNTIF('Config'!$P$8:$P$23,$D315)&gt;0,"Saída","Verificar")))</f>
        <v/>
      </c>
    </row>
    <row r="316" spans="7:7" ht="16.5" customHeight="1">
      <c r="G316" s="66">
        <f>IF($D316="","",IF(COUNTIF('Config'!$N$8:$N$15,$D316)&gt;0,"Entrada",IF(COUNTIF('Config'!$P$8:$P$23,$D316)&gt;0,"Saída","Verificar")))</f>
        <v/>
      </c>
    </row>
    <row r="317" spans="7:7" ht="16.5" customHeight="1">
      <c r="G317" s="66">
        <f>IF($D317="","",IF(COUNTIF('Config'!$N$8:$N$15,$D317)&gt;0,"Entrada",IF(COUNTIF('Config'!$P$8:$P$23,$D317)&gt;0,"Saída","Verificar")))</f>
        <v/>
      </c>
    </row>
    <row r="318" spans="7:7" ht="16.5" customHeight="1">
      <c r="G318" s="66">
        <f>IF($D318="","",IF(COUNTIF('Config'!$N$8:$N$15,$D318)&gt;0,"Entrada",IF(COUNTIF('Config'!$P$8:$P$23,$D318)&gt;0,"Saída","Verificar")))</f>
        <v/>
      </c>
    </row>
    <row r="319" spans="7:7" ht="16.5" customHeight="1">
      <c r="G319" s="66">
        <f>IF($D319="","",IF(COUNTIF('Config'!$N$8:$N$15,$D319)&gt;0,"Entrada",IF(COUNTIF('Config'!$P$8:$P$23,$D319)&gt;0,"Saída","Verificar")))</f>
        <v/>
      </c>
    </row>
    <row r="320" spans="7:7" ht="16.5" customHeight="1">
      <c r="G320" s="66">
        <f>IF($D320="","",IF(COUNTIF('Config'!$N$8:$N$15,$D320)&gt;0,"Entrada",IF(COUNTIF('Config'!$P$8:$P$23,$D320)&gt;0,"Saída","Verificar")))</f>
        <v/>
      </c>
    </row>
    <row r="321" spans="7:7" ht="16.5" customHeight="1">
      <c r="G321" s="66">
        <f>IF($D321="","",IF(COUNTIF('Config'!$N$8:$N$15,$D321)&gt;0,"Entrada",IF(COUNTIF('Config'!$P$8:$P$23,$D321)&gt;0,"Saída","Verificar")))</f>
        <v/>
      </c>
    </row>
    <row r="322" spans="7:7" ht="16.5" customHeight="1">
      <c r="G322" s="66">
        <f>IF($D322="","",IF(COUNTIF('Config'!$N$8:$N$15,$D322)&gt;0,"Entrada",IF(COUNTIF('Config'!$P$8:$P$23,$D322)&gt;0,"Saída","Verificar")))</f>
        <v/>
      </c>
    </row>
    <row r="323" spans="7:7" ht="16.5" customHeight="1">
      <c r="G323" s="66">
        <f>IF($D323="","",IF(COUNTIF('Config'!$N$8:$N$15,$D323)&gt;0,"Entrada",IF(COUNTIF('Config'!$P$8:$P$23,$D323)&gt;0,"Saída","Verificar")))</f>
        <v/>
      </c>
    </row>
    <row r="324" spans="7:7" ht="16.5" customHeight="1">
      <c r="G324" s="66">
        <f>IF($D324="","",IF(COUNTIF('Config'!$N$8:$N$15,$D324)&gt;0,"Entrada",IF(COUNTIF('Config'!$P$8:$P$23,$D324)&gt;0,"Saída","Verificar")))</f>
        <v/>
      </c>
    </row>
    <row r="325" spans="7:7" ht="16.5" customHeight="1">
      <c r="G325" s="66">
        <f>IF($D325="","",IF(COUNTIF('Config'!$N$8:$N$15,$D325)&gt;0,"Entrada",IF(COUNTIF('Config'!$P$8:$P$23,$D325)&gt;0,"Saída","Verificar")))</f>
        <v/>
      </c>
    </row>
    <row r="326" spans="7:7" ht="16.5" customHeight="1">
      <c r="G326" s="66">
        <f>IF($D326="","",IF(COUNTIF('Config'!$N$8:$N$15,$D326)&gt;0,"Entrada",IF(COUNTIF('Config'!$P$8:$P$23,$D326)&gt;0,"Saída","Verificar")))</f>
        <v/>
      </c>
    </row>
    <row r="327" spans="7:7" ht="16.5" customHeight="1">
      <c r="G327" s="66">
        <f>IF($D327="","",IF(COUNTIF('Config'!$N$8:$N$15,$D327)&gt;0,"Entrada",IF(COUNTIF('Config'!$P$8:$P$23,$D327)&gt;0,"Saída","Verificar")))</f>
        <v/>
      </c>
    </row>
    <row r="328" spans="7:7" ht="16.5" customHeight="1">
      <c r="G328" s="66">
        <f>IF($D328="","",IF(COUNTIF('Config'!$N$8:$N$15,$D328)&gt;0,"Entrada",IF(COUNTIF('Config'!$P$8:$P$23,$D328)&gt;0,"Saída","Verificar")))</f>
        <v/>
      </c>
    </row>
    <row r="329" spans="7:7" ht="16.5" customHeight="1">
      <c r="G329" s="66">
        <f>IF($D329="","",IF(COUNTIF('Config'!$N$8:$N$15,$D329)&gt;0,"Entrada",IF(COUNTIF('Config'!$P$8:$P$23,$D329)&gt;0,"Saída","Verificar")))</f>
        <v/>
      </c>
    </row>
    <row r="330" spans="7:7" ht="16.5" customHeight="1">
      <c r="G330" s="66">
        <f>IF($D330="","",IF(COUNTIF('Config'!$N$8:$N$15,$D330)&gt;0,"Entrada",IF(COUNTIF('Config'!$P$8:$P$23,$D330)&gt;0,"Saída","Verificar")))</f>
        <v/>
      </c>
    </row>
    <row r="331" spans="7:7" ht="16.5" customHeight="1">
      <c r="G331" s="66">
        <f>IF($D331="","",IF(COUNTIF('Config'!$N$8:$N$15,$D331)&gt;0,"Entrada",IF(COUNTIF('Config'!$P$8:$P$23,$D331)&gt;0,"Saída","Verificar")))</f>
        <v/>
      </c>
    </row>
    <row r="332" spans="7:7" ht="16.5" customHeight="1">
      <c r="G332" s="66">
        <f>IF($D332="","",IF(COUNTIF('Config'!$N$8:$N$15,$D332)&gt;0,"Entrada",IF(COUNTIF('Config'!$P$8:$P$23,$D332)&gt;0,"Saída","Verificar")))</f>
        <v/>
      </c>
    </row>
    <row r="333" spans="7:7" ht="16.5" customHeight="1">
      <c r="G333" s="66">
        <f>IF($D333="","",IF(COUNTIF('Config'!$N$8:$N$15,$D333)&gt;0,"Entrada",IF(COUNTIF('Config'!$P$8:$P$23,$D333)&gt;0,"Saída","Verificar")))</f>
        <v/>
      </c>
    </row>
    <row r="334" spans="7:7" ht="16.5" customHeight="1">
      <c r="G334" s="66">
        <f>IF($D334="","",IF(COUNTIF('Config'!$N$8:$N$15,$D334)&gt;0,"Entrada",IF(COUNTIF('Config'!$P$8:$P$23,$D334)&gt;0,"Saída","Verificar")))</f>
        <v/>
      </c>
    </row>
    <row r="335" spans="7:7" ht="16.5" customHeight="1">
      <c r="G335" s="66">
        <f>IF($D335="","",IF(COUNTIF('Config'!$N$8:$N$15,$D335)&gt;0,"Entrada",IF(COUNTIF('Config'!$P$8:$P$23,$D335)&gt;0,"Saída","Verificar")))</f>
        <v/>
      </c>
    </row>
    <row r="336" spans="7:7" ht="16.5" customHeight="1">
      <c r="G336" s="66">
        <f>IF($D336="","",IF(COUNTIF('Config'!$N$8:$N$15,$D336)&gt;0,"Entrada",IF(COUNTIF('Config'!$P$8:$P$23,$D336)&gt;0,"Saída","Verificar")))</f>
        <v/>
      </c>
    </row>
    <row r="337" spans="7:7" ht="16.5" customHeight="1">
      <c r="G337" s="66">
        <f>IF($D337="","",IF(COUNTIF('Config'!$N$8:$N$15,$D337)&gt;0,"Entrada",IF(COUNTIF('Config'!$P$8:$P$23,$D337)&gt;0,"Saída","Verificar")))</f>
        <v/>
      </c>
    </row>
    <row r="338" spans="7:7" ht="16.5" customHeight="1">
      <c r="G338" s="66">
        <f>IF($D338="","",IF(COUNTIF('Config'!$N$8:$N$15,$D338)&gt;0,"Entrada",IF(COUNTIF('Config'!$P$8:$P$23,$D338)&gt;0,"Saída","Verificar")))</f>
        <v/>
      </c>
    </row>
    <row r="339" spans="7:7" ht="16.5" customHeight="1">
      <c r="G339" s="66">
        <f>IF($D339="","",IF(COUNTIF('Config'!$N$8:$N$15,$D339)&gt;0,"Entrada",IF(COUNTIF('Config'!$P$8:$P$23,$D339)&gt;0,"Saída","Verificar")))</f>
        <v/>
      </c>
    </row>
    <row r="340" spans="7:7" ht="16.5" customHeight="1">
      <c r="G340" s="66">
        <f>IF($D340="","",IF(COUNTIF('Config'!$N$8:$N$15,$D340)&gt;0,"Entrada",IF(COUNTIF('Config'!$P$8:$P$23,$D340)&gt;0,"Saída","Verificar")))</f>
        <v/>
      </c>
    </row>
    <row r="341" spans="7:7" ht="16.5" customHeight="1">
      <c r="G341" s="66">
        <f>IF($D341="","",IF(COUNTIF('Config'!$N$8:$N$15,$D341)&gt;0,"Entrada",IF(COUNTIF('Config'!$P$8:$P$23,$D341)&gt;0,"Saída","Verificar")))</f>
        <v/>
      </c>
    </row>
    <row r="342" spans="7:7" ht="16.5" customHeight="1">
      <c r="G342" s="66">
        <f>IF($D342="","",IF(COUNTIF('Config'!$N$8:$N$15,$D342)&gt;0,"Entrada",IF(COUNTIF('Config'!$P$8:$P$23,$D342)&gt;0,"Saída","Verificar")))</f>
        <v/>
      </c>
    </row>
    <row r="343" spans="7:7" ht="16.5" customHeight="1">
      <c r="G343" s="66">
        <f>IF($D343="","",IF(COUNTIF('Config'!$N$8:$N$15,$D343)&gt;0,"Entrada",IF(COUNTIF('Config'!$P$8:$P$23,$D343)&gt;0,"Saída","Verificar")))</f>
        <v/>
      </c>
    </row>
    <row r="344" spans="7:7" ht="16.5" customHeight="1">
      <c r="G344" s="66">
        <f>IF($D344="","",IF(COUNTIF('Config'!$N$8:$N$15,$D344)&gt;0,"Entrada",IF(COUNTIF('Config'!$P$8:$P$23,$D344)&gt;0,"Saída","Verificar")))</f>
        <v/>
      </c>
    </row>
    <row r="345" spans="7:7" ht="16.5" customHeight="1">
      <c r="G345" s="66">
        <f>IF($D345="","",IF(COUNTIF('Config'!$N$8:$N$15,$D345)&gt;0,"Entrada",IF(COUNTIF('Config'!$P$8:$P$23,$D345)&gt;0,"Saída","Verificar")))</f>
        <v/>
      </c>
    </row>
    <row r="346" spans="7:7" ht="16.5" customHeight="1">
      <c r="G346" s="66">
        <f>IF($D346="","",IF(COUNTIF('Config'!$N$8:$N$15,$D346)&gt;0,"Entrada",IF(COUNTIF('Config'!$P$8:$P$23,$D346)&gt;0,"Saída","Verificar")))</f>
        <v/>
      </c>
    </row>
    <row r="347" spans="7:7" ht="16.5" customHeight="1">
      <c r="G347" s="66">
        <f>IF($D347="","",IF(COUNTIF('Config'!$N$8:$N$15,$D347)&gt;0,"Entrada",IF(COUNTIF('Config'!$P$8:$P$23,$D347)&gt;0,"Saída","Verificar")))</f>
        <v/>
      </c>
    </row>
    <row r="348" spans="7:7" ht="16.5" customHeight="1">
      <c r="G348" s="66">
        <f>IF($D348="","",IF(COUNTIF('Config'!$N$8:$N$15,$D348)&gt;0,"Entrada",IF(COUNTIF('Config'!$P$8:$P$23,$D348)&gt;0,"Saída","Verificar")))</f>
        <v/>
      </c>
    </row>
    <row r="349" spans="7:7" ht="16.5" customHeight="1">
      <c r="G349" s="66">
        <f>IF($D349="","",IF(COUNTIF('Config'!$N$8:$N$15,$D349)&gt;0,"Entrada",IF(COUNTIF('Config'!$P$8:$P$23,$D349)&gt;0,"Saída","Verificar")))</f>
        <v/>
      </c>
    </row>
    <row r="350" spans="7:7" ht="16.5" customHeight="1">
      <c r="G350" s="66">
        <f>IF($D350="","",IF(COUNTIF('Config'!$N$8:$N$15,$D350)&gt;0,"Entrada",IF(COUNTIF('Config'!$P$8:$P$23,$D350)&gt;0,"Saída","Verificar")))</f>
        <v/>
      </c>
    </row>
    <row r="351" spans="7:7" ht="16.5" customHeight="1">
      <c r="G351" s="66">
        <f>IF($D351="","",IF(COUNTIF('Config'!$N$8:$N$15,$D351)&gt;0,"Entrada",IF(COUNTIF('Config'!$P$8:$P$23,$D351)&gt;0,"Saída","Verificar")))</f>
        <v/>
      </c>
    </row>
    <row r="352" spans="7:7" ht="16.5" customHeight="1">
      <c r="G352" s="66">
        <f>IF($D352="","",IF(COUNTIF('Config'!$N$8:$N$15,$D352)&gt;0,"Entrada",IF(COUNTIF('Config'!$P$8:$P$23,$D352)&gt;0,"Saída","Verificar")))</f>
        <v/>
      </c>
    </row>
    <row r="353" spans="7:7" ht="16.5" customHeight="1">
      <c r="G353" s="66">
        <f>IF($D353="","",IF(COUNTIF('Config'!$N$8:$N$15,$D353)&gt;0,"Entrada",IF(COUNTIF('Config'!$P$8:$P$23,$D353)&gt;0,"Saída","Verificar")))</f>
        <v/>
      </c>
    </row>
    <row r="354" spans="7:7" ht="16.5" customHeight="1">
      <c r="G354" s="66">
        <f>IF($D354="","",IF(COUNTIF('Config'!$N$8:$N$15,$D354)&gt;0,"Entrada",IF(COUNTIF('Config'!$P$8:$P$23,$D354)&gt;0,"Saída","Verificar")))</f>
        <v/>
      </c>
    </row>
    <row r="355" spans="7:7" ht="16.5" customHeight="1">
      <c r="G355" s="66">
        <f>IF($D355="","",IF(COUNTIF('Config'!$N$8:$N$15,$D355)&gt;0,"Entrada",IF(COUNTIF('Config'!$P$8:$P$23,$D355)&gt;0,"Saída","Verificar")))</f>
        <v/>
      </c>
    </row>
    <row r="356" spans="7:7" ht="16.5" customHeight="1">
      <c r="G356" s="66">
        <f>IF($D356="","",IF(COUNTIF('Config'!$N$8:$N$15,$D356)&gt;0,"Entrada",IF(COUNTIF('Config'!$P$8:$P$23,$D356)&gt;0,"Saída","Verificar")))</f>
        <v/>
      </c>
    </row>
    <row r="357" spans="7:7" ht="16.5" customHeight="1">
      <c r="G357" s="66">
        <f>IF($D357="","",IF(COUNTIF('Config'!$N$8:$N$15,$D357)&gt;0,"Entrada",IF(COUNTIF('Config'!$P$8:$P$23,$D357)&gt;0,"Saída","Verificar")))</f>
        <v/>
      </c>
    </row>
    <row r="358" spans="7:7" ht="16.5" customHeight="1">
      <c r="G358" s="66">
        <f>IF($D358="","",IF(COUNTIF('Config'!$N$8:$N$15,$D358)&gt;0,"Entrada",IF(COUNTIF('Config'!$P$8:$P$23,$D358)&gt;0,"Saída","Verificar")))</f>
        <v/>
      </c>
    </row>
    <row r="359" spans="7:7" ht="16.5" customHeight="1">
      <c r="G359" s="66">
        <f>IF($D359="","",IF(COUNTIF('Config'!$N$8:$N$15,$D359)&gt;0,"Entrada",IF(COUNTIF('Config'!$P$8:$P$23,$D359)&gt;0,"Saída","Verificar")))</f>
        <v/>
      </c>
    </row>
    <row r="360" spans="7:7" ht="16.5" customHeight="1">
      <c r="G360" s="66">
        <f>IF($D360="","",IF(COUNTIF('Config'!$N$8:$N$15,$D360)&gt;0,"Entrada",IF(COUNTIF('Config'!$P$8:$P$23,$D360)&gt;0,"Saída","Verificar")))</f>
        <v/>
      </c>
    </row>
    <row r="361" spans="7:7" ht="16.5" customHeight="1">
      <c r="G361" s="66">
        <f>IF($D361="","",IF(COUNTIF('Config'!$N$8:$N$15,$D361)&gt;0,"Entrada",IF(COUNTIF('Config'!$P$8:$P$23,$D361)&gt;0,"Saída","Verificar")))</f>
        <v/>
      </c>
    </row>
    <row r="362" spans="7:7" ht="16.5" customHeight="1">
      <c r="G362" s="66">
        <f>IF($D362="","",IF(COUNTIF('Config'!$N$8:$N$15,$D362)&gt;0,"Entrada",IF(COUNTIF('Config'!$P$8:$P$23,$D362)&gt;0,"Saída","Verificar")))</f>
        <v/>
      </c>
    </row>
    <row r="363" spans="7:7" ht="16.5" customHeight="1">
      <c r="G363" s="66">
        <f>IF($D363="","",IF(COUNTIF('Config'!$N$8:$N$15,$D363)&gt;0,"Entrada",IF(COUNTIF('Config'!$P$8:$P$23,$D363)&gt;0,"Saída","Verificar")))</f>
        <v/>
      </c>
    </row>
    <row r="364" spans="7:7" ht="16.5" customHeight="1">
      <c r="G364" s="66">
        <f>IF($D364="","",IF(COUNTIF('Config'!$N$8:$N$15,$D364)&gt;0,"Entrada",IF(COUNTIF('Config'!$P$8:$P$23,$D364)&gt;0,"Saída","Verificar")))</f>
        <v/>
      </c>
    </row>
    <row r="365" spans="7:7" ht="16.5" customHeight="1">
      <c r="G365" s="66">
        <f>IF($D365="","",IF(COUNTIF('Config'!$N$8:$N$15,$D365)&gt;0,"Entrada",IF(COUNTIF('Config'!$P$8:$P$23,$D365)&gt;0,"Saída","Verificar")))</f>
        <v/>
      </c>
    </row>
    <row r="366" spans="7:7" ht="16.5" customHeight="1">
      <c r="G366" s="66">
        <f>IF($D366="","",IF(COUNTIF('Config'!$N$8:$N$15,$D366)&gt;0,"Entrada",IF(COUNTIF('Config'!$P$8:$P$23,$D366)&gt;0,"Saída","Verificar")))</f>
        <v/>
      </c>
    </row>
    <row r="367" spans="7:7" ht="16.5" customHeight="1">
      <c r="G367" s="66">
        <f>IF($D367="","",IF(COUNTIF('Config'!$N$8:$N$15,$D367)&gt;0,"Entrada",IF(COUNTIF('Config'!$P$8:$P$23,$D367)&gt;0,"Saída","Verificar")))</f>
        <v/>
      </c>
    </row>
    <row r="368" spans="7:7" ht="16.5" customHeight="1">
      <c r="G368" s="66">
        <f>IF($D368="","",IF(COUNTIF('Config'!$N$8:$N$15,$D368)&gt;0,"Entrada",IF(COUNTIF('Config'!$P$8:$P$23,$D368)&gt;0,"Saída","Verificar")))</f>
        <v/>
      </c>
    </row>
    <row r="369" spans="7:7" ht="16.5" customHeight="1">
      <c r="G369" s="66">
        <f>IF($D369="","",IF(COUNTIF('Config'!$N$8:$N$15,$D369)&gt;0,"Entrada",IF(COUNTIF('Config'!$P$8:$P$23,$D369)&gt;0,"Saída","Verificar")))</f>
        <v/>
      </c>
    </row>
    <row r="370" spans="7:7" ht="16.5" customHeight="1">
      <c r="G370" s="66">
        <f>IF($D370="","",IF(COUNTIF('Config'!$N$8:$N$15,$D370)&gt;0,"Entrada",IF(COUNTIF('Config'!$P$8:$P$23,$D370)&gt;0,"Saída","Verificar")))</f>
        <v/>
      </c>
    </row>
    <row r="371" spans="7:7" ht="16.5" customHeight="1">
      <c r="G371" s="66">
        <f>IF($D371="","",IF(COUNTIF('Config'!$N$8:$N$15,$D371)&gt;0,"Entrada",IF(COUNTIF('Config'!$P$8:$P$23,$D371)&gt;0,"Saída","Verificar")))</f>
        <v/>
      </c>
    </row>
    <row r="372" spans="7:7" ht="16.5" customHeight="1">
      <c r="G372" s="66">
        <f>IF($D372="","",IF(COUNTIF('Config'!$N$8:$N$15,$D372)&gt;0,"Entrada",IF(COUNTIF('Config'!$P$8:$P$23,$D372)&gt;0,"Saída","Verificar")))</f>
        <v/>
      </c>
    </row>
    <row r="373" spans="7:7" ht="16.5" customHeight="1">
      <c r="G373" s="66">
        <f>IF($D373="","",IF(COUNTIF('Config'!$N$8:$N$15,$D373)&gt;0,"Entrada",IF(COUNTIF('Config'!$P$8:$P$23,$D373)&gt;0,"Saída","Verificar")))</f>
        <v/>
      </c>
    </row>
    <row r="374" spans="7:7" ht="16.5" customHeight="1">
      <c r="G374" s="66">
        <f>IF($D374="","",IF(COUNTIF('Config'!$N$8:$N$15,$D374)&gt;0,"Entrada",IF(COUNTIF('Config'!$P$8:$P$23,$D374)&gt;0,"Saída","Verificar")))</f>
        <v/>
      </c>
    </row>
    <row r="375" spans="7:7" ht="16.5" customHeight="1">
      <c r="G375" s="66">
        <f>IF($D375="","",IF(COUNTIF('Config'!$N$8:$N$15,$D375)&gt;0,"Entrada",IF(COUNTIF('Config'!$P$8:$P$23,$D375)&gt;0,"Saída","Verificar")))</f>
        <v/>
      </c>
    </row>
    <row r="376" spans="7:7" ht="16.5" customHeight="1">
      <c r="G376" s="66">
        <f>IF($D376="","",IF(COUNTIF('Config'!$N$8:$N$15,$D376)&gt;0,"Entrada",IF(COUNTIF('Config'!$P$8:$P$23,$D376)&gt;0,"Saída","Verificar")))</f>
        <v/>
      </c>
    </row>
    <row r="377" spans="7:7" ht="16.5" customHeight="1">
      <c r="G377" s="66">
        <f>IF($D377="","",IF(COUNTIF('Config'!$N$8:$N$15,$D377)&gt;0,"Entrada",IF(COUNTIF('Config'!$P$8:$P$23,$D377)&gt;0,"Saída","Verificar")))</f>
        <v/>
      </c>
    </row>
    <row r="378" spans="7:7" ht="16.5" customHeight="1">
      <c r="G378" s="66">
        <f>IF($D378="","",IF(COUNTIF('Config'!$N$8:$N$15,$D378)&gt;0,"Entrada",IF(COUNTIF('Config'!$P$8:$P$23,$D378)&gt;0,"Saída","Verificar")))</f>
        <v/>
      </c>
    </row>
    <row r="379" spans="7:7" ht="16.5" customHeight="1">
      <c r="G379" s="66">
        <f>IF($D379="","",IF(COUNTIF('Config'!$N$8:$N$15,$D379)&gt;0,"Entrada",IF(COUNTIF('Config'!$P$8:$P$23,$D379)&gt;0,"Saída","Verificar")))</f>
        <v/>
      </c>
    </row>
    <row r="380" spans="7:7" ht="16.5" customHeight="1">
      <c r="G380" s="66">
        <f>IF($D380="","",IF(COUNTIF('Config'!$N$8:$N$15,$D380)&gt;0,"Entrada",IF(COUNTIF('Config'!$P$8:$P$23,$D380)&gt;0,"Saída","Verificar")))</f>
        <v/>
      </c>
    </row>
    <row r="381" spans="7:7" ht="16.5" customHeight="1">
      <c r="G381" s="66">
        <f>IF($D381="","",IF(COUNTIF('Config'!$N$8:$N$15,$D381)&gt;0,"Entrada",IF(COUNTIF('Config'!$P$8:$P$23,$D381)&gt;0,"Saída","Verificar")))</f>
        <v/>
      </c>
    </row>
    <row r="382" spans="7:7" ht="16.5" customHeight="1">
      <c r="G382" s="66">
        <f>IF($D382="","",IF(COUNTIF('Config'!$N$8:$N$15,$D382)&gt;0,"Entrada",IF(COUNTIF('Config'!$P$8:$P$23,$D382)&gt;0,"Saída","Verificar")))</f>
        <v/>
      </c>
    </row>
    <row r="383" spans="7:7" ht="16.5" customHeight="1">
      <c r="G383" s="66">
        <f>IF($D383="","",IF(COUNTIF('Config'!$N$8:$N$15,$D383)&gt;0,"Entrada",IF(COUNTIF('Config'!$P$8:$P$23,$D383)&gt;0,"Saída","Verificar")))</f>
        <v/>
      </c>
    </row>
    <row r="384" spans="7:7" ht="16.5" customHeight="1">
      <c r="G384" s="66">
        <f>IF($D384="","",IF(COUNTIF('Config'!$N$8:$N$15,$D384)&gt;0,"Entrada",IF(COUNTIF('Config'!$P$8:$P$23,$D384)&gt;0,"Saída","Verificar")))</f>
        <v/>
      </c>
    </row>
    <row r="385" spans="7:7" ht="16.5" customHeight="1">
      <c r="G385" s="66">
        <f>IF($D385="","",IF(COUNTIF('Config'!$N$8:$N$15,$D385)&gt;0,"Entrada",IF(COUNTIF('Config'!$P$8:$P$23,$D385)&gt;0,"Saída","Verificar")))</f>
        <v/>
      </c>
    </row>
    <row r="386" spans="7:7" ht="16.5" customHeight="1">
      <c r="G386" s="66">
        <f>IF($D386="","",IF(COUNTIF('Config'!$N$8:$N$15,$D386)&gt;0,"Entrada",IF(COUNTIF('Config'!$P$8:$P$23,$D386)&gt;0,"Saída","Verificar")))</f>
        <v/>
      </c>
    </row>
    <row r="387" spans="7:7" ht="16.5" customHeight="1">
      <c r="G387" s="66">
        <f>IF($D387="","",IF(COUNTIF('Config'!$N$8:$N$15,$D387)&gt;0,"Entrada",IF(COUNTIF('Config'!$P$8:$P$23,$D387)&gt;0,"Saída","Verificar")))</f>
        <v/>
      </c>
    </row>
    <row r="388" spans="7:7" ht="16.5" customHeight="1">
      <c r="G388" s="66">
        <f>IF($D388="","",IF(COUNTIF('Config'!$N$8:$N$15,$D388)&gt;0,"Entrada",IF(COUNTIF('Config'!$P$8:$P$23,$D388)&gt;0,"Saída","Verificar")))</f>
        <v/>
      </c>
    </row>
    <row r="389" spans="7:7" ht="16.5" customHeight="1">
      <c r="G389" s="66">
        <f>IF($D389="","",IF(COUNTIF('Config'!$N$8:$N$15,$D389)&gt;0,"Entrada",IF(COUNTIF('Config'!$P$8:$P$23,$D389)&gt;0,"Saída","Verificar")))</f>
        <v/>
      </c>
    </row>
    <row r="390" spans="7:7" ht="16.5" customHeight="1">
      <c r="G390" s="66">
        <f>IF($D390="","",IF(COUNTIF('Config'!$N$8:$N$15,$D390)&gt;0,"Entrada",IF(COUNTIF('Config'!$P$8:$P$23,$D390)&gt;0,"Saída","Verificar")))</f>
        <v/>
      </c>
    </row>
    <row r="391" spans="7:7" ht="16.5" customHeight="1">
      <c r="G391" s="66">
        <f>IF($D391="","",IF(COUNTIF('Config'!$N$8:$N$15,$D391)&gt;0,"Entrada",IF(COUNTIF('Config'!$P$8:$P$23,$D391)&gt;0,"Saída","Verificar")))</f>
        <v/>
      </c>
    </row>
    <row r="392" spans="7:7" ht="16.5" customHeight="1">
      <c r="G392" s="66">
        <f>IF($D392="","",IF(COUNTIF('Config'!$N$8:$N$15,$D392)&gt;0,"Entrada",IF(COUNTIF('Config'!$P$8:$P$23,$D392)&gt;0,"Saída","Verificar")))</f>
        <v/>
      </c>
    </row>
    <row r="393" spans="7:7" ht="16.5" customHeight="1">
      <c r="G393" s="66">
        <f>IF($D393="","",IF(COUNTIF('Config'!$N$8:$N$15,$D393)&gt;0,"Entrada",IF(COUNTIF('Config'!$P$8:$P$23,$D393)&gt;0,"Saída","Verificar")))</f>
        <v/>
      </c>
    </row>
    <row r="394" spans="7:7" ht="16.5" customHeight="1">
      <c r="G394" s="66">
        <f>IF($D394="","",IF(COUNTIF('Config'!$N$8:$N$15,$D394)&gt;0,"Entrada",IF(COUNTIF('Config'!$P$8:$P$23,$D394)&gt;0,"Saída","Verificar")))</f>
        <v/>
      </c>
    </row>
    <row r="395" spans="7:7" ht="16.5" customHeight="1">
      <c r="G395" s="66">
        <f>IF($D395="","",IF(COUNTIF('Config'!$N$8:$N$15,$D395)&gt;0,"Entrada",IF(COUNTIF('Config'!$P$8:$P$23,$D395)&gt;0,"Saída","Verificar")))</f>
        <v/>
      </c>
    </row>
    <row r="396" spans="7:7" ht="16.5" customHeight="1">
      <c r="G396" s="66">
        <f>IF($D396="","",IF(COUNTIF('Config'!$N$8:$N$15,$D396)&gt;0,"Entrada",IF(COUNTIF('Config'!$P$8:$P$23,$D396)&gt;0,"Saída","Verificar")))</f>
        <v/>
      </c>
    </row>
    <row r="397" spans="7:7" ht="16.5" customHeight="1">
      <c r="G397" s="66">
        <f>IF($D397="","",IF(COUNTIF('Config'!$N$8:$N$15,$D397)&gt;0,"Entrada",IF(COUNTIF('Config'!$P$8:$P$23,$D397)&gt;0,"Saída","Verificar")))</f>
        <v/>
      </c>
    </row>
    <row r="398" spans="7:7" ht="16.5" customHeight="1">
      <c r="G398" s="66">
        <f>IF($D398="","",IF(COUNTIF('Config'!$N$8:$N$15,$D398)&gt;0,"Entrada",IF(COUNTIF('Config'!$P$8:$P$23,$D398)&gt;0,"Saída","Verificar")))</f>
        <v/>
      </c>
    </row>
    <row r="399" spans="7:7" ht="16.5" customHeight="1">
      <c r="G399" s="66">
        <f>IF($D399="","",IF(COUNTIF('Config'!$N$8:$N$15,$D399)&gt;0,"Entrada",IF(COUNTIF('Config'!$P$8:$P$23,$D399)&gt;0,"Saída","Verificar")))</f>
        <v/>
      </c>
    </row>
    <row r="400" spans="7:7" ht="16.5" customHeight="1">
      <c r="G400" s="66">
        <f>IF($D400="","",IF(COUNTIF('Config'!$N$8:$N$15,$D400)&gt;0,"Entrada",IF(COUNTIF('Config'!$P$8:$P$23,$D400)&gt;0,"Saída","Verificar")))</f>
        <v/>
      </c>
    </row>
    <row r="401" spans="7:7" ht="16.5" customHeight="1">
      <c r="G401" s="66">
        <f>IF($D401="","",IF(COUNTIF('Config'!$N$8:$N$15,$D401)&gt;0,"Entrada",IF(COUNTIF('Config'!$P$8:$P$23,$D401)&gt;0,"Saída","Verificar")))</f>
        <v/>
      </c>
    </row>
    <row r="402" spans="7:7" ht="16.5" customHeight="1">
      <c r="G402" s="66">
        <f>IF($D402="","",IF(COUNTIF('Config'!$N$8:$N$15,$D402)&gt;0,"Entrada",IF(COUNTIF('Config'!$P$8:$P$23,$D402)&gt;0,"Saída","Verificar")))</f>
        <v/>
      </c>
    </row>
    <row r="403" spans="7:7" ht="16.5" customHeight="1">
      <c r="G403" s="66">
        <f>IF($D403="","",IF(COUNTIF('Config'!$N$8:$N$15,$D403)&gt;0,"Entrada",IF(COUNTIF('Config'!$P$8:$P$23,$D403)&gt;0,"Saída","Verificar")))</f>
        <v/>
      </c>
    </row>
    <row r="404" spans="7:7" ht="16.5" customHeight="1">
      <c r="G404" s="66">
        <f>IF($D404="","",IF(COUNTIF('Config'!$N$8:$N$15,$D404)&gt;0,"Entrada",IF(COUNTIF('Config'!$P$8:$P$23,$D404)&gt;0,"Saída","Verificar")))</f>
        <v/>
      </c>
    </row>
    <row r="405" spans="7:7" ht="16.5" customHeight="1">
      <c r="G405" s="66">
        <f>IF($D405="","",IF(COUNTIF('Config'!$N$8:$N$15,$D405)&gt;0,"Entrada",IF(COUNTIF('Config'!$P$8:$P$23,$D405)&gt;0,"Saída","Verificar")))</f>
        <v/>
      </c>
    </row>
    <row r="406" spans="7:7" ht="16.5" customHeight="1">
      <c r="G406" s="66">
        <f>IF($D406="","",IF(COUNTIF('Config'!$N$8:$N$15,$D406)&gt;0,"Entrada",IF(COUNTIF('Config'!$P$8:$P$23,$D406)&gt;0,"Saída","Verificar")))</f>
        <v/>
      </c>
    </row>
    <row r="407" spans="7:7" ht="16.5" customHeight="1">
      <c r="G407" s="66">
        <f>IF($D407="","",IF(COUNTIF('Config'!$N$8:$N$15,$D407)&gt;0,"Entrada",IF(COUNTIF('Config'!$P$8:$P$23,$D407)&gt;0,"Saída","Verificar")))</f>
        <v/>
      </c>
    </row>
    <row r="408" spans="7:7" ht="16.5" customHeight="1">
      <c r="G408" s="66">
        <f>IF($D408="","",IF(COUNTIF('Config'!$N$8:$N$15,$D408)&gt;0,"Entrada",IF(COUNTIF('Config'!$P$8:$P$23,$D408)&gt;0,"Saída","Verificar")))</f>
        <v/>
      </c>
    </row>
    <row r="409" spans="7:7" ht="16.5" customHeight="1">
      <c r="G409" s="66">
        <f>IF($D409="","",IF(COUNTIF('Config'!$N$8:$N$15,$D409)&gt;0,"Entrada",IF(COUNTIF('Config'!$P$8:$P$23,$D409)&gt;0,"Saída","Verificar")))</f>
        <v/>
      </c>
    </row>
    <row r="410" spans="7:7" ht="16.5" customHeight="1">
      <c r="G410" s="66">
        <f>IF($D410="","",IF(COUNTIF('Config'!$N$8:$N$15,$D410)&gt;0,"Entrada",IF(COUNTIF('Config'!$P$8:$P$23,$D410)&gt;0,"Saída","Verificar")))</f>
        <v/>
      </c>
    </row>
    <row r="411" spans="7:7" ht="16.5" customHeight="1">
      <c r="G411" s="66">
        <f>IF($D411="","",IF(COUNTIF('Config'!$N$8:$N$15,$D411)&gt;0,"Entrada",IF(COUNTIF('Config'!$P$8:$P$23,$D411)&gt;0,"Saída","Verificar")))</f>
        <v/>
      </c>
    </row>
    <row r="412" spans="7:7" ht="16.5" customHeight="1">
      <c r="G412" s="66">
        <f>IF($D412="","",IF(COUNTIF('Config'!$N$8:$N$15,$D412)&gt;0,"Entrada",IF(COUNTIF('Config'!$P$8:$P$23,$D412)&gt;0,"Saída","Verificar")))</f>
        <v/>
      </c>
    </row>
    <row r="413" spans="7:7" ht="16.5" customHeight="1">
      <c r="G413" s="66">
        <f>IF($D413="","",IF(COUNTIF('Config'!$N$8:$N$15,$D413)&gt;0,"Entrada",IF(COUNTIF('Config'!$P$8:$P$23,$D413)&gt;0,"Saída","Verificar")))</f>
        <v/>
      </c>
    </row>
    <row r="414" spans="7:7" ht="16.5" customHeight="1">
      <c r="G414" s="66">
        <f>IF($D414="","",IF(COUNTIF('Config'!$N$8:$N$15,$D414)&gt;0,"Entrada",IF(COUNTIF('Config'!$P$8:$P$23,$D414)&gt;0,"Saída","Verificar")))</f>
        <v/>
      </c>
    </row>
    <row r="415" spans="7:7" ht="16.5" customHeight="1">
      <c r="G415" s="66">
        <f>IF($D415="","",IF(COUNTIF('Config'!$N$8:$N$15,$D415)&gt;0,"Entrada",IF(COUNTIF('Config'!$P$8:$P$23,$D415)&gt;0,"Saída","Verificar")))</f>
        <v/>
      </c>
    </row>
    <row r="416" spans="7:7" ht="16.5" customHeight="1">
      <c r="G416" s="66">
        <f>IF($D416="","",IF(COUNTIF('Config'!$N$8:$N$15,$D416)&gt;0,"Entrada",IF(COUNTIF('Config'!$P$8:$P$23,$D416)&gt;0,"Saída","Verificar")))</f>
        <v/>
      </c>
    </row>
    <row r="417" spans="7:7" ht="16.5" customHeight="1">
      <c r="G417" s="66">
        <f>IF($D417="","",IF(COUNTIF('Config'!$N$8:$N$15,$D417)&gt;0,"Entrada",IF(COUNTIF('Config'!$P$8:$P$23,$D417)&gt;0,"Saída","Verificar")))</f>
        <v/>
      </c>
    </row>
    <row r="418" spans="7:7" ht="16.5" customHeight="1">
      <c r="G418" s="66">
        <f>IF($D418="","",IF(COUNTIF('Config'!$N$8:$N$15,$D418)&gt;0,"Entrada",IF(COUNTIF('Config'!$P$8:$P$23,$D418)&gt;0,"Saída","Verificar")))</f>
        <v/>
      </c>
    </row>
    <row r="419" spans="7:7" ht="16.5" customHeight="1">
      <c r="G419" s="66">
        <f>IF($D419="","",IF(COUNTIF('Config'!$N$8:$N$15,$D419)&gt;0,"Entrada",IF(COUNTIF('Config'!$P$8:$P$23,$D419)&gt;0,"Saída","Verificar")))</f>
        <v/>
      </c>
    </row>
    <row r="420" spans="7:7" ht="16.5" customHeight="1">
      <c r="G420" s="66">
        <f>IF($D420="","",IF(COUNTIF('Config'!$N$8:$N$15,$D420)&gt;0,"Entrada",IF(COUNTIF('Config'!$P$8:$P$23,$D420)&gt;0,"Saída","Verificar")))</f>
        <v/>
      </c>
    </row>
    <row r="421" spans="7:7" ht="16.5" customHeight="1">
      <c r="G421" s="66">
        <f>IF($D421="","",IF(COUNTIF('Config'!$N$8:$N$15,$D421)&gt;0,"Entrada",IF(COUNTIF('Config'!$P$8:$P$23,$D421)&gt;0,"Saída","Verificar")))</f>
        <v/>
      </c>
    </row>
    <row r="422" spans="7:7" ht="16.5" customHeight="1">
      <c r="G422" s="66">
        <f>IF($D422="","",IF(COUNTIF('Config'!$N$8:$N$15,$D422)&gt;0,"Entrada",IF(COUNTIF('Config'!$P$8:$P$23,$D422)&gt;0,"Saída","Verificar")))</f>
        <v/>
      </c>
    </row>
    <row r="423" spans="7:7" ht="16.5" customHeight="1">
      <c r="G423" s="66">
        <f>IF($D423="","",IF(COUNTIF('Config'!$N$8:$N$15,$D423)&gt;0,"Entrada",IF(COUNTIF('Config'!$P$8:$P$23,$D423)&gt;0,"Saída","Verificar")))</f>
        <v/>
      </c>
    </row>
    <row r="424" spans="7:7" ht="16.5" customHeight="1">
      <c r="G424" s="66">
        <f>IF($D424="","",IF(COUNTIF('Config'!$N$8:$N$15,$D424)&gt;0,"Entrada",IF(COUNTIF('Config'!$P$8:$P$23,$D424)&gt;0,"Saída","Verificar")))</f>
        <v/>
      </c>
    </row>
    <row r="425" spans="7:7" ht="16.5" customHeight="1">
      <c r="G425" s="66">
        <f>IF($D425="","",IF(COUNTIF('Config'!$N$8:$N$15,$D425)&gt;0,"Entrada",IF(COUNTIF('Config'!$P$8:$P$23,$D425)&gt;0,"Saída","Verificar")))</f>
        <v/>
      </c>
    </row>
    <row r="426" spans="7:7" ht="16.5" customHeight="1">
      <c r="G426" s="66">
        <f>IF($D426="","",IF(COUNTIF('Config'!$N$8:$N$15,$D426)&gt;0,"Entrada",IF(COUNTIF('Config'!$P$8:$P$23,$D426)&gt;0,"Saída","Verificar")))</f>
        <v/>
      </c>
    </row>
    <row r="427" spans="7:7" ht="16.5" customHeight="1">
      <c r="G427" s="66">
        <f>IF($D427="","",IF(COUNTIF('Config'!$N$8:$N$15,$D427)&gt;0,"Entrada",IF(COUNTIF('Config'!$P$8:$P$23,$D427)&gt;0,"Saída","Verificar")))</f>
        <v/>
      </c>
    </row>
    <row r="428" spans="7:7" ht="16.5" customHeight="1">
      <c r="G428" s="66">
        <f>IF($D428="","",IF(COUNTIF('Config'!$N$8:$N$15,$D428)&gt;0,"Entrada",IF(COUNTIF('Config'!$P$8:$P$23,$D428)&gt;0,"Saída","Verificar")))</f>
        <v/>
      </c>
    </row>
    <row r="429" spans="7:7" ht="16.5" customHeight="1">
      <c r="G429" s="66">
        <f>IF($D429="","",IF(COUNTIF('Config'!$N$8:$N$15,$D429)&gt;0,"Entrada",IF(COUNTIF('Config'!$P$8:$P$23,$D429)&gt;0,"Saída","Verificar")))</f>
        <v/>
      </c>
    </row>
    <row r="430" spans="7:7" ht="16.5" customHeight="1">
      <c r="G430" s="66">
        <f>IF($D430="","",IF(COUNTIF('Config'!$N$8:$N$15,$D430)&gt;0,"Entrada",IF(COUNTIF('Config'!$P$8:$P$23,$D430)&gt;0,"Saída","Verificar")))</f>
        <v/>
      </c>
    </row>
    <row r="431" spans="7:7" ht="16.5" customHeight="1">
      <c r="G431" s="66">
        <f>IF($D431="","",IF(COUNTIF('Config'!$N$8:$N$15,$D431)&gt;0,"Entrada",IF(COUNTIF('Config'!$P$8:$P$23,$D431)&gt;0,"Saída","Verificar")))</f>
        <v/>
      </c>
    </row>
    <row r="432" spans="7:7" ht="16.5" customHeight="1">
      <c r="G432" s="66">
        <f>IF($D432="","",IF(COUNTIF('Config'!$N$8:$N$15,$D432)&gt;0,"Entrada",IF(COUNTIF('Config'!$P$8:$P$23,$D432)&gt;0,"Saída","Verificar")))</f>
        <v/>
      </c>
    </row>
    <row r="433" spans="7:7" ht="16.5" customHeight="1">
      <c r="G433" s="66">
        <f>IF($D433="","",IF(COUNTIF('Config'!$N$8:$N$15,$D433)&gt;0,"Entrada",IF(COUNTIF('Config'!$P$8:$P$23,$D433)&gt;0,"Saída","Verificar")))</f>
        <v/>
      </c>
    </row>
    <row r="434" spans="7:7" ht="16.5" customHeight="1">
      <c r="G434" s="66">
        <f>IF($D434="","",IF(COUNTIF('Config'!$N$8:$N$15,$D434)&gt;0,"Entrada",IF(COUNTIF('Config'!$P$8:$P$23,$D434)&gt;0,"Saída","Verificar")))</f>
        <v/>
      </c>
    </row>
    <row r="435" spans="7:7" ht="16.5" customHeight="1">
      <c r="G435" s="66">
        <f>IF($D435="","",IF(COUNTIF('Config'!$N$8:$N$15,$D435)&gt;0,"Entrada",IF(COUNTIF('Config'!$P$8:$P$23,$D435)&gt;0,"Saída","Verificar")))</f>
        <v/>
      </c>
    </row>
    <row r="436" spans="7:7" ht="16.5" customHeight="1">
      <c r="G436" s="66">
        <f>IF($D436="","",IF(COUNTIF('Config'!$N$8:$N$15,$D436)&gt;0,"Entrada",IF(COUNTIF('Config'!$P$8:$P$23,$D436)&gt;0,"Saída","Verificar")))</f>
        <v/>
      </c>
    </row>
    <row r="437" spans="7:7" ht="16.5" customHeight="1">
      <c r="G437" s="66">
        <f>IF($D437="","",IF(COUNTIF('Config'!$N$8:$N$15,$D437)&gt;0,"Entrada",IF(COUNTIF('Config'!$P$8:$P$23,$D437)&gt;0,"Saída","Verificar")))</f>
        <v/>
      </c>
    </row>
    <row r="438" spans="7:7" ht="16.5" customHeight="1">
      <c r="G438" s="66">
        <f>IF($D438="","",IF(COUNTIF('Config'!$N$8:$N$15,$D438)&gt;0,"Entrada",IF(COUNTIF('Config'!$P$8:$P$23,$D438)&gt;0,"Saída","Verificar")))</f>
        <v/>
      </c>
    </row>
    <row r="439" spans="7:7" ht="16.5" customHeight="1">
      <c r="G439" s="66">
        <f>IF($D439="","",IF(COUNTIF('Config'!$N$8:$N$15,$D439)&gt;0,"Entrada",IF(COUNTIF('Config'!$P$8:$P$23,$D439)&gt;0,"Saída","Verificar")))</f>
        <v/>
      </c>
    </row>
    <row r="440" spans="7:7" ht="16.5" customHeight="1">
      <c r="G440" s="66">
        <f>IF($D440="","",IF(COUNTIF('Config'!$N$8:$N$15,$D440)&gt;0,"Entrada",IF(COUNTIF('Config'!$P$8:$P$23,$D440)&gt;0,"Saída","Verificar")))</f>
        <v/>
      </c>
    </row>
    <row r="441" spans="7:7" ht="16.5" customHeight="1">
      <c r="G441" s="66">
        <f>IF($D441="","",IF(COUNTIF('Config'!$N$8:$N$15,$D441)&gt;0,"Entrada",IF(COUNTIF('Config'!$P$8:$P$23,$D441)&gt;0,"Saída","Verificar")))</f>
        <v/>
      </c>
    </row>
    <row r="442" spans="7:7" ht="16.5" customHeight="1">
      <c r="G442" s="66">
        <f>IF($D442="","",IF(COUNTIF('Config'!$N$8:$N$15,$D442)&gt;0,"Entrada",IF(COUNTIF('Config'!$P$8:$P$23,$D442)&gt;0,"Saída","Verificar")))</f>
        <v/>
      </c>
    </row>
    <row r="443" spans="7:7" ht="16.5" customHeight="1">
      <c r="G443" s="66">
        <f>IF($D443="","",IF(COUNTIF('Config'!$N$8:$N$15,$D443)&gt;0,"Entrada",IF(COUNTIF('Config'!$P$8:$P$23,$D443)&gt;0,"Saída","Verificar")))</f>
        <v/>
      </c>
    </row>
    <row r="444" spans="7:7" ht="16.5" customHeight="1">
      <c r="G444" s="66">
        <f>IF($D444="","",IF(COUNTIF('Config'!$N$8:$N$15,$D444)&gt;0,"Entrada",IF(COUNTIF('Config'!$P$8:$P$23,$D444)&gt;0,"Saída","Verificar")))</f>
        <v/>
      </c>
    </row>
    <row r="445" spans="7:7" ht="16.5" customHeight="1">
      <c r="G445" s="66">
        <f>IF($D445="","",IF(COUNTIF('Config'!$N$8:$N$15,$D445)&gt;0,"Entrada",IF(COUNTIF('Config'!$P$8:$P$23,$D445)&gt;0,"Saída","Verificar")))</f>
        <v/>
      </c>
    </row>
    <row r="446" spans="7:7" ht="16.5" customHeight="1">
      <c r="G446" s="66">
        <f>IF($D446="","",IF(COUNTIF('Config'!$N$8:$N$15,$D446)&gt;0,"Entrada",IF(COUNTIF('Config'!$P$8:$P$23,$D446)&gt;0,"Saída","Verificar")))</f>
        <v/>
      </c>
    </row>
    <row r="447" spans="7:7" ht="16.5" customHeight="1">
      <c r="G447" s="66">
        <f>IF($D447="","",IF(COUNTIF('Config'!$N$8:$N$15,$D447)&gt;0,"Entrada",IF(COUNTIF('Config'!$P$8:$P$23,$D447)&gt;0,"Saída","Verificar")))</f>
        <v/>
      </c>
    </row>
    <row r="448" spans="7:7" ht="16.5" customHeight="1">
      <c r="G448" s="66">
        <f>IF($D448="","",IF(COUNTIF('Config'!$N$8:$N$15,$D448)&gt;0,"Entrada",IF(COUNTIF('Config'!$P$8:$P$23,$D448)&gt;0,"Saída","Verificar")))</f>
        <v/>
      </c>
    </row>
    <row r="449" spans="7:7" ht="16.5" customHeight="1">
      <c r="G449" s="66">
        <f>IF($D449="","",IF(COUNTIF('Config'!$N$8:$N$15,$D449)&gt;0,"Entrada",IF(COUNTIF('Config'!$P$8:$P$23,$D449)&gt;0,"Saída","Verificar")))</f>
        <v/>
      </c>
    </row>
    <row r="450" spans="7:7" ht="16.5" customHeight="1">
      <c r="G450" s="66">
        <f>IF($D450="","",IF(COUNTIF('Config'!$N$8:$N$15,$D450)&gt;0,"Entrada",IF(COUNTIF('Config'!$P$8:$P$23,$D450)&gt;0,"Saída","Verificar")))</f>
        <v/>
      </c>
    </row>
    <row r="451" spans="7:7" ht="16.5" customHeight="1">
      <c r="G451" s="66">
        <f>IF($D451="","",IF(COUNTIF('Config'!$N$8:$N$15,$D451)&gt;0,"Entrada",IF(COUNTIF('Config'!$P$8:$P$23,$D451)&gt;0,"Saída","Verificar")))</f>
        <v/>
      </c>
    </row>
    <row r="452" spans="7:7" ht="16.5" customHeight="1">
      <c r="G452" s="66">
        <f>IF($D452="","",IF(COUNTIF('Config'!$N$8:$N$15,$D452)&gt;0,"Entrada",IF(COUNTIF('Config'!$P$8:$P$23,$D452)&gt;0,"Saída","Verificar")))</f>
        <v/>
      </c>
    </row>
    <row r="453" spans="7:7" ht="16.5" customHeight="1">
      <c r="G453" s="66">
        <f>IF($D453="","",IF(COUNTIF('Config'!$N$8:$N$15,$D453)&gt;0,"Entrada",IF(COUNTIF('Config'!$P$8:$P$23,$D453)&gt;0,"Saída","Verificar")))</f>
        <v/>
      </c>
    </row>
    <row r="454" spans="7:7" ht="16.5" customHeight="1">
      <c r="G454" s="66">
        <f>IF($D454="","",IF(COUNTIF('Config'!$N$8:$N$15,$D454)&gt;0,"Entrada",IF(COUNTIF('Config'!$P$8:$P$23,$D454)&gt;0,"Saída","Verificar")))</f>
        <v/>
      </c>
    </row>
    <row r="455" spans="7:7" ht="16.5" customHeight="1">
      <c r="G455" s="66">
        <f>IF($D455="","",IF(COUNTIF('Config'!$N$8:$N$15,$D455)&gt;0,"Entrada",IF(COUNTIF('Config'!$P$8:$P$23,$D455)&gt;0,"Saída","Verificar")))</f>
        <v/>
      </c>
    </row>
    <row r="456" spans="7:7" ht="16.5" customHeight="1">
      <c r="G456" s="66">
        <f>IF($D456="","",IF(COUNTIF('Config'!$N$8:$N$15,$D456)&gt;0,"Entrada",IF(COUNTIF('Config'!$P$8:$P$23,$D456)&gt;0,"Saída","Verificar")))</f>
        <v/>
      </c>
    </row>
    <row r="457" spans="7:7" ht="16.5" customHeight="1">
      <c r="G457" s="66">
        <f>IF($D457="","",IF(COUNTIF('Config'!$N$8:$N$15,$D457)&gt;0,"Entrada",IF(COUNTIF('Config'!$P$8:$P$23,$D457)&gt;0,"Saída","Verificar")))</f>
        <v/>
      </c>
    </row>
    <row r="458" spans="7:7" ht="16.5" customHeight="1">
      <c r="G458" s="66">
        <f>IF($D458="","",IF(COUNTIF('Config'!$N$8:$N$15,$D458)&gt;0,"Entrada",IF(COUNTIF('Config'!$P$8:$P$23,$D458)&gt;0,"Saída","Verificar")))</f>
        <v/>
      </c>
    </row>
    <row r="459" spans="7:7" ht="16.5" customHeight="1">
      <c r="G459" s="66">
        <f>IF($D459="","",IF(COUNTIF('Config'!$N$8:$N$15,$D459)&gt;0,"Entrada",IF(COUNTIF('Config'!$P$8:$P$23,$D459)&gt;0,"Saída","Verificar")))</f>
        <v/>
      </c>
    </row>
    <row r="460" spans="7:7" ht="16.5" customHeight="1">
      <c r="G460" s="66">
        <f>IF($D460="","",IF(COUNTIF('Config'!$N$8:$N$15,$D460)&gt;0,"Entrada",IF(COUNTIF('Config'!$P$8:$P$23,$D460)&gt;0,"Saída","Verificar")))</f>
        <v/>
      </c>
    </row>
    <row r="461" spans="7:7" ht="16.5" customHeight="1">
      <c r="G461" s="66">
        <f>IF($D461="","",IF(COUNTIF('Config'!$N$8:$N$15,$D461)&gt;0,"Entrada",IF(COUNTIF('Config'!$P$8:$P$23,$D461)&gt;0,"Saída","Verificar")))</f>
        <v/>
      </c>
    </row>
    <row r="462" spans="7:7" ht="16.5" customHeight="1">
      <c r="G462" s="66">
        <f>IF($D462="","",IF(COUNTIF('Config'!$N$8:$N$15,$D462)&gt;0,"Entrada",IF(COUNTIF('Config'!$P$8:$P$23,$D462)&gt;0,"Saída","Verificar")))</f>
        <v/>
      </c>
    </row>
    <row r="463" spans="7:7" ht="16.5" customHeight="1">
      <c r="G463" s="66">
        <f>IF($D463="","",IF(COUNTIF('Config'!$N$8:$N$15,$D463)&gt;0,"Entrada",IF(COUNTIF('Config'!$P$8:$P$23,$D463)&gt;0,"Saída","Verificar")))</f>
        <v/>
      </c>
    </row>
    <row r="464" spans="7:7" ht="16.5" customHeight="1">
      <c r="G464" s="66">
        <f>IF($D464="","",IF(COUNTIF('Config'!$N$8:$N$15,$D464)&gt;0,"Entrada",IF(COUNTIF('Config'!$P$8:$P$23,$D464)&gt;0,"Saída","Verificar")))</f>
        <v/>
      </c>
    </row>
    <row r="465" spans="7:7" ht="16.5" customHeight="1">
      <c r="G465" s="66">
        <f>IF($D465="","",IF(COUNTIF('Config'!$N$8:$N$15,$D465)&gt;0,"Entrada",IF(COUNTIF('Config'!$P$8:$P$23,$D465)&gt;0,"Saída","Verificar")))</f>
        <v/>
      </c>
    </row>
    <row r="466" spans="7:7" ht="16.5" customHeight="1">
      <c r="G466" s="66">
        <f>IF($D466="","",IF(COUNTIF('Config'!$N$8:$N$15,$D466)&gt;0,"Entrada",IF(COUNTIF('Config'!$P$8:$P$23,$D466)&gt;0,"Saída","Verificar")))</f>
        <v/>
      </c>
    </row>
    <row r="467" spans="7:7" ht="16.5" customHeight="1">
      <c r="G467" s="66">
        <f>IF($D467="","",IF(COUNTIF('Config'!$N$8:$N$15,$D467)&gt;0,"Entrada",IF(COUNTIF('Config'!$P$8:$P$23,$D467)&gt;0,"Saída","Verificar")))</f>
        <v/>
      </c>
    </row>
    <row r="468" spans="7:7" ht="16.5" customHeight="1">
      <c r="G468" s="66">
        <f>IF($D468="","",IF(COUNTIF('Config'!$N$8:$N$15,$D468)&gt;0,"Entrada",IF(COUNTIF('Config'!$P$8:$P$23,$D468)&gt;0,"Saída","Verificar")))</f>
        <v/>
      </c>
    </row>
    <row r="469" spans="7:7" ht="16.5" customHeight="1">
      <c r="G469" s="66">
        <f>IF($D469="","",IF(COUNTIF('Config'!$N$8:$N$15,$D469)&gt;0,"Entrada",IF(COUNTIF('Config'!$P$8:$P$23,$D469)&gt;0,"Saída","Verificar")))</f>
        <v/>
      </c>
    </row>
    <row r="470" spans="7:7" ht="16.5" customHeight="1">
      <c r="G470" s="66">
        <f>IF($D470="","",IF(COUNTIF('Config'!$N$8:$N$15,$D470)&gt;0,"Entrada",IF(COUNTIF('Config'!$P$8:$P$23,$D470)&gt;0,"Saída","Verificar")))</f>
        <v/>
      </c>
    </row>
    <row r="471" spans="7:7" ht="16.5" customHeight="1">
      <c r="G471" s="66">
        <f>IF($D471="","",IF(COUNTIF('Config'!$N$8:$N$15,$D471)&gt;0,"Entrada",IF(COUNTIF('Config'!$P$8:$P$23,$D471)&gt;0,"Saída","Verificar")))</f>
        <v/>
      </c>
    </row>
    <row r="472" spans="7:7" ht="16.5" customHeight="1">
      <c r="G472" s="66">
        <f>IF($D472="","",IF(COUNTIF('Config'!$N$8:$N$15,$D472)&gt;0,"Entrada",IF(COUNTIF('Config'!$P$8:$P$23,$D472)&gt;0,"Saída","Verificar")))</f>
        <v/>
      </c>
    </row>
    <row r="473" spans="7:7" ht="16.5" customHeight="1">
      <c r="G473" s="66">
        <f>IF($D473="","",IF(COUNTIF('Config'!$N$8:$N$15,$D473)&gt;0,"Entrada",IF(COUNTIF('Config'!$P$8:$P$23,$D473)&gt;0,"Saída","Verificar")))</f>
        <v/>
      </c>
    </row>
    <row r="474" spans="7:7" ht="16.5" customHeight="1">
      <c r="G474" s="66">
        <f>IF($D474="","",IF(COUNTIF('Config'!$N$8:$N$15,$D474)&gt;0,"Entrada",IF(COUNTIF('Config'!$P$8:$P$23,$D474)&gt;0,"Saída","Verificar")))</f>
        <v/>
      </c>
    </row>
    <row r="475" spans="7:7" ht="16.5" customHeight="1">
      <c r="G475" s="66">
        <f>IF($D475="","",IF(COUNTIF('Config'!$N$8:$N$15,$D475)&gt;0,"Entrada",IF(COUNTIF('Config'!$P$8:$P$23,$D475)&gt;0,"Saída","Verificar")))</f>
        <v/>
      </c>
    </row>
    <row r="476" spans="7:7" ht="16.5" customHeight="1">
      <c r="G476" s="66">
        <f>IF($D476="","",IF(COUNTIF('Config'!$N$8:$N$15,$D476)&gt;0,"Entrada",IF(COUNTIF('Config'!$P$8:$P$23,$D476)&gt;0,"Saída","Verificar")))</f>
        <v/>
      </c>
    </row>
    <row r="477" spans="7:7" ht="16.5" customHeight="1">
      <c r="G477" s="66">
        <f>IF($D477="","",IF(COUNTIF('Config'!$N$8:$N$15,$D477)&gt;0,"Entrada",IF(COUNTIF('Config'!$P$8:$P$23,$D477)&gt;0,"Saída","Verificar")))</f>
        <v/>
      </c>
    </row>
    <row r="478" spans="7:7" ht="16.5" customHeight="1">
      <c r="G478" s="66">
        <f>IF($D478="","",IF(COUNTIF('Config'!$N$8:$N$15,$D478)&gt;0,"Entrada",IF(COUNTIF('Config'!$P$8:$P$23,$D478)&gt;0,"Saída","Verificar")))</f>
        <v/>
      </c>
    </row>
    <row r="479" spans="7:7" ht="16.5" customHeight="1">
      <c r="G479" s="66">
        <f>IF($D479="","",IF(COUNTIF('Config'!$N$8:$N$15,$D479)&gt;0,"Entrada",IF(COUNTIF('Config'!$P$8:$P$23,$D479)&gt;0,"Saída","Verificar")))</f>
        <v/>
      </c>
    </row>
    <row r="480" spans="7:7" ht="16.5" customHeight="1">
      <c r="G480" s="66">
        <f>IF($D480="","",IF(COUNTIF('Config'!$N$8:$N$15,$D480)&gt;0,"Entrada",IF(COUNTIF('Config'!$P$8:$P$23,$D480)&gt;0,"Saída","Verificar")))</f>
        <v/>
      </c>
    </row>
    <row r="481" spans="7:7" ht="16.5" customHeight="1">
      <c r="G481" s="66">
        <f>IF($D481="","",IF(COUNTIF('Config'!$N$8:$N$15,$D481)&gt;0,"Entrada",IF(COUNTIF('Config'!$P$8:$P$23,$D481)&gt;0,"Saída","Verificar")))</f>
        <v/>
      </c>
    </row>
    <row r="482" spans="7:7" ht="16.5" customHeight="1">
      <c r="G482" s="66">
        <f>IF($D482="","",IF(COUNTIF('Config'!$N$8:$N$15,$D482)&gt;0,"Entrada",IF(COUNTIF('Config'!$P$8:$P$23,$D482)&gt;0,"Saída","Verificar")))</f>
        <v/>
      </c>
    </row>
    <row r="483" spans="7:7" ht="16.5" customHeight="1">
      <c r="G483" s="66">
        <f>IF($D483="","",IF(COUNTIF('Config'!$N$8:$N$15,$D483)&gt;0,"Entrada",IF(COUNTIF('Config'!$P$8:$P$23,$D483)&gt;0,"Saída","Verificar")))</f>
        <v/>
      </c>
    </row>
    <row r="484" spans="7:7" ht="16.5" customHeight="1">
      <c r="G484" s="66">
        <f>IF($D484="","",IF(COUNTIF('Config'!$N$8:$N$15,$D484)&gt;0,"Entrada",IF(COUNTIF('Config'!$P$8:$P$23,$D484)&gt;0,"Saída","Verificar")))</f>
        <v/>
      </c>
    </row>
    <row r="485" spans="7:7" ht="16.5" customHeight="1">
      <c r="G485" s="66">
        <f>IF($D485="","",IF(COUNTIF('Config'!$N$8:$N$15,$D485)&gt;0,"Entrada",IF(COUNTIF('Config'!$P$8:$P$23,$D485)&gt;0,"Saída","Verificar")))</f>
        <v/>
      </c>
    </row>
    <row r="486" spans="7:7" ht="16.5" customHeight="1">
      <c r="G486" s="66">
        <f>IF($D486="","",IF(COUNTIF('Config'!$N$8:$N$15,$D486)&gt;0,"Entrada",IF(COUNTIF('Config'!$P$8:$P$23,$D486)&gt;0,"Saída","Verificar")))</f>
        <v/>
      </c>
    </row>
    <row r="487" spans="7:7" ht="16.5" customHeight="1">
      <c r="G487" s="66">
        <f>IF($D487="","",IF(COUNTIF('Config'!$N$8:$N$15,$D487)&gt;0,"Entrada",IF(COUNTIF('Config'!$P$8:$P$23,$D487)&gt;0,"Saída","Verificar")))</f>
        <v/>
      </c>
    </row>
    <row r="488" spans="7:7" ht="16.5" customHeight="1">
      <c r="G488" s="66">
        <f>IF($D488="","",IF(COUNTIF('Config'!$N$8:$N$15,$D488)&gt;0,"Entrada",IF(COUNTIF('Config'!$P$8:$P$23,$D488)&gt;0,"Saída","Verificar")))</f>
        <v/>
      </c>
    </row>
    <row r="489" spans="7:7" ht="16.5" customHeight="1">
      <c r="G489" s="66">
        <f>IF($D489="","",IF(COUNTIF('Config'!$N$8:$N$15,$D489)&gt;0,"Entrada",IF(COUNTIF('Config'!$P$8:$P$23,$D489)&gt;0,"Saída","Verificar")))</f>
        <v/>
      </c>
    </row>
    <row r="490" spans="7:7" ht="16.5" customHeight="1">
      <c r="G490" s="66">
        <f>IF($D490="","",IF(COUNTIF('Config'!$N$8:$N$15,$D490)&gt;0,"Entrada",IF(COUNTIF('Config'!$P$8:$P$23,$D490)&gt;0,"Saída","Verificar")))</f>
        <v/>
      </c>
    </row>
    <row r="491" spans="7:7" ht="16.5" customHeight="1">
      <c r="G491" s="66">
        <f>IF($D491="","",IF(COUNTIF('Config'!$N$8:$N$15,$D491)&gt;0,"Entrada",IF(COUNTIF('Config'!$P$8:$P$23,$D491)&gt;0,"Saída","Verificar")))</f>
        <v/>
      </c>
    </row>
    <row r="492" spans="7:7" ht="16.5" customHeight="1">
      <c r="G492" s="66">
        <f>IF($D492="","",IF(COUNTIF('Config'!$N$8:$N$15,$D492)&gt;0,"Entrada",IF(COUNTIF('Config'!$P$8:$P$23,$D492)&gt;0,"Saída","Verificar")))</f>
        <v/>
      </c>
    </row>
    <row r="493" spans="7:7" ht="16.5" customHeight="1">
      <c r="G493" s="66">
        <f>IF($D493="","",IF(COUNTIF('Config'!$N$8:$N$15,$D493)&gt;0,"Entrada",IF(COUNTIF('Config'!$P$8:$P$23,$D493)&gt;0,"Saída","Verificar")))</f>
        <v/>
      </c>
    </row>
    <row r="494" spans="7:7" ht="16.5" customHeight="1">
      <c r="G494" s="66">
        <f>IF($D494="","",IF(COUNTIF('Config'!$N$8:$N$15,$D494)&gt;0,"Entrada",IF(COUNTIF('Config'!$P$8:$P$23,$D494)&gt;0,"Saída","Verificar")))</f>
        <v/>
      </c>
    </row>
    <row r="495" spans="7:7" ht="16.5" customHeight="1">
      <c r="G495" s="66">
        <f>IF($D495="","",IF(COUNTIF('Config'!$N$8:$N$15,$D495)&gt;0,"Entrada",IF(COUNTIF('Config'!$P$8:$P$23,$D495)&gt;0,"Saída","Verificar")))</f>
        <v/>
      </c>
    </row>
    <row r="496" spans="7:7" ht="16.5" customHeight="1">
      <c r="G496" s="66">
        <f>IF($D496="","",IF(COUNTIF('Config'!$N$8:$N$15,$D496)&gt;0,"Entrada",IF(COUNTIF('Config'!$P$8:$P$23,$D496)&gt;0,"Saída","Verificar")))</f>
        <v/>
      </c>
    </row>
    <row r="497" spans="7:7" ht="16.5" customHeight="1">
      <c r="G497" s="66">
        <f>IF($D497="","",IF(COUNTIF('Config'!$N$8:$N$15,$D497)&gt;0,"Entrada",IF(COUNTIF('Config'!$P$8:$P$23,$D497)&gt;0,"Saída","Verificar")))</f>
        <v/>
      </c>
    </row>
    <row r="498" spans="7:7" ht="16.5" customHeight="1">
      <c r="G498" s="66">
        <f>IF($D498="","",IF(COUNTIF('Config'!$N$8:$N$15,$D498)&gt;0,"Entrada",IF(COUNTIF('Config'!$P$8:$P$23,$D498)&gt;0,"Saída","Verificar")))</f>
        <v/>
      </c>
    </row>
    <row r="499" spans="7:7" ht="16.5" customHeight="1">
      <c r="G499" s="66">
        <f>IF($D499="","",IF(COUNTIF('Config'!$N$8:$N$15,$D499)&gt;0,"Entrada",IF(COUNTIF('Config'!$P$8:$P$23,$D499)&gt;0,"Saída","Verificar")))</f>
        <v/>
      </c>
    </row>
    <row r="500" spans="7:7" ht="16.5" customHeight="1">
      <c r="G500" s="66">
        <f>IF($D500="","",IF(COUNTIF('Config'!$N$8:$N$15,$D500)&gt;0,"Entrada",IF(COUNTIF('Config'!$P$8:$P$23,$D500)&gt;0,"Saída","Verificar")))</f>
        <v/>
      </c>
    </row>
    <row r="501" spans="7:7" ht="16.5" customHeight="1">
      <c r="G501" s="66">
        <f>IF($D501="","",IF(COUNTIF('Config'!$N$8:$N$15,$D501)&gt;0,"Entrada",IF(COUNTIF('Config'!$P$8:$P$23,$D501)&gt;0,"Saída","Verificar")))</f>
        <v/>
      </c>
    </row>
    <row r="502" spans="7:7" ht="16.5" customHeight="1">
      <c r="G502" s="66">
        <f>IF($D502="","",IF(COUNTIF('Config'!$N$8:$N$15,$D502)&gt;0,"Entrada",IF(COUNTIF('Config'!$P$8:$P$23,$D502)&gt;0,"Saída","Verificar")))</f>
        <v/>
      </c>
    </row>
    <row r="503" spans="7:7" ht="16.5" customHeight="1">
      <c r="G503" s="66">
        <f>IF($D503="","",IF(COUNTIF('Config'!$N$8:$N$15,$D503)&gt;0,"Entrada",IF(COUNTIF('Config'!$P$8:$P$23,$D503)&gt;0,"Saída","Verificar")))</f>
        <v/>
      </c>
    </row>
    <row r="504" spans="7:7" ht="16.5" customHeight="1">
      <c r="G504" s="66">
        <f>IF($D504="","",IF(COUNTIF('Config'!$N$8:$N$15,$D504)&gt;0,"Entrada",IF(COUNTIF('Config'!$P$8:$P$23,$D504)&gt;0,"Saída","Verificar")))</f>
        <v/>
      </c>
    </row>
    <row r="505" spans="7:7" ht="16.5" customHeight="1">
      <c r="G505" s="66">
        <f>IF($D505="","",IF(COUNTIF('Config'!$N$8:$N$15,$D505)&gt;0,"Entrada",IF(COUNTIF('Config'!$P$8:$P$23,$D505)&gt;0,"Saída","Verificar")))</f>
        <v/>
      </c>
    </row>
    <row r="506" spans="7:7" ht="16.5" customHeight="1">
      <c r="G506" s="66">
        <f>IF($D506="","",IF(COUNTIF('Config'!$N$8:$N$15,$D506)&gt;0,"Entrada",IF(COUNTIF('Config'!$P$8:$P$23,$D506)&gt;0,"Saída","Verificar")))</f>
        <v/>
      </c>
    </row>
    <row r="507" spans="7:7" ht="16.5" customHeight="1">
      <c r="G507" s="66">
        <f>IF($D507="","",IF(COUNTIF('Config'!$N$8:$N$15,$D507)&gt;0,"Entrada",IF(COUNTIF('Config'!$P$8:$P$23,$D507)&gt;0,"Saída","Verificar")))</f>
        <v/>
      </c>
    </row>
    <row r="508" spans="7:7" ht="16.5" customHeight="1">
      <c r="G508" s="66">
        <f>IF($D508="","",IF(COUNTIF('Config'!$N$8:$N$15,$D508)&gt;0,"Entrada",IF(COUNTIF('Config'!$P$8:$P$23,$D508)&gt;0,"Saída","Verificar")))</f>
        <v/>
      </c>
    </row>
    <row r="509" spans="7:7" ht="16.5" customHeight="1">
      <c r="G509" s="66">
        <f>IF($D509="","",IF(COUNTIF('Config'!$N$8:$N$15,$D509)&gt;0,"Entrada",IF(COUNTIF('Config'!$P$8:$P$23,$D509)&gt;0,"Saída","Verificar")))</f>
        <v/>
      </c>
    </row>
    <row r="510" spans="7:7" ht="16.5" customHeight="1">
      <c r="G510" s="66">
        <f>IF($D510="","",IF(COUNTIF('Config'!$N$8:$N$15,$D510)&gt;0,"Entrada",IF(COUNTIF('Config'!$P$8:$P$23,$D510)&gt;0,"Saída","Verificar")))</f>
        <v/>
      </c>
    </row>
    <row r="511" spans="7:7" ht="16.5" customHeight="1">
      <c r="G511" s="66">
        <f>IF($D511="","",IF(COUNTIF('Config'!$N$8:$N$15,$D511)&gt;0,"Entrada",IF(COUNTIF('Config'!$P$8:$P$23,$D511)&gt;0,"Saída","Verificar")))</f>
        <v/>
      </c>
    </row>
    <row r="512" spans="7:7" ht="16.5" customHeight="1">
      <c r="G512" s="66">
        <f>IF($D512="","",IF(COUNTIF('Config'!$N$8:$N$15,$D512)&gt;0,"Entrada",IF(COUNTIF('Config'!$P$8:$P$23,$D512)&gt;0,"Saída","Verificar")))</f>
        <v/>
      </c>
    </row>
    <row r="513" spans="7:7" ht="16.5" customHeight="1">
      <c r="G513" s="66">
        <f>IF($D513="","",IF(COUNTIF('Config'!$N$8:$N$15,$D513)&gt;0,"Entrada",IF(COUNTIF('Config'!$P$8:$P$23,$D513)&gt;0,"Saída","Verificar")))</f>
        <v/>
      </c>
    </row>
    <row r="514" spans="7:7" ht="16.5" customHeight="1">
      <c r="G514" s="66">
        <f>IF($D514="","",IF(COUNTIF('Config'!$N$8:$N$15,$D514)&gt;0,"Entrada",IF(COUNTIF('Config'!$P$8:$P$23,$D514)&gt;0,"Saída","Verificar")))</f>
        <v/>
      </c>
    </row>
    <row r="515" spans="7:7" ht="16.5" customHeight="1">
      <c r="G515" s="66">
        <f>IF($D515="","",IF(COUNTIF('Config'!$N$8:$N$15,$D515)&gt;0,"Entrada",IF(COUNTIF('Config'!$P$8:$P$23,$D515)&gt;0,"Saída","Verificar")))</f>
        <v/>
      </c>
    </row>
    <row r="516" spans="7:7" ht="16.5" customHeight="1">
      <c r="G516" s="66">
        <f>IF($D516="","",IF(COUNTIF('Config'!$N$8:$N$15,$D516)&gt;0,"Entrada",IF(COUNTIF('Config'!$P$8:$P$23,$D516)&gt;0,"Saída","Verificar")))</f>
        <v/>
      </c>
    </row>
    <row r="517" spans="7:7" ht="16.5" customHeight="1">
      <c r="G517" s="66">
        <f>IF($D517="","",IF(COUNTIF('Config'!$N$8:$N$15,$D517)&gt;0,"Entrada",IF(COUNTIF('Config'!$P$8:$P$23,$D517)&gt;0,"Saída","Verificar")))</f>
        <v/>
      </c>
    </row>
    <row r="518" spans="7:7" ht="16.5" customHeight="1">
      <c r="G518" s="66">
        <f>IF($D518="","",IF(COUNTIF('Config'!$N$8:$N$15,$D518)&gt;0,"Entrada",IF(COUNTIF('Config'!$P$8:$P$23,$D518)&gt;0,"Saída","Verificar")))</f>
        <v/>
      </c>
    </row>
    <row r="519" spans="7:7" ht="16.5" customHeight="1">
      <c r="G519" s="66">
        <f>IF($D519="","",IF(COUNTIF('Config'!$N$8:$N$15,$D519)&gt;0,"Entrada",IF(COUNTIF('Config'!$P$8:$P$23,$D519)&gt;0,"Saída","Verificar")))</f>
        <v/>
      </c>
    </row>
    <row r="520" spans="7:7" ht="16.5" customHeight="1">
      <c r="G520" s="66">
        <f>IF($D520="","",IF(COUNTIF('Config'!$N$8:$N$15,$D520)&gt;0,"Entrada",IF(COUNTIF('Config'!$P$8:$P$23,$D520)&gt;0,"Saída","Verificar")))</f>
        <v/>
      </c>
    </row>
    <row r="521" spans="7:7" ht="16.5" customHeight="1">
      <c r="G521" s="66">
        <f>IF($D521="","",IF(COUNTIF('Config'!$N$8:$N$15,$D521)&gt;0,"Entrada",IF(COUNTIF('Config'!$P$8:$P$23,$D521)&gt;0,"Saída","Verificar")))</f>
        <v/>
      </c>
    </row>
    <row r="522" spans="7:7" ht="16.5" customHeight="1">
      <c r="G522" s="66">
        <f>IF($D522="","",IF(COUNTIF('Config'!$N$8:$N$15,$D522)&gt;0,"Entrada",IF(COUNTIF('Config'!$P$8:$P$23,$D522)&gt;0,"Saída","Verificar")))</f>
        <v/>
      </c>
    </row>
    <row r="523" spans="7:7" ht="16.5" customHeight="1">
      <c r="G523" s="66">
        <f>IF($D523="","",IF(COUNTIF('Config'!$N$8:$N$15,$D523)&gt;0,"Entrada",IF(COUNTIF('Config'!$P$8:$P$23,$D523)&gt;0,"Saída","Verificar")))</f>
        <v/>
      </c>
    </row>
    <row r="524" spans="7:7" ht="16.5" customHeight="1">
      <c r="G524" s="66">
        <f>IF($D524="","",IF(COUNTIF('Config'!$N$8:$N$15,$D524)&gt;0,"Entrada",IF(COUNTIF('Config'!$P$8:$P$23,$D524)&gt;0,"Saída","Verificar")))</f>
        <v/>
      </c>
    </row>
    <row r="525" spans="7:7" ht="16.5" customHeight="1">
      <c r="G525" s="66">
        <f>IF($D525="","",IF(COUNTIF('Config'!$N$8:$N$15,$D525)&gt;0,"Entrada",IF(COUNTIF('Config'!$P$8:$P$23,$D525)&gt;0,"Saída","Verificar")))</f>
        <v/>
      </c>
    </row>
    <row r="526" spans="7:7" ht="16.5" customHeight="1">
      <c r="G526" s="66">
        <f>IF($D526="","",IF(COUNTIF('Config'!$N$8:$N$15,$D526)&gt;0,"Entrada",IF(COUNTIF('Config'!$P$8:$P$23,$D526)&gt;0,"Saída","Verificar")))</f>
        <v/>
      </c>
    </row>
    <row r="527" spans="7:7" ht="16.5" customHeight="1">
      <c r="G527" s="66">
        <f>IF($D527="","",IF(COUNTIF('Config'!$N$8:$N$15,$D527)&gt;0,"Entrada",IF(COUNTIF('Config'!$P$8:$P$23,$D527)&gt;0,"Saída","Verificar")))</f>
        <v/>
      </c>
    </row>
    <row r="528" spans="7:7" ht="16.5" customHeight="1">
      <c r="G528" s="66">
        <f>IF($D528="","",IF(COUNTIF('Config'!$N$8:$N$15,$D528)&gt;0,"Entrada",IF(COUNTIF('Config'!$P$8:$P$23,$D528)&gt;0,"Saída","Verificar")))</f>
        <v/>
      </c>
    </row>
    <row r="529" spans="7:7" ht="16.5" customHeight="1">
      <c r="G529" s="66">
        <f>IF($D529="","",IF(COUNTIF('Config'!$N$8:$N$15,$D529)&gt;0,"Entrada",IF(COUNTIF('Config'!$P$8:$P$23,$D529)&gt;0,"Saída","Verificar")))</f>
        <v/>
      </c>
    </row>
    <row r="530" spans="7:7" ht="16.5" customHeight="1">
      <c r="G530" s="66">
        <f>IF($D530="","",IF(COUNTIF('Config'!$N$8:$N$15,$D530)&gt;0,"Entrada",IF(COUNTIF('Config'!$P$8:$P$23,$D530)&gt;0,"Saída","Verificar")))</f>
        <v/>
      </c>
    </row>
    <row r="531" spans="7:7" ht="16.5" customHeight="1">
      <c r="G531" s="66">
        <f>IF($D531="","",IF(COUNTIF('Config'!$N$8:$N$15,$D531)&gt;0,"Entrada",IF(COUNTIF('Config'!$P$8:$P$23,$D531)&gt;0,"Saída","Verificar")))</f>
        <v/>
      </c>
    </row>
    <row r="532" spans="7:7" ht="16.5" customHeight="1">
      <c r="G532" s="66">
        <f>IF($D532="","",IF(COUNTIF('Config'!$N$8:$N$15,$D532)&gt;0,"Entrada",IF(COUNTIF('Config'!$P$8:$P$23,$D532)&gt;0,"Saída","Verificar")))</f>
        <v/>
      </c>
    </row>
    <row r="533" spans="7:7" ht="16.5" customHeight="1">
      <c r="G533" s="66">
        <f>IF($D533="","",IF(COUNTIF('Config'!$N$8:$N$15,$D533)&gt;0,"Entrada",IF(COUNTIF('Config'!$P$8:$P$23,$D533)&gt;0,"Saída","Verificar")))</f>
        <v/>
      </c>
    </row>
    <row r="534" spans="7:7" ht="16.5" customHeight="1">
      <c r="G534" s="66">
        <f>IF($D534="","",IF(COUNTIF('Config'!$N$8:$N$15,$D534)&gt;0,"Entrada",IF(COUNTIF('Config'!$P$8:$P$23,$D534)&gt;0,"Saída","Verificar")))</f>
        <v/>
      </c>
    </row>
    <row r="535" spans="7:7" ht="16.5" customHeight="1">
      <c r="G535" s="66">
        <f>IF($D535="","",IF(COUNTIF('Config'!$N$8:$N$15,$D535)&gt;0,"Entrada",IF(COUNTIF('Config'!$P$8:$P$23,$D535)&gt;0,"Saída","Verificar")))</f>
        <v/>
      </c>
    </row>
    <row r="536" spans="7:7" ht="16.5" customHeight="1">
      <c r="G536" s="66">
        <f>IF($D536="","",IF(COUNTIF('Config'!$N$8:$N$15,$D536)&gt;0,"Entrada",IF(COUNTIF('Config'!$P$8:$P$23,$D536)&gt;0,"Saída","Verificar")))</f>
        <v/>
      </c>
    </row>
    <row r="537" spans="7:7" ht="16.5" customHeight="1">
      <c r="G537" s="66">
        <f>IF($D537="","",IF(COUNTIF('Config'!$N$8:$N$15,$D537)&gt;0,"Entrada",IF(COUNTIF('Config'!$P$8:$P$23,$D537)&gt;0,"Saída","Verificar")))</f>
        <v/>
      </c>
    </row>
    <row r="538" spans="7:7" ht="16.5" customHeight="1">
      <c r="G538" s="66">
        <f>IF($D538="","",IF(COUNTIF('Config'!$N$8:$N$15,$D538)&gt;0,"Entrada",IF(COUNTIF('Config'!$P$8:$P$23,$D538)&gt;0,"Saída","Verificar")))</f>
        <v/>
      </c>
    </row>
    <row r="539" spans="7:7" ht="16.5" customHeight="1">
      <c r="G539" s="66">
        <f>IF($D539="","",IF(COUNTIF('Config'!$N$8:$N$15,$D539)&gt;0,"Entrada",IF(COUNTIF('Config'!$P$8:$P$23,$D539)&gt;0,"Saída","Verificar")))</f>
        <v/>
      </c>
    </row>
    <row r="540" spans="7:7" ht="16.5" customHeight="1">
      <c r="G540" s="66">
        <f>IF($D540="","",IF(COUNTIF('Config'!$N$8:$N$15,$D540)&gt;0,"Entrada",IF(COUNTIF('Config'!$P$8:$P$23,$D540)&gt;0,"Saída","Verificar")))</f>
        <v/>
      </c>
    </row>
    <row r="541" spans="7:7" ht="16.5" customHeight="1">
      <c r="G541" s="66">
        <f>IF($D541="","",IF(COUNTIF('Config'!$N$8:$N$15,$D541)&gt;0,"Entrada",IF(COUNTIF('Config'!$P$8:$P$23,$D541)&gt;0,"Saída","Verificar")))</f>
        <v/>
      </c>
    </row>
    <row r="542" spans="7:7" ht="16.5" customHeight="1">
      <c r="G542" s="66">
        <f>IF($D542="","",IF(COUNTIF('Config'!$N$8:$N$15,$D542)&gt;0,"Entrada",IF(COUNTIF('Config'!$P$8:$P$23,$D542)&gt;0,"Saída","Verificar")))</f>
        <v/>
      </c>
    </row>
    <row r="543" spans="7:7" ht="16.5" customHeight="1">
      <c r="G543" s="66">
        <f>IF($D543="","",IF(COUNTIF('Config'!$N$8:$N$15,$D543)&gt;0,"Entrada",IF(COUNTIF('Config'!$P$8:$P$23,$D543)&gt;0,"Saída","Verificar")))</f>
        <v/>
      </c>
    </row>
    <row r="544" spans="7:7" ht="16.5" customHeight="1">
      <c r="G544" s="66">
        <f>IF($D544="","",IF(COUNTIF('Config'!$N$8:$N$15,$D544)&gt;0,"Entrada",IF(COUNTIF('Config'!$P$8:$P$23,$D544)&gt;0,"Saída","Verificar")))</f>
        <v/>
      </c>
    </row>
    <row r="545" spans="7:7" ht="16.5" customHeight="1">
      <c r="G545" s="66">
        <f>IF($D545="","",IF(COUNTIF('Config'!$N$8:$N$15,$D545)&gt;0,"Entrada",IF(COUNTIF('Config'!$P$8:$P$23,$D545)&gt;0,"Saída","Verificar")))</f>
        <v/>
      </c>
    </row>
    <row r="546" spans="7:7" ht="16.5" customHeight="1">
      <c r="G546" s="66">
        <f>IF($D546="","",IF(COUNTIF('Config'!$N$8:$N$15,$D546)&gt;0,"Entrada",IF(COUNTIF('Config'!$P$8:$P$23,$D546)&gt;0,"Saída","Verificar")))</f>
        <v/>
      </c>
    </row>
    <row r="547" spans="7:7" ht="16.5" customHeight="1">
      <c r="G547" s="66">
        <f>IF($D547="","",IF(COUNTIF('Config'!$N$8:$N$15,$D547)&gt;0,"Entrada",IF(COUNTIF('Config'!$P$8:$P$23,$D547)&gt;0,"Saída","Verificar")))</f>
        <v/>
      </c>
    </row>
    <row r="548" spans="7:7" ht="16.5" customHeight="1">
      <c r="G548" s="66">
        <f>IF($D548="","",IF(COUNTIF('Config'!$N$8:$N$15,$D548)&gt;0,"Entrada",IF(COUNTIF('Config'!$P$8:$P$23,$D548)&gt;0,"Saída","Verificar")))</f>
        <v/>
      </c>
    </row>
    <row r="549" spans="7:7" ht="16.5" customHeight="1">
      <c r="G549" s="66">
        <f>IF($D549="","",IF(COUNTIF('Config'!$N$8:$N$15,$D549)&gt;0,"Entrada",IF(COUNTIF('Config'!$P$8:$P$23,$D549)&gt;0,"Saída","Verificar")))</f>
        <v/>
      </c>
    </row>
    <row r="550" spans="7:7" ht="16.5" customHeight="1">
      <c r="G550" s="66">
        <f>IF($D550="","",IF(COUNTIF('Config'!$N$8:$N$15,$D550)&gt;0,"Entrada",IF(COUNTIF('Config'!$P$8:$P$23,$D550)&gt;0,"Saída","Verificar")))</f>
        <v/>
      </c>
    </row>
    <row r="551" spans="7:7" ht="16.5" customHeight="1">
      <c r="G551" s="66">
        <f>IF($D551="","",IF(COUNTIF('Config'!$N$8:$N$15,$D551)&gt;0,"Entrada",IF(COUNTIF('Config'!$P$8:$P$23,$D551)&gt;0,"Saída","Verificar")))</f>
        <v/>
      </c>
    </row>
    <row r="552" spans="7:7" ht="16.5" customHeight="1">
      <c r="G552" s="66">
        <f>IF($D552="","",IF(COUNTIF('Config'!$N$8:$N$15,$D552)&gt;0,"Entrada",IF(COUNTIF('Config'!$P$8:$P$23,$D552)&gt;0,"Saída","Verificar")))</f>
        <v/>
      </c>
    </row>
    <row r="553" spans="7:7" ht="16.5" customHeight="1">
      <c r="G553" s="66">
        <f>IF($D553="","",IF(COUNTIF('Config'!$N$8:$N$15,$D553)&gt;0,"Entrada",IF(COUNTIF('Config'!$P$8:$P$23,$D553)&gt;0,"Saída","Verificar")))</f>
        <v/>
      </c>
    </row>
    <row r="554" spans="7:7" ht="16.5" customHeight="1">
      <c r="G554" s="66">
        <f>IF($D554="","",IF(COUNTIF('Config'!$N$8:$N$15,$D554)&gt;0,"Entrada",IF(COUNTIF('Config'!$P$8:$P$23,$D554)&gt;0,"Saída","Verificar")))</f>
        <v/>
      </c>
    </row>
    <row r="555" spans="7:7" ht="16.5" customHeight="1">
      <c r="G555" s="66">
        <f>IF($D555="","",IF(COUNTIF('Config'!$N$8:$N$15,$D555)&gt;0,"Entrada",IF(COUNTIF('Config'!$P$8:$P$23,$D555)&gt;0,"Saída","Verificar")))</f>
        <v/>
      </c>
    </row>
    <row r="556" spans="7:7" ht="16.5" customHeight="1">
      <c r="G556" s="66">
        <f>IF($D556="","",IF(COUNTIF('Config'!$N$8:$N$15,$D556)&gt;0,"Entrada",IF(COUNTIF('Config'!$P$8:$P$23,$D556)&gt;0,"Saída","Verificar")))</f>
        <v/>
      </c>
    </row>
    <row r="557" spans="7:7" ht="16.5" customHeight="1">
      <c r="G557" s="66">
        <f>IF($D557="","",IF(COUNTIF('Config'!$N$8:$N$15,$D557)&gt;0,"Entrada",IF(COUNTIF('Config'!$P$8:$P$23,$D557)&gt;0,"Saída","Verificar")))</f>
        <v/>
      </c>
    </row>
    <row r="558" spans="7:7" ht="16.5" customHeight="1">
      <c r="G558" s="66">
        <f>IF($D558="","",IF(COUNTIF('Config'!$N$8:$N$15,$D558)&gt;0,"Entrada",IF(COUNTIF('Config'!$P$8:$P$23,$D558)&gt;0,"Saída","Verificar")))</f>
        <v/>
      </c>
    </row>
    <row r="559" spans="7:7" ht="16.5" customHeight="1">
      <c r="G559" s="66">
        <f>IF($D559="","",IF(COUNTIF('Config'!$N$8:$N$15,$D559)&gt;0,"Entrada",IF(COUNTIF('Config'!$P$8:$P$23,$D559)&gt;0,"Saída","Verificar")))</f>
        <v/>
      </c>
    </row>
    <row r="560" spans="7:7" ht="16.5" customHeight="1">
      <c r="G560" s="66">
        <f>IF($D560="","",IF(COUNTIF('Config'!$N$8:$N$15,$D560)&gt;0,"Entrada",IF(COUNTIF('Config'!$P$8:$P$23,$D560)&gt;0,"Saída","Verificar")))</f>
        <v/>
      </c>
    </row>
    <row r="561" spans="7:7" ht="16.5" customHeight="1">
      <c r="G561" s="66">
        <f>IF($D561="","",IF(COUNTIF('Config'!$N$8:$N$15,$D561)&gt;0,"Entrada",IF(COUNTIF('Config'!$P$8:$P$23,$D561)&gt;0,"Saída","Verificar")))</f>
        <v/>
      </c>
    </row>
    <row r="562" spans="7:7" ht="16.5" customHeight="1">
      <c r="G562" s="66">
        <f>IF($D562="","",IF(COUNTIF('Config'!$N$8:$N$15,$D562)&gt;0,"Entrada",IF(COUNTIF('Config'!$P$8:$P$23,$D562)&gt;0,"Saída","Verificar")))</f>
        <v/>
      </c>
    </row>
    <row r="563" spans="7:7" ht="16.5" customHeight="1">
      <c r="G563" s="66">
        <f>IF($D563="","",IF(COUNTIF('Config'!$N$8:$N$15,$D563)&gt;0,"Entrada",IF(COUNTIF('Config'!$P$8:$P$23,$D563)&gt;0,"Saída","Verificar")))</f>
        <v/>
      </c>
    </row>
    <row r="564" spans="7:7" ht="16.5" customHeight="1">
      <c r="G564" s="66">
        <f>IF($D564="","",IF(COUNTIF('Config'!$N$8:$N$15,$D564)&gt;0,"Entrada",IF(COUNTIF('Config'!$P$8:$P$23,$D564)&gt;0,"Saída","Verificar")))</f>
        <v/>
      </c>
    </row>
    <row r="565" spans="7:7" ht="16.5" customHeight="1">
      <c r="G565" s="66">
        <f>IF($D565="","",IF(COUNTIF('Config'!$N$8:$N$15,$D565)&gt;0,"Entrada",IF(COUNTIF('Config'!$P$8:$P$23,$D565)&gt;0,"Saída","Verificar")))</f>
        <v/>
      </c>
    </row>
    <row r="566" spans="7:7" ht="16.5" customHeight="1">
      <c r="G566" s="66">
        <f>IF($D566="","",IF(COUNTIF('Config'!$N$8:$N$15,$D566)&gt;0,"Entrada",IF(COUNTIF('Config'!$P$8:$P$23,$D566)&gt;0,"Saída","Verificar")))</f>
        <v/>
      </c>
    </row>
    <row r="567" spans="7:7" ht="16.5" customHeight="1">
      <c r="G567" s="66">
        <f>IF($D567="","",IF(COUNTIF('Config'!$N$8:$N$15,$D567)&gt;0,"Entrada",IF(COUNTIF('Config'!$P$8:$P$23,$D567)&gt;0,"Saída","Verificar")))</f>
        <v/>
      </c>
    </row>
    <row r="568" spans="7:7" ht="16.5" customHeight="1">
      <c r="G568" s="66">
        <f>IF($D568="","",IF(COUNTIF('Config'!$N$8:$N$15,$D568)&gt;0,"Entrada",IF(COUNTIF('Config'!$P$8:$P$23,$D568)&gt;0,"Saída","Verificar")))</f>
        <v/>
      </c>
    </row>
    <row r="569" spans="7:7" ht="16.5" customHeight="1">
      <c r="G569" s="66">
        <f>IF($D569="","",IF(COUNTIF('Config'!$N$8:$N$15,$D569)&gt;0,"Entrada",IF(COUNTIF('Config'!$P$8:$P$23,$D569)&gt;0,"Saída","Verificar")))</f>
        <v/>
      </c>
    </row>
    <row r="570" spans="7:7" ht="16.5" customHeight="1">
      <c r="G570" s="66">
        <f>IF($D570="","",IF(COUNTIF('Config'!$N$8:$N$15,$D570)&gt;0,"Entrada",IF(COUNTIF('Config'!$P$8:$P$23,$D570)&gt;0,"Saída","Verificar")))</f>
        <v/>
      </c>
    </row>
    <row r="571" spans="7:7" ht="16.5" customHeight="1">
      <c r="G571" s="66">
        <f>IF($D571="","",IF(COUNTIF('Config'!$N$8:$N$15,$D571)&gt;0,"Entrada",IF(COUNTIF('Config'!$P$8:$P$23,$D571)&gt;0,"Saída","Verificar")))</f>
        <v/>
      </c>
    </row>
    <row r="572" spans="7:7" ht="16.5" customHeight="1">
      <c r="G572" s="66">
        <f>IF($D572="","",IF(COUNTIF('Config'!$N$8:$N$15,$D572)&gt;0,"Entrada",IF(COUNTIF('Config'!$P$8:$P$23,$D572)&gt;0,"Saída","Verificar")))</f>
        <v/>
      </c>
    </row>
    <row r="573" spans="7:7" ht="16.5" customHeight="1">
      <c r="G573" s="66">
        <f>IF($D573="","",IF(COUNTIF('Config'!$N$8:$N$15,$D573)&gt;0,"Entrada",IF(COUNTIF('Config'!$P$8:$P$23,$D573)&gt;0,"Saída","Verificar")))</f>
        <v/>
      </c>
    </row>
    <row r="574" spans="7:7" ht="16.5" customHeight="1">
      <c r="G574" s="66">
        <f>IF($D574="","",IF(COUNTIF('Config'!$N$8:$N$15,$D574)&gt;0,"Entrada",IF(COUNTIF('Config'!$P$8:$P$23,$D574)&gt;0,"Saída","Verificar")))</f>
        <v/>
      </c>
    </row>
    <row r="575" spans="7:7" ht="16.5" customHeight="1">
      <c r="G575" s="66">
        <f>IF($D575="","",IF(COUNTIF('Config'!$N$8:$N$15,$D575)&gt;0,"Entrada",IF(COUNTIF('Config'!$P$8:$P$23,$D575)&gt;0,"Saída","Verificar")))</f>
        <v/>
      </c>
    </row>
    <row r="576" spans="7:7" ht="16.5" customHeight="1">
      <c r="G576" s="66">
        <f>IF($D576="","",IF(COUNTIF('Config'!$N$8:$N$15,$D576)&gt;0,"Entrada",IF(COUNTIF('Config'!$P$8:$P$23,$D576)&gt;0,"Saída","Verificar")))</f>
        <v/>
      </c>
    </row>
    <row r="577" spans="7:7" ht="16.5" customHeight="1">
      <c r="G577" s="66">
        <f>IF($D577="","",IF(COUNTIF('Config'!$N$8:$N$15,$D577)&gt;0,"Entrada",IF(COUNTIF('Config'!$P$8:$P$23,$D577)&gt;0,"Saída","Verificar")))</f>
        <v/>
      </c>
    </row>
    <row r="578" spans="7:7" ht="16.5" customHeight="1">
      <c r="G578" s="66">
        <f>IF($D578="","",IF(COUNTIF('Config'!$N$8:$N$15,$D578)&gt;0,"Entrada",IF(COUNTIF('Config'!$P$8:$P$23,$D578)&gt;0,"Saída","Verificar")))</f>
        <v/>
      </c>
    </row>
    <row r="579" spans="7:7" ht="16.5" customHeight="1">
      <c r="G579" s="66">
        <f>IF($D579="","",IF(COUNTIF('Config'!$N$8:$N$15,$D579)&gt;0,"Entrada",IF(COUNTIF('Config'!$P$8:$P$23,$D579)&gt;0,"Saída","Verificar")))</f>
        <v/>
      </c>
    </row>
    <row r="580" spans="7:7" ht="16.5" customHeight="1">
      <c r="G580" s="66">
        <f>IF($D580="","",IF(COUNTIF('Config'!$N$8:$N$15,$D580)&gt;0,"Entrada",IF(COUNTIF('Config'!$P$8:$P$23,$D580)&gt;0,"Saída","Verificar")))</f>
        <v/>
      </c>
    </row>
    <row r="581" spans="7:7" ht="16.5" customHeight="1">
      <c r="G581" s="66">
        <f>IF($D581="","",IF(COUNTIF('Config'!$N$8:$N$15,$D581)&gt;0,"Entrada",IF(COUNTIF('Config'!$P$8:$P$23,$D581)&gt;0,"Saída","Verificar")))</f>
        <v/>
      </c>
    </row>
    <row r="582" spans="7:7" ht="16.5" customHeight="1">
      <c r="G582" s="66">
        <f>IF($D582="","",IF(COUNTIF('Config'!$N$8:$N$15,$D582)&gt;0,"Entrada",IF(COUNTIF('Config'!$P$8:$P$23,$D582)&gt;0,"Saída","Verificar")))</f>
        <v/>
      </c>
    </row>
    <row r="583" spans="7:7" ht="16.5" customHeight="1">
      <c r="G583" s="66">
        <f>IF($D583="","",IF(COUNTIF('Config'!$N$8:$N$15,$D583)&gt;0,"Entrada",IF(COUNTIF('Config'!$P$8:$P$23,$D583)&gt;0,"Saída","Verificar")))</f>
        <v/>
      </c>
    </row>
    <row r="584" spans="7:7" ht="16.5" customHeight="1">
      <c r="G584" s="66">
        <f>IF($D584="","",IF(COUNTIF('Config'!$N$8:$N$15,$D584)&gt;0,"Entrada",IF(COUNTIF('Config'!$P$8:$P$23,$D584)&gt;0,"Saída","Verificar")))</f>
        <v/>
      </c>
    </row>
    <row r="585" spans="7:7" ht="16.5" customHeight="1">
      <c r="G585" s="66">
        <f>IF($D585="","",IF(COUNTIF('Config'!$N$8:$N$15,$D585)&gt;0,"Entrada",IF(COUNTIF('Config'!$P$8:$P$23,$D585)&gt;0,"Saída","Verificar")))</f>
        <v/>
      </c>
    </row>
    <row r="586" spans="7:7" ht="16.5" customHeight="1">
      <c r="G586" s="66">
        <f>IF($D586="","",IF(COUNTIF('Config'!$N$8:$N$15,$D586)&gt;0,"Entrada",IF(COUNTIF('Config'!$P$8:$P$23,$D586)&gt;0,"Saída","Verificar")))</f>
        <v/>
      </c>
    </row>
    <row r="587" spans="7:7" ht="16.5" customHeight="1">
      <c r="G587" s="66">
        <f>IF($D587="","",IF(COUNTIF('Config'!$N$8:$N$15,$D587)&gt;0,"Entrada",IF(COUNTIF('Config'!$P$8:$P$23,$D587)&gt;0,"Saída","Verificar")))</f>
        <v/>
      </c>
    </row>
    <row r="588" spans="7:7" ht="16.5" customHeight="1">
      <c r="G588" s="66">
        <f>IF($D588="","",IF(COUNTIF('Config'!$N$8:$N$15,$D588)&gt;0,"Entrada",IF(COUNTIF('Config'!$P$8:$P$23,$D588)&gt;0,"Saída","Verificar")))</f>
        <v/>
      </c>
    </row>
    <row r="589" spans="7:7" ht="16.5" customHeight="1">
      <c r="G589" s="66">
        <f>IF($D589="","",IF(COUNTIF('Config'!$N$8:$N$15,$D589)&gt;0,"Entrada",IF(COUNTIF('Config'!$P$8:$P$23,$D589)&gt;0,"Saída","Verificar")))</f>
        <v/>
      </c>
    </row>
    <row r="590" spans="7:7" ht="16.5" customHeight="1">
      <c r="G590" s="66">
        <f>IF($D590="","",IF(COUNTIF('Config'!$N$8:$N$15,$D590)&gt;0,"Entrada",IF(COUNTIF('Config'!$P$8:$P$23,$D590)&gt;0,"Saída","Verificar")))</f>
        <v/>
      </c>
    </row>
    <row r="591" spans="7:7" ht="16.5" customHeight="1">
      <c r="G591" s="66">
        <f>IF($D591="","",IF(COUNTIF('Config'!$N$8:$N$15,$D591)&gt;0,"Entrada",IF(COUNTIF('Config'!$P$8:$P$23,$D591)&gt;0,"Saída","Verificar")))</f>
        <v/>
      </c>
    </row>
    <row r="592" spans="7:7" ht="16.5" customHeight="1">
      <c r="G592" s="66">
        <f>IF($D592="","",IF(COUNTIF('Config'!$N$8:$N$15,$D592)&gt;0,"Entrada",IF(COUNTIF('Config'!$P$8:$P$23,$D592)&gt;0,"Saída","Verificar")))</f>
        <v/>
      </c>
    </row>
    <row r="593" spans="7:7" ht="16.5" customHeight="1">
      <c r="G593" s="66">
        <f>IF($D593="","",IF(COUNTIF('Config'!$N$8:$N$15,$D593)&gt;0,"Entrada",IF(COUNTIF('Config'!$P$8:$P$23,$D593)&gt;0,"Saída","Verificar")))</f>
        <v/>
      </c>
    </row>
    <row r="594" spans="7:7" ht="16.5" customHeight="1">
      <c r="G594" s="66">
        <f>IF($D594="","",IF(COUNTIF('Config'!$N$8:$N$15,$D594)&gt;0,"Entrada",IF(COUNTIF('Config'!$P$8:$P$23,$D594)&gt;0,"Saída","Verificar")))</f>
        <v/>
      </c>
    </row>
    <row r="595" spans="7:7" ht="16.5" customHeight="1">
      <c r="G595" s="66">
        <f>IF($D595="","",IF(COUNTIF('Config'!$N$8:$N$15,$D595)&gt;0,"Entrada",IF(COUNTIF('Config'!$P$8:$P$23,$D595)&gt;0,"Saída","Verificar")))</f>
        <v/>
      </c>
    </row>
    <row r="596" spans="7:7" ht="16.5" customHeight="1">
      <c r="G596" s="66">
        <f>IF($D596="","",IF(COUNTIF('Config'!$N$8:$N$15,$D596)&gt;0,"Entrada",IF(COUNTIF('Config'!$P$8:$P$23,$D596)&gt;0,"Saída","Verificar")))</f>
        <v/>
      </c>
    </row>
    <row r="597" spans="7:7" ht="16.5" customHeight="1">
      <c r="G597" s="66">
        <f>IF($D597="","",IF(COUNTIF('Config'!$N$8:$N$15,$D597)&gt;0,"Entrada",IF(COUNTIF('Config'!$P$8:$P$23,$D597)&gt;0,"Saída","Verificar")))</f>
        <v/>
      </c>
    </row>
    <row r="598" spans="7:7" ht="16.5" customHeight="1">
      <c r="G598" s="66">
        <f>IF($D598="","",IF(COUNTIF('Config'!$N$8:$N$15,$D598)&gt;0,"Entrada",IF(COUNTIF('Config'!$P$8:$P$23,$D598)&gt;0,"Saída","Verificar")))</f>
        <v/>
      </c>
    </row>
    <row r="599" spans="7:7" ht="16.5" customHeight="1">
      <c r="G599" s="66">
        <f>IF($D599="","",IF(COUNTIF('Config'!$N$8:$N$15,$D599)&gt;0,"Entrada",IF(COUNTIF('Config'!$P$8:$P$23,$D599)&gt;0,"Saída","Verificar")))</f>
        <v/>
      </c>
    </row>
    <row r="600" spans="7:7" ht="16.5" customHeight="1">
      <c r="G600" s="66">
        <f>IF($D600="","",IF(COUNTIF('Config'!$N$8:$N$15,$D600)&gt;0,"Entrada",IF(COUNTIF('Config'!$P$8:$P$23,$D600)&gt;0,"Saída","Verificar")))</f>
        <v/>
      </c>
    </row>
    <row r="601" spans="7:7" ht="16.5" customHeight="1">
      <c r="G601" s="66">
        <f>IF($D601="","",IF(COUNTIF('Config'!$N$8:$N$15,$D601)&gt;0,"Entrada",IF(COUNTIF('Config'!$P$8:$P$23,$D601)&gt;0,"Saída","Verificar")))</f>
        <v/>
      </c>
    </row>
    <row r="602" spans="7:7" ht="16.5" customHeight="1">
      <c r="G602" s="66">
        <f>IF($D602="","",IF(COUNTIF('Config'!$N$8:$N$15,$D602)&gt;0,"Entrada",IF(COUNTIF('Config'!$P$8:$P$23,$D602)&gt;0,"Saída","Verificar")))</f>
        <v/>
      </c>
    </row>
    <row r="603" spans="7:7" ht="16.5" customHeight="1">
      <c r="G603" s="66">
        <f>IF($D603="","",IF(COUNTIF('Config'!$N$8:$N$15,$D603)&gt;0,"Entrada",IF(COUNTIF('Config'!$P$8:$P$23,$D603)&gt;0,"Saída","Verificar")))</f>
        <v/>
      </c>
    </row>
    <row r="604" spans="7:7" ht="16.5" customHeight="1">
      <c r="G604" s="66">
        <f>IF($D604="","",IF(COUNTIF('Config'!$N$8:$N$15,$D604)&gt;0,"Entrada",IF(COUNTIF('Config'!$P$8:$P$23,$D604)&gt;0,"Saída","Verificar")))</f>
        <v/>
      </c>
    </row>
    <row r="605" spans="7:7" ht="16.5" customHeight="1">
      <c r="G605" s="66">
        <f>IF($D605="","",IF(COUNTIF('Config'!$N$8:$N$15,$D605)&gt;0,"Entrada",IF(COUNTIF('Config'!$P$8:$P$23,$D605)&gt;0,"Saída","Verificar")))</f>
        <v/>
      </c>
    </row>
    <row r="606" spans="7:7" ht="16.5" customHeight="1">
      <c r="G606" s="66">
        <f>IF($D606="","",IF(COUNTIF('Config'!$N$8:$N$15,$D606)&gt;0,"Entrada",IF(COUNTIF('Config'!$P$8:$P$23,$D606)&gt;0,"Saída","Verificar")))</f>
        <v/>
      </c>
    </row>
    <row r="607" spans="7:7" ht="16.5" customHeight="1">
      <c r="G607" s="66">
        <f>IF($D607="","",IF(COUNTIF('Config'!$N$8:$N$15,$D607)&gt;0,"Entrada",IF(COUNTIF('Config'!$P$8:$P$23,$D607)&gt;0,"Saída","Verificar")))</f>
        <v/>
      </c>
    </row>
    <row r="608" spans="7:7" ht="16.5" customHeight="1">
      <c r="G608" s="66">
        <f>IF($D608="","",IF(COUNTIF('Config'!$N$8:$N$15,$D608)&gt;0,"Entrada",IF(COUNTIF('Config'!$P$8:$P$23,$D608)&gt;0,"Saída","Verificar")))</f>
        <v/>
      </c>
    </row>
    <row r="609" spans="7:7" ht="16.5" customHeight="1">
      <c r="G609" s="66">
        <f>IF($D609="","",IF(COUNTIF('Config'!$N$8:$N$15,$D609)&gt;0,"Entrada",IF(COUNTIF('Config'!$P$8:$P$23,$D609)&gt;0,"Saída","Verificar")))</f>
        <v/>
      </c>
    </row>
    <row r="610" spans="7:7" ht="16.5" customHeight="1">
      <c r="G610" s="66">
        <f>IF($D610="","",IF(COUNTIF('Config'!$N$8:$N$15,$D610)&gt;0,"Entrada",IF(COUNTIF('Config'!$P$8:$P$23,$D610)&gt;0,"Saída","Verificar")))</f>
        <v/>
      </c>
    </row>
    <row r="611" spans="7:7" ht="16.5" customHeight="1">
      <c r="G611" s="66">
        <f>IF($D611="","",IF(COUNTIF('Config'!$N$8:$N$15,$D611)&gt;0,"Entrada",IF(COUNTIF('Config'!$P$8:$P$23,$D611)&gt;0,"Saída","Verificar")))</f>
        <v/>
      </c>
    </row>
    <row r="612" spans="7:7" ht="16.5" customHeight="1">
      <c r="G612" s="66">
        <f>IF($D612="","",IF(COUNTIF('Config'!$N$8:$N$15,$D612)&gt;0,"Entrada",IF(COUNTIF('Config'!$P$8:$P$23,$D612)&gt;0,"Saída","Verificar")))</f>
        <v/>
      </c>
    </row>
    <row r="613" spans="7:7" ht="16.5" customHeight="1">
      <c r="G613" s="66">
        <f>IF($D613="","",IF(COUNTIF('Config'!$N$8:$N$15,$D613)&gt;0,"Entrada",IF(COUNTIF('Config'!$P$8:$P$23,$D613)&gt;0,"Saída","Verificar")))</f>
        <v/>
      </c>
    </row>
    <row r="614" spans="7:7" ht="16.5" customHeight="1">
      <c r="G614" s="66">
        <f>IF($D614="","",IF(COUNTIF('Config'!$N$8:$N$15,$D614)&gt;0,"Entrada",IF(COUNTIF('Config'!$P$8:$P$23,$D614)&gt;0,"Saída","Verificar")))</f>
        <v/>
      </c>
    </row>
    <row r="615" spans="7:7" ht="16.5" customHeight="1">
      <c r="G615" s="66">
        <f>IF($D615="","",IF(COUNTIF('Config'!$N$8:$N$15,$D615)&gt;0,"Entrada",IF(COUNTIF('Config'!$P$8:$P$23,$D615)&gt;0,"Saída","Verificar")))</f>
        <v/>
      </c>
    </row>
    <row r="616" spans="7:7" ht="16.5" customHeight="1">
      <c r="G616" s="66">
        <f>IF($D616="","",IF(COUNTIF('Config'!$N$8:$N$15,$D616)&gt;0,"Entrada",IF(COUNTIF('Config'!$P$8:$P$23,$D616)&gt;0,"Saída","Verificar")))</f>
        <v/>
      </c>
    </row>
    <row r="617" spans="7:7" ht="16.5" customHeight="1">
      <c r="G617" s="66">
        <f>IF($D617="","",IF(COUNTIF('Config'!$N$8:$N$15,$D617)&gt;0,"Entrada",IF(COUNTIF('Config'!$P$8:$P$23,$D617)&gt;0,"Saída","Verificar")))</f>
        <v/>
      </c>
    </row>
    <row r="618" spans="7:7" ht="16.5" customHeight="1">
      <c r="G618" s="66">
        <f>IF($D618="","",IF(COUNTIF('Config'!$N$8:$N$15,$D618)&gt;0,"Entrada",IF(COUNTIF('Config'!$P$8:$P$23,$D618)&gt;0,"Saída","Verificar")))</f>
        <v/>
      </c>
    </row>
    <row r="619" spans="7:7" ht="16.5" customHeight="1">
      <c r="G619" s="66">
        <f>IF($D619="","",IF(COUNTIF('Config'!$N$8:$N$15,$D619)&gt;0,"Entrada",IF(COUNTIF('Config'!$P$8:$P$23,$D619)&gt;0,"Saída","Verificar")))</f>
        <v/>
      </c>
    </row>
    <row r="620" spans="7:7" ht="16.5" customHeight="1">
      <c r="G620" s="66">
        <f>IF($D620="","",IF(COUNTIF('Config'!$N$8:$N$15,$D620)&gt;0,"Entrada",IF(COUNTIF('Config'!$P$8:$P$23,$D620)&gt;0,"Saída","Verificar")))</f>
        <v/>
      </c>
    </row>
    <row r="621" spans="7:7" ht="16.5" customHeight="1">
      <c r="G621" s="66">
        <f>IF($D621="","",IF(COUNTIF('Config'!$N$8:$N$15,$D621)&gt;0,"Entrada",IF(COUNTIF('Config'!$P$8:$P$23,$D621)&gt;0,"Saída","Verificar")))</f>
        <v/>
      </c>
    </row>
    <row r="622" spans="7:7" ht="16.5" customHeight="1">
      <c r="G622" s="66">
        <f>IF($D622="","",IF(COUNTIF('Config'!$N$8:$N$15,$D622)&gt;0,"Entrada",IF(COUNTIF('Config'!$P$8:$P$23,$D622)&gt;0,"Saída","Verificar")))</f>
        <v/>
      </c>
    </row>
    <row r="623" spans="7:7" ht="16.5" customHeight="1">
      <c r="G623" s="66">
        <f>IF($D623="","",IF(COUNTIF('Config'!$N$8:$N$15,$D623)&gt;0,"Entrada",IF(COUNTIF('Config'!$P$8:$P$23,$D623)&gt;0,"Saída","Verificar")))</f>
        <v/>
      </c>
    </row>
    <row r="624" spans="7:7" ht="16.5" customHeight="1">
      <c r="G624" s="66">
        <f>IF($D624="","",IF(COUNTIF('Config'!$N$8:$N$15,$D624)&gt;0,"Entrada",IF(COUNTIF('Config'!$P$8:$P$23,$D624)&gt;0,"Saída","Verificar")))</f>
        <v/>
      </c>
    </row>
    <row r="625" spans="7:7" ht="16.5" customHeight="1">
      <c r="G625" s="66">
        <f>IF($D625="","",IF(COUNTIF('Config'!$N$8:$N$15,$D625)&gt;0,"Entrada",IF(COUNTIF('Config'!$P$8:$P$23,$D625)&gt;0,"Saída","Verificar")))</f>
        <v/>
      </c>
    </row>
    <row r="626" spans="7:7" ht="16.5" customHeight="1">
      <c r="G626" s="66">
        <f>IF($D626="","",IF(COUNTIF('Config'!$N$8:$N$15,$D626)&gt;0,"Entrada",IF(COUNTIF('Config'!$P$8:$P$23,$D626)&gt;0,"Saída","Verificar")))</f>
        <v/>
      </c>
    </row>
    <row r="627" spans="7:7" ht="16.5" customHeight="1">
      <c r="G627" s="66">
        <f>IF($D627="","",IF(COUNTIF('Config'!$N$8:$N$15,$D627)&gt;0,"Entrada",IF(COUNTIF('Config'!$P$8:$P$23,$D627)&gt;0,"Saída","Verificar")))</f>
        <v/>
      </c>
    </row>
    <row r="628" spans="7:7" ht="16.5" customHeight="1">
      <c r="G628" s="66">
        <f>IF($D628="","",IF(COUNTIF('Config'!$N$8:$N$15,$D628)&gt;0,"Entrada",IF(COUNTIF('Config'!$P$8:$P$23,$D628)&gt;0,"Saída","Verificar")))</f>
        <v/>
      </c>
    </row>
    <row r="629" spans="7:7" ht="16.5" customHeight="1">
      <c r="G629" s="66">
        <f>IF($D629="","",IF(COUNTIF('Config'!$N$8:$N$15,$D629)&gt;0,"Entrada",IF(COUNTIF('Config'!$P$8:$P$23,$D629)&gt;0,"Saída","Verificar")))</f>
        <v/>
      </c>
    </row>
    <row r="630" spans="7:7" ht="16.5" customHeight="1">
      <c r="G630" s="66">
        <f>IF($D630="","",IF(COUNTIF('Config'!$N$8:$N$15,$D630)&gt;0,"Entrada",IF(COUNTIF('Config'!$P$8:$P$23,$D630)&gt;0,"Saída","Verificar")))</f>
        <v/>
      </c>
    </row>
    <row r="631" spans="7:7" ht="16.5" customHeight="1">
      <c r="G631" s="66">
        <f>IF($D631="","",IF(COUNTIF('Config'!$N$8:$N$15,$D631)&gt;0,"Entrada",IF(COUNTIF('Config'!$P$8:$P$23,$D631)&gt;0,"Saída","Verificar")))</f>
        <v/>
      </c>
    </row>
    <row r="632" spans="7:7" ht="16.5" customHeight="1">
      <c r="G632" s="66">
        <f>IF($D632="","",IF(COUNTIF('Config'!$N$8:$N$15,$D632)&gt;0,"Entrada",IF(COUNTIF('Config'!$P$8:$P$23,$D632)&gt;0,"Saída","Verificar")))</f>
        <v/>
      </c>
    </row>
    <row r="633" spans="7:7" ht="16.5" customHeight="1">
      <c r="G633" s="66">
        <f>IF($D633="","",IF(COUNTIF('Config'!$N$8:$N$15,$D633)&gt;0,"Entrada",IF(COUNTIF('Config'!$P$8:$P$23,$D633)&gt;0,"Saída","Verificar")))</f>
        <v/>
      </c>
    </row>
    <row r="634" spans="7:7" ht="16.5" customHeight="1">
      <c r="G634" s="66">
        <f>IF($D634="","",IF(COUNTIF('Config'!$N$8:$N$15,$D634)&gt;0,"Entrada",IF(COUNTIF('Config'!$P$8:$P$23,$D634)&gt;0,"Saída","Verificar")))</f>
        <v/>
      </c>
    </row>
    <row r="635" spans="7:7" ht="16.5" customHeight="1">
      <c r="G635" s="66">
        <f>IF($D635="","",IF(COUNTIF('Config'!$N$8:$N$15,$D635)&gt;0,"Entrada",IF(COUNTIF('Config'!$P$8:$P$23,$D635)&gt;0,"Saída","Verificar")))</f>
        <v/>
      </c>
    </row>
    <row r="636" spans="7:7" ht="16.5" customHeight="1">
      <c r="G636" s="66">
        <f>IF($D636="","",IF(COUNTIF('Config'!$N$8:$N$15,$D636)&gt;0,"Entrada",IF(COUNTIF('Config'!$P$8:$P$23,$D636)&gt;0,"Saída","Verificar")))</f>
        <v/>
      </c>
    </row>
    <row r="637" spans="7:7" ht="16.5" customHeight="1">
      <c r="G637" s="66">
        <f>IF($D637="","",IF(COUNTIF('Config'!$N$8:$N$15,$D637)&gt;0,"Entrada",IF(COUNTIF('Config'!$P$8:$P$23,$D637)&gt;0,"Saída","Verificar")))</f>
        <v/>
      </c>
    </row>
    <row r="638" spans="7:7" ht="16.5" customHeight="1">
      <c r="G638" s="66">
        <f>IF($D638="","",IF(COUNTIF('Config'!$N$8:$N$15,$D638)&gt;0,"Entrada",IF(COUNTIF('Config'!$P$8:$P$23,$D638)&gt;0,"Saída","Verificar")))</f>
        <v/>
      </c>
    </row>
    <row r="639" spans="7:7" ht="16.5" customHeight="1">
      <c r="G639" s="66">
        <f>IF($D639="","",IF(COUNTIF('Config'!$N$8:$N$15,$D639)&gt;0,"Entrada",IF(COUNTIF('Config'!$P$8:$P$23,$D639)&gt;0,"Saída","Verificar")))</f>
        <v/>
      </c>
    </row>
    <row r="640" spans="7:7" ht="16.5" customHeight="1">
      <c r="G640" s="66">
        <f>IF($D640="","",IF(COUNTIF('Config'!$N$8:$N$15,$D640)&gt;0,"Entrada",IF(COUNTIF('Config'!$P$8:$P$23,$D640)&gt;0,"Saída","Verificar")))</f>
        <v/>
      </c>
    </row>
    <row r="641" spans="7:7" ht="16.5" customHeight="1">
      <c r="G641" s="66">
        <f>IF($D641="","",IF(COUNTIF('Config'!$N$8:$N$15,$D641)&gt;0,"Entrada",IF(COUNTIF('Config'!$P$8:$P$23,$D641)&gt;0,"Saída","Verificar")))</f>
        <v/>
      </c>
    </row>
    <row r="642" spans="7:7" ht="16.5" customHeight="1">
      <c r="G642" s="66">
        <f>IF($D642="","",IF(COUNTIF('Config'!$N$8:$N$15,$D642)&gt;0,"Entrada",IF(COUNTIF('Config'!$P$8:$P$23,$D642)&gt;0,"Saída","Verificar")))</f>
        <v/>
      </c>
    </row>
    <row r="643" spans="7:7" ht="16.5" customHeight="1">
      <c r="G643" s="66">
        <f>IF($D643="","",IF(COUNTIF('Config'!$N$8:$N$15,$D643)&gt;0,"Entrada",IF(COUNTIF('Config'!$P$8:$P$23,$D643)&gt;0,"Saída","Verificar")))</f>
        <v/>
      </c>
    </row>
    <row r="644" spans="7:7" ht="16.5" customHeight="1">
      <c r="G644" s="66">
        <f>IF($D644="","",IF(COUNTIF('Config'!$N$8:$N$15,$D644)&gt;0,"Entrada",IF(COUNTIF('Config'!$P$8:$P$23,$D644)&gt;0,"Saída","Verificar")))</f>
        <v/>
      </c>
    </row>
    <row r="645" spans="7:7" ht="16.5" customHeight="1">
      <c r="G645" s="66">
        <f>IF($D645="","",IF(COUNTIF('Config'!$N$8:$N$15,$D645)&gt;0,"Entrada",IF(COUNTIF('Config'!$P$8:$P$23,$D645)&gt;0,"Saída","Verificar")))</f>
        <v/>
      </c>
    </row>
    <row r="646" spans="7:7" ht="16.5" customHeight="1">
      <c r="G646" s="66">
        <f>IF($D646="","",IF(COUNTIF('Config'!$N$8:$N$15,$D646)&gt;0,"Entrada",IF(COUNTIF('Config'!$P$8:$P$23,$D646)&gt;0,"Saída","Verificar")))</f>
        <v/>
      </c>
    </row>
    <row r="647" spans="7:7" ht="16.5" customHeight="1">
      <c r="G647" s="66">
        <f>IF($D647="","",IF(COUNTIF('Config'!$N$8:$N$15,$D647)&gt;0,"Entrada",IF(COUNTIF('Config'!$P$8:$P$23,$D647)&gt;0,"Saída","Verificar")))</f>
        <v/>
      </c>
    </row>
    <row r="648" spans="7:7" ht="16.5" customHeight="1">
      <c r="G648" s="66">
        <f>IF($D648="","",IF(COUNTIF('Config'!$N$8:$N$15,$D648)&gt;0,"Entrada",IF(COUNTIF('Config'!$P$8:$P$23,$D648)&gt;0,"Saída","Verificar")))</f>
        <v/>
      </c>
    </row>
    <row r="649" spans="7:7" ht="16.5" customHeight="1">
      <c r="G649" s="66">
        <f>IF($D649="","",IF(COUNTIF('Config'!$N$8:$N$15,$D649)&gt;0,"Entrada",IF(COUNTIF('Config'!$P$8:$P$23,$D649)&gt;0,"Saída","Verificar")))</f>
        <v/>
      </c>
    </row>
    <row r="650" spans="7:7" ht="16.5" customHeight="1">
      <c r="G650" s="66">
        <f>IF($D650="","",IF(COUNTIF('Config'!$N$8:$N$15,$D650)&gt;0,"Entrada",IF(COUNTIF('Config'!$P$8:$P$23,$D650)&gt;0,"Saída","Verificar")))</f>
        <v/>
      </c>
    </row>
    <row r="651" spans="7:7" ht="16.5" customHeight="1">
      <c r="G651" s="66">
        <f>IF($D651="","",IF(COUNTIF('Config'!$N$8:$N$15,$D651)&gt;0,"Entrada",IF(COUNTIF('Config'!$P$8:$P$23,$D651)&gt;0,"Saída","Verificar")))</f>
        <v/>
      </c>
    </row>
    <row r="652" spans="7:7" ht="16.5" customHeight="1">
      <c r="G652" s="66">
        <f>IF($D652="","",IF(COUNTIF('Config'!$N$8:$N$15,$D652)&gt;0,"Entrada",IF(COUNTIF('Config'!$P$8:$P$23,$D652)&gt;0,"Saída","Verificar")))</f>
        <v/>
      </c>
    </row>
    <row r="653" spans="7:7" ht="16.5" customHeight="1">
      <c r="G653" s="66">
        <f>IF($D653="","",IF(COUNTIF('Config'!$N$8:$N$15,$D653)&gt;0,"Entrada",IF(COUNTIF('Config'!$P$8:$P$23,$D653)&gt;0,"Saída","Verificar")))</f>
        <v/>
      </c>
    </row>
    <row r="654" spans="7:7" ht="16.5" customHeight="1">
      <c r="G654" s="66">
        <f>IF($D654="","",IF(COUNTIF('Config'!$N$8:$N$15,$D654)&gt;0,"Entrada",IF(COUNTIF('Config'!$P$8:$P$23,$D654)&gt;0,"Saída","Verificar")))</f>
        <v/>
      </c>
    </row>
    <row r="655" spans="7:7" ht="16.5" customHeight="1">
      <c r="G655" s="66">
        <f>IF($D655="","",IF(COUNTIF('Config'!$N$8:$N$15,$D655)&gt;0,"Entrada",IF(COUNTIF('Config'!$P$8:$P$23,$D655)&gt;0,"Saída","Verificar")))</f>
        <v/>
      </c>
    </row>
    <row r="656" spans="7:7" ht="16.5" customHeight="1">
      <c r="G656" s="66">
        <f>IF($D656="","",IF(COUNTIF('Config'!$N$8:$N$15,$D656)&gt;0,"Entrada",IF(COUNTIF('Config'!$P$8:$P$23,$D656)&gt;0,"Saída","Verificar")))</f>
        <v/>
      </c>
    </row>
    <row r="657" spans="7:7" ht="16.5" customHeight="1">
      <c r="G657" s="66">
        <f>IF($D657="","",IF(COUNTIF('Config'!$N$8:$N$15,$D657)&gt;0,"Entrada",IF(COUNTIF('Config'!$P$8:$P$23,$D657)&gt;0,"Saída","Verificar")))</f>
        <v/>
      </c>
    </row>
    <row r="658" spans="7:7" ht="16.5" customHeight="1">
      <c r="G658" s="66">
        <f>IF($D658="","",IF(COUNTIF('Config'!$N$8:$N$15,$D658)&gt;0,"Entrada",IF(COUNTIF('Config'!$P$8:$P$23,$D658)&gt;0,"Saída","Verificar")))</f>
        <v/>
      </c>
    </row>
    <row r="659" spans="7:7" ht="16.5" customHeight="1">
      <c r="G659" s="66">
        <f>IF($D659="","",IF(COUNTIF('Config'!$N$8:$N$15,$D659)&gt;0,"Entrada",IF(COUNTIF('Config'!$P$8:$P$23,$D659)&gt;0,"Saída","Verificar")))</f>
        <v/>
      </c>
    </row>
    <row r="660" spans="7:7" ht="16.5" customHeight="1">
      <c r="G660" s="66">
        <f>IF($D660="","",IF(COUNTIF('Config'!$N$8:$N$15,$D660)&gt;0,"Entrada",IF(COUNTIF('Config'!$P$8:$P$23,$D660)&gt;0,"Saída","Verificar")))</f>
        <v/>
      </c>
    </row>
    <row r="661" spans="7:7" ht="16.5" customHeight="1">
      <c r="G661" s="66">
        <f>IF($D661="","",IF(COUNTIF('Config'!$N$8:$N$15,$D661)&gt;0,"Entrada",IF(COUNTIF('Config'!$P$8:$P$23,$D661)&gt;0,"Saída","Verificar")))</f>
        <v/>
      </c>
    </row>
    <row r="662" spans="7:7" ht="16.5" customHeight="1">
      <c r="G662" s="66">
        <f>IF($D662="","",IF(COUNTIF('Config'!$N$8:$N$15,$D662)&gt;0,"Entrada",IF(COUNTIF('Config'!$P$8:$P$23,$D662)&gt;0,"Saída","Verificar")))</f>
        <v/>
      </c>
    </row>
    <row r="663" spans="7:7" ht="16.5" customHeight="1">
      <c r="G663" s="66">
        <f>IF($D663="","",IF(COUNTIF('Config'!$N$8:$N$15,$D663)&gt;0,"Entrada",IF(COUNTIF('Config'!$P$8:$P$23,$D663)&gt;0,"Saída","Verificar")))</f>
        <v/>
      </c>
    </row>
    <row r="664" spans="7:7" ht="16.5" customHeight="1">
      <c r="G664" s="66">
        <f>IF($D664="","",IF(COUNTIF('Config'!$N$8:$N$15,$D664)&gt;0,"Entrada",IF(COUNTIF('Config'!$P$8:$P$23,$D664)&gt;0,"Saída","Verificar")))</f>
        <v/>
      </c>
    </row>
    <row r="665" spans="7:7" ht="16.5" customHeight="1">
      <c r="G665" s="66">
        <f>IF($D665="","",IF(COUNTIF('Config'!$N$8:$N$15,$D665)&gt;0,"Entrada",IF(COUNTIF('Config'!$P$8:$P$23,$D665)&gt;0,"Saída","Verificar")))</f>
        <v/>
      </c>
    </row>
    <row r="666" spans="7:7" ht="16.5" customHeight="1">
      <c r="G666" s="66">
        <f>IF($D666="","",IF(COUNTIF('Config'!$N$8:$N$15,$D666)&gt;0,"Entrada",IF(COUNTIF('Config'!$P$8:$P$23,$D666)&gt;0,"Saída","Verificar")))</f>
        <v/>
      </c>
    </row>
    <row r="667" spans="7:7" ht="16.5" customHeight="1">
      <c r="G667" s="66">
        <f>IF($D667="","",IF(COUNTIF('Config'!$N$8:$N$15,$D667)&gt;0,"Entrada",IF(COUNTIF('Config'!$P$8:$P$23,$D667)&gt;0,"Saída","Verificar")))</f>
        <v/>
      </c>
    </row>
    <row r="668" spans="7:7" ht="16.5" customHeight="1">
      <c r="G668" s="66">
        <f>IF($D668="","",IF(COUNTIF('Config'!$N$8:$N$15,$D668)&gt;0,"Entrada",IF(COUNTIF('Config'!$P$8:$P$23,$D668)&gt;0,"Saída","Verificar")))</f>
        <v/>
      </c>
    </row>
    <row r="669" spans="7:7" ht="16.5" customHeight="1">
      <c r="G669" s="66">
        <f>IF($D669="","",IF(COUNTIF('Config'!$N$8:$N$15,$D669)&gt;0,"Entrada",IF(COUNTIF('Config'!$P$8:$P$23,$D669)&gt;0,"Saída","Verificar")))</f>
        <v/>
      </c>
    </row>
    <row r="670" spans="7:7" ht="16.5" customHeight="1">
      <c r="G670" s="66">
        <f>IF($D670="","",IF(COUNTIF('Config'!$N$8:$N$15,$D670)&gt;0,"Entrada",IF(COUNTIF('Config'!$P$8:$P$23,$D670)&gt;0,"Saída","Verificar")))</f>
        <v/>
      </c>
    </row>
    <row r="671" spans="7:7" ht="16.5" customHeight="1">
      <c r="G671" s="66">
        <f>IF($D671="","",IF(COUNTIF('Config'!$N$8:$N$15,$D671)&gt;0,"Entrada",IF(COUNTIF('Config'!$P$8:$P$23,$D671)&gt;0,"Saída","Verificar")))</f>
        <v/>
      </c>
    </row>
    <row r="672" spans="7:7" ht="16.5" customHeight="1">
      <c r="G672" s="66">
        <f>IF($D672="","",IF(COUNTIF('Config'!$N$8:$N$15,$D672)&gt;0,"Entrada",IF(COUNTIF('Config'!$P$8:$P$23,$D672)&gt;0,"Saída","Verificar")))</f>
        <v/>
      </c>
    </row>
    <row r="673" spans="7:7" ht="16.5" customHeight="1">
      <c r="G673" s="66">
        <f>IF($D673="","",IF(COUNTIF('Config'!$N$8:$N$15,$D673)&gt;0,"Entrada",IF(COUNTIF('Config'!$P$8:$P$23,$D673)&gt;0,"Saída","Verificar")))</f>
        <v/>
      </c>
    </row>
    <row r="674" spans="7:7" ht="16.5" customHeight="1">
      <c r="G674" s="66">
        <f>IF($D674="","",IF(COUNTIF('Config'!$N$8:$N$15,$D674)&gt;0,"Entrada",IF(COUNTIF('Config'!$P$8:$P$23,$D674)&gt;0,"Saída","Verificar")))</f>
        <v/>
      </c>
    </row>
    <row r="675" spans="7:7" ht="16.5" customHeight="1">
      <c r="G675" s="66">
        <f>IF($D675="","",IF(COUNTIF('Config'!$N$8:$N$15,$D675)&gt;0,"Entrada",IF(COUNTIF('Config'!$P$8:$P$23,$D675)&gt;0,"Saída","Verificar")))</f>
        <v/>
      </c>
    </row>
    <row r="676" spans="7:7" ht="16.5" customHeight="1">
      <c r="G676" s="66">
        <f>IF($D676="","",IF(COUNTIF('Config'!$N$8:$N$15,$D676)&gt;0,"Entrada",IF(COUNTIF('Config'!$P$8:$P$23,$D676)&gt;0,"Saída","Verificar")))</f>
        <v/>
      </c>
    </row>
    <row r="677" spans="7:7" ht="16.5" customHeight="1">
      <c r="G677" s="66">
        <f>IF($D677="","",IF(COUNTIF('Config'!$N$8:$N$15,$D677)&gt;0,"Entrada",IF(COUNTIF('Config'!$P$8:$P$23,$D677)&gt;0,"Saída","Verificar")))</f>
        <v/>
      </c>
    </row>
    <row r="678" spans="7:7" ht="16.5" customHeight="1">
      <c r="G678" s="66">
        <f>IF($D678="","",IF(COUNTIF('Config'!$N$8:$N$15,$D678)&gt;0,"Entrada",IF(COUNTIF('Config'!$P$8:$P$23,$D678)&gt;0,"Saída","Verificar")))</f>
        <v/>
      </c>
    </row>
    <row r="679" spans="7:7" ht="16.5" customHeight="1">
      <c r="G679" s="66">
        <f>IF($D679="","",IF(COUNTIF('Config'!$N$8:$N$15,$D679)&gt;0,"Entrada",IF(COUNTIF('Config'!$P$8:$P$23,$D679)&gt;0,"Saída","Verificar")))</f>
        <v/>
      </c>
    </row>
    <row r="680" spans="7:7" ht="16.5" customHeight="1">
      <c r="G680" s="66">
        <f>IF($D680="","",IF(COUNTIF('Config'!$N$8:$N$15,$D680)&gt;0,"Entrada",IF(COUNTIF('Config'!$P$8:$P$23,$D680)&gt;0,"Saída","Verificar")))</f>
        <v/>
      </c>
    </row>
    <row r="681" spans="7:7" ht="16.5" customHeight="1">
      <c r="G681" s="66">
        <f>IF($D681="","",IF(COUNTIF('Config'!$N$8:$N$15,$D681)&gt;0,"Entrada",IF(COUNTIF('Config'!$P$8:$P$23,$D681)&gt;0,"Saída","Verificar")))</f>
        <v/>
      </c>
    </row>
    <row r="682" spans="7:7" ht="16.5" customHeight="1">
      <c r="G682" s="66">
        <f>IF($D682="","",IF(COUNTIF('Config'!$N$8:$N$15,$D682)&gt;0,"Entrada",IF(COUNTIF('Config'!$P$8:$P$23,$D682)&gt;0,"Saída","Verificar")))</f>
        <v/>
      </c>
    </row>
    <row r="683" spans="7:7" ht="16.5" customHeight="1">
      <c r="G683" s="66">
        <f>IF($D683="","",IF(COUNTIF('Config'!$N$8:$N$15,$D683)&gt;0,"Entrada",IF(COUNTIF('Config'!$P$8:$P$23,$D683)&gt;0,"Saída","Verificar")))</f>
        <v/>
      </c>
    </row>
    <row r="684" spans="7:7" ht="16.5" customHeight="1">
      <c r="G684" s="66">
        <f>IF($D684="","",IF(COUNTIF('Config'!$N$8:$N$15,$D684)&gt;0,"Entrada",IF(COUNTIF('Config'!$P$8:$P$23,$D684)&gt;0,"Saída","Verificar")))</f>
        <v/>
      </c>
    </row>
    <row r="685" spans="7:7" ht="16.5" customHeight="1">
      <c r="G685" s="66">
        <f>IF($D685="","",IF(COUNTIF('Config'!$N$8:$N$15,$D685)&gt;0,"Entrada",IF(COUNTIF('Config'!$P$8:$P$23,$D685)&gt;0,"Saída","Verificar")))</f>
        <v/>
      </c>
    </row>
    <row r="686" spans="7:7" ht="16.5" customHeight="1">
      <c r="G686" s="66">
        <f>IF($D686="","",IF(COUNTIF('Config'!$N$8:$N$15,$D686)&gt;0,"Entrada",IF(COUNTIF('Config'!$P$8:$P$23,$D686)&gt;0,"Saída","Verificar")))</f>
        <v/>
      </c>
    </row>
    <row r="687" spans="7:7" ht="16.5" customHeight="1">
      <c r="G687" s="66">
        <f>IF($D687="","",IF(COUNTIF('Config'!$N$8:$N$15,$D687)&gt;0,"Entrada",IF(COUNTIF('Config'!$P$8:$P$23,$D687)&gt;0,"Saída","Verificar")))</f>
        <v/>
      </c>
    </row>
    <row r="688" spans="7:7" ht="16.5" customHeight="1">
      <c r="G688" s="66">
        <f>IF($D688="","",IF(COUNTIF('Config'!$N$8:$N$15,$D688)&gt;0,"Entrada",IF(COUNTIF('Config'!$P$8:$P$23,$D688)&gt;0,"Saída","Verificar")))</f>
        <v/>
      </c>
    </row>
    <row r="689" spans="7:7" ht="16.5" customHeight="1">
      <c r="G689" s="66">
        <f>IF($D689="","",IF(COUNTIF('Config'!$N$8:$N$15,$D689)&gt;0,"Entrada",IF(COUNTIF('Config'!$P$8:$P$23,$D689)&gt;0,"Saída","Verificar")))</f>
        <v/>
      </c>
    </row>
    <row r="690" spans="7:7" ht="16.5" customHeight="1">
      <c r="G690" s="66">
        <f>IF($D690="","",IF(COUNTIF('Config'!$N$8:$N$15,$D690)&gt;0,"Entrada",IF(COUNTIF('Config'!$P$8:$P$23,$D690)&gt;0,"Saída","Verificar")))</f>
        <v/>
      </c>
    </row>
    <row r="691" spans="7:7" ht="16.5" customHeight="1">
      <c r="G691" s="66">
        <f>IF($D691="","",IF(COUNTIF('Config'!$N$8:$N$15,$D691)&gt;0,"Entrada",IF(COUNTIF('Config'!$P$8:$P$23,$D691)&gt;0,"Saída","Verificar")))</f>
        <v/>
      </c>
    </row>
    <row r="692" spans="7:7" ht="16.5" customHeight="1">
      <c r="G692" s="66">
        <f>IF($D692="","",IF(COUNTIF('Config'!$N$8:$N$15,$D692)&gt;0,"Entrada",IF(COUNTIF('Config'!$P$8:$P$23,$D692)&gt;0,"Saída","Verificar")))</f>
        <v/>
      </c>
    </row>
    <row r="693" spans="7:7" ht="16.5" customHeight="1">
      <c r="G693" s="66">
        <f>IF($D693="","",IF(COUNTIF('Config'!$N$8:$N$15,$D693)&gt;0,"Entrada",IF(COUNTIF('Config'!$P$8:$P$23,$D693)&gt;0,"Saída","Verificar")))</f>
        <v/>
      </c>
    </row>
    <row r="694" spans="7:7" ht="16.5" customHeight="1">
      <c r="G694" s="66">
        <f>IF($D694="","",IF(COUNTIF('Config'!$N$8:$N$15,$D694)&gt;0,"Entrada",IF(COUNTIF('Config'!$P$8:$P$23,$D694)&gt;0,"Saída","Verificar")))</f>
        <v/>
      </c>
    </row>
    <row r="695" spans="7:7" ht="16.5" customHeight="1">
      <c r="G695" s="66">
        <f>IF($D695="","",IF(COUNTIF('Config'!$N$8:$N$15,$D695)&gt;0,"Entrada",IF(COUNTIF('Config'!$P$8:$P$23,$D695)&gt;0,"Saída","Verificar")))</f>
        <v/>
      </c>
    </row>
    <row r="696" spans="7:7" ht="16.5" customHeight="1">
      <c r="G696" s="66">
        <f>IF($D696="","",IF(COUNTIF('Config'!$N$8:$N$15,$D696)&gt;0,"Entrada",IF(COUNTIF('Config'!$P$8:$P$23,$D696)&gt;0,"Saída","Verificar")))</f>
        <v/>
      </c>
    </row>
    <row r="697" spans="7:7" ht="16.5" customHeight="1">
      <c r="G697" s="66">
        <f>IF($D697="","",IF(COUNTIF('Config'!$N$8:$N$15,$D697)&gt;0,"Entrada",IF(COUNTIF('Config'!$P$8:$P$23,$D697)&gt;0,"Saída","Verificar")))</f>
        <v/>
      </c>
    </row>
    <row r="698" spans="7:7" ht="16.5" customHeight="1">
      <c r="G698" s="66">
        <f>IF($D698="","",IF(COUNTIF('Config'!$N$8:$N$15,$D698)&gt;0,"Entrada",IF(COUNTIF('Config'!$P$8:$P$23,$D698)&gt;0,"Saída","Verificar")))</f>
        <v/>
      </c>
    </row>
    <row r="699" spans="7:7" ht="16.5" customHeight="1">
      <c r="G699" s="66">
        <f>IF($D699="","",IF(COUNTIF('Config'!$N$8:$N$15,$D699)&gt;0,"Entrada",IF(COUNTIF('Config'!$P$8:$P$23,$D699)&gt;0,"Saída","Verificar")))</f>
        <v/>
      </c>
    </row>
    <row r="700" spans="7:7" ht="16.5" customHeight="1">
      <c r="G700" s="66">
        <f>IF($D700="","",IF(COUNTIF('Config'!$N$8:$N$15,$D700)&gt;0,"Entrada",IF(COUNTIF('Config'!$P$8:$P$23,$D700)&gt;0,"Saída","Verificar")))</f>
        <v/>
      </c>
    </row>
    <row r="701" spans="7:7" ht="16.5" customHeight="1">
      <c r="G701" s="66">
        <f>IF($D701="","",IF(COUNTIF('Config'!$N$8:$N$15,$D701)&gt;0,"Entrada",IF(COUNTIF('Config'!$P$8:$P$23,$D701)&gt;0,"Saída","Verificar")))</f>
        <v/>
      </c>
    </row>
    <row r="702" spans="7:7" ht="16.5" customHeight="1">
      <c r="G702" s="66">
        <f>IF($D702="","",IF(COUNTIF('Config'!$N$8:$N$15,$D702)&gt;0,"Entrada",IF(COUNTIF('Config'!$P$8:$P$23,$D702)&gt;0,"Saída","Verificar")))</f>
        <v/>
      </c>
    </row>
    <row r="703" spans="7:7" ht="16.5" customHeight="1">
      <c r="G703" s="66">
        <f>IF($D703="","",IF(COUNTIF('Config'!$N$8:$N$15,$D703)&gt;0,"Entrada",IF(COUNTIF('Config'!$P$8:$P$23,$D703)&gt;0,"Saída","Verificar")))</f>
        <v/>
      </c>
    </row>
    <row r="704" spans="7:7" ht="16.5" customHeight="1">
      <c r="G704" s="66">
        <f>IF($D704="","",IF(COUNTIF('Config'!$N$8:$N$15,$D704)&gt;0,"Entrada",IF(COUNTIF('Config'!$P$8:$P$23,$D704)&gt;0,"Saída","Verificar")))</f>
        <v/>
      </c>
    </row>
    <row r="705" spans="7:7" ht="16.5" customHeight="1">
      <c r="G705" s="66">
        <f>IF($D705="","",IF(COUNTIF('Config'!$N$8:$N$15,$D705)&gt;0,"Entrada",IF(COUNTIF('Config'!$P$8:$P$23,$D705)&gt;0,"Saída","Verificar")))</f>
        <v/>
      </c>
    </row>
    <row r="706" spans="7:7" ht="16.5" customHeight="1">
      <c r="G706" s="66">
        <f>IF($D706="","",IF(COUNTIF('Config'!$N$8:$N$15,$D706)&gt;0,"Entrada",IF(COUNTIF('Config'!$P$8:$P$23,$D706)&gt;0,"Saída","Verificar")))</f>
        <v/>
      </c>
    </row>
    <row r="707" spans="7:7" ht="16.5" customHeight="1">
      <c r="G707" s="66">
        <f>IF($D707="","",IF(COUNTIF('Config'!$N$8:$N$15,$D707)&gt;0,"Entrada",IF(COUNTIF('Config'!$P$8:$P$23,$D707)&gt;0,"Saída","Verificar")))</f>
        <v/>
      </c>
    </row>
    <row r="708" spans="7:7" ht="16.5" customHeight="1">
      <c r="G708" s="66">
        <f>IF($D708="","",IF(COUNTIF('Config'!$N$8:$N$15,$D708)&gt;0,"Entrada",IF(COUNTIF('Config'!$P$8:$P$23,$D708)&gt;0,"Saída","Verificar")))</f>
        <v/>
      </c>
    </row>
    <row r="709" spans="7:7" ht="16.5" customHeight="1">
      <c r="G709" s="66">
        <f>IF($D709="","",IF(COUNTIF('Config'!$N$8:$N$15,$D709)&gt;0,"Entrada",IF(COUNTIF('Config'!$P$8:$P$23,$D709)&gt;0,"Saída","Verificar")))</f>
        <v/>
      </c>
    </row>
    <row r="710" spans="7:7" ht="16.5" customHeight="1">
      <c r="G710" s="66">
        <f>IF($D710="","",IF(COUNTIF('Config'!$N$8:$N$15,$D710)&gt;0,"Entrada",IF(COUNTIF('Config'!$P$8:$P$23,$D710)&gt;0,"Saída","Verificar")))</f>
        <v/>
      </c>
    </row>
    <row r="711" spans="7:7" ht="16.5" customHeight="1">
      <c r="G711" s="66">
        <f>IF($D711="","",IF(COUNTIF('Config'!$N$8:$N$15,$D711)&gt;0,"Entrada",IF(COUNTIF('Config'!$P$8:$P$23,$D711)&gt;0,"Saída","Verificar")))</f>
        <v/>
      </c>
    </row>
    <row r="712" spans="7:7" ht="16.5" customHeight="1">
      <c r="G712" s="66">
        <f>IF($D712="","",IF(COUNTIF('Config'!$N$8:$N$15,$D712)&gt;0,"Entrada",IF(COUNTIF('Config'!$P$8:$P$23,$D712)&gt;0,"Saída","Verificar")))</f>
        <v/>
      </c>
    </row>
    <row r="713" spans="7:7" ht="16.5" customHeight="1">
      <c r="G713" s="66">
        <f>IF($D713="","",IF(COUNTIF('Config'!$N$8:$N$15,$D713)&gt;0,"Entrada",IF(COUNTIF('Config'!$P$8:$P$23,$D713)&gt;0,"Saída","Verificar")))</f>
        <v/>
      </c>
    </row>
    <row r="714" spans="7:7" ht="16.5" customHeight="1">
      <c r="G714" s="66">
        <f>IF($D714="","",IF(COUNTIF('Config'!$N$8:$N$15,$D714)&gt;0,"Entrada",IF(COUNTIF('Config'!$P$8:$P$23,$D714)&gt;0,"Saída","Verificar")))</f>
        <v/>
      </c>
    </row>
    <row r="715" spans="7:7" ht="16.5" customHeight="1">
      <c r="G715" s="66">
        <f>IF($D715="","",IF(COUNTIF('Config'!$N$8:$N$15,$D715)&gt;0,"Entrada",IF(COUNTIF('Config'!$P$8:$P$23,$D715)&gt;0,"Saída","Verificar")))</f>
        <v/>
      </c>
    </row>
    <row r="716" spans="7:7" ht="16.5" customHeight="1">
      <c r="G716" s="66">
        <f>IF($D716="","",IF(COUNTIF('Config'!$N$8:$N$15,$D716)&gt;0,"Entrada",IF(COUNTIF('Config'!$P$8:$P$23,$D716)&gt;0,"Saída","Verificar")))</f>
        <v/>
      </c>
    </row>
    <row r="717" spans="7:7" ht="16.5" customHeight="1">
      <c r="G717" s="66">
        <f>IF($D717="","",IF(COUNTIF('Config'!$N$8:$N$15,$D717)&gt;0,"Entrada",IF(COUNTIF('Config'!$P$8:$P$23,$D717)&gt;0,"Saída","Verificar")))</f>
        <v/>
      </c>
    </row>
    <row r="718" spans="7:7" ht="16.5" customHeight="1">
      <c r="G718" s="66">
        <f>IF($D718="","",IF(COUNTIF('Config'!$N$8:$N$15,$D718)&gt;0,"Entrada",IF(COUNTIF('Config'!$P$8:$P$23,$D718)&gt;0,"Saída","Verificar")))</f>
        <v/>
      </c>
    </row>
    <row r="719" spans="7:7" ht="16.5" customHeight="1">
      <c r="G719" s="66">
        <f>IF($D719="","",IF(COUNTIF('Config'!$N$8:$N$15,$D719)&gt;0,"Entrada",IF(COUNTIF('Config'!$P$8:$P$23,$D719)&gt;0,"Saída","Verificar")))</f>
        <v/>
      </c>
    </row>
    <row r="720" spans="7:7" ht="16.5" customHeight="1">
      <c r="G720" s="66">
        <f>IF($D720="","",IF(COUNTIF('Config'!$N$8:$N$15,$D720)&gt;0,"Entrada",IF(COUNTIF('Config'!$P$8:$P$23,$D720)&gt;0,"Saída","Verificar")))</f>
        <v/>
      </c>
    </row>
    <row r="721" spans="7:7" ht="16.5" customHeight="1">
      <c r="G721" s="66">
        <f>IF($D721="","",IF(COUNTIF('Config'!$N$8:$N$15,$D721)&gt;0,"Entrada",IF(COUNTIF('Config'!$P$8:$P$23,$D721)&gt;0,"Saída","Verificar")))</f>
        <v/>
      </c>
    </row>
    <row r="722" spans="7:7" ht="16.5" customHeight="1">
      <c r="G722" s="66">
        <f>IF($D722="","",IF(COUNTIF('Config'!$N$8:$N$15,$D722)&gt;0,"Entrada",IF(COUNTIF('Config'!$P$8:$P$23,$D722)&gt;0,"Saída","Verificar")))</f>
        <v/>
      </c>
    </row>
    <row r="723" spans="7:7" ht="16.5" customHeight="1">
      <c r="G723" s="66">
        <f>IF($D723="","",IF(COUNTIF('Config'!$N$8:$N$15,$D723)&gt;0,"Entrada",IF(COUNTIF('Config'!$P$8:$P$23,$D723)&gt;0,"Saída","Verificar")))</f>
        <v/>
      </c>
    </row>
    <row r="724" spans="7:7" ht="16.5" customHeight="1">
      <c r="G724" s="66">
        <f>IF($D724="","",IF(COUNTIF('Config'!$N$8:$N$15,$D724)&gt;0,"Entrada",IF(COUNTIF('Config'!$P$8:$P$23,$D724)&gt;0,"Saída","Verificar")))</f>
        <v/>
      </c>
    </row>
    <row r="725" spans="7:7" ht="16.5" customHeight="1">
      <c r="G725" s="66">
        <f>IF($D725="","",IF(COUNTIF('Config'!$N$8:$N$15,$D725)&gt;0,"Entrada",IF(COUNTIF('Config'!$P$8:$P$23,$D725)&gt;0,"Saída","Verificar")))</f>
        <v/>
      </c>
    </row>
    <row r="726" spans="7:7" ht="16.5" customHeight="1">
      <c r="G726" s="66">
        <f>IF($D726="","",IF(COUNTIF('Config'!$N$8:$N$15,$D726)&gt;0,"Entrada",IF(COUNTIF('Config'!$P$8:$P$23,$D726)&gt;0,"Saída","Verificar")))</f>
        <v/>
      </c>
    </row>
    <row r="727" spans="7:7" ht="16.5" customHeight="1">
      <c r="G727" s="66">
        <f>IF($D727="","",IF(COUNTIF('Config'!$N$8:$N$15,$D727)&gt;0,"Entrada",IF(COUNTIF('Config'!$P$8:$P$23,$D727)&gt;0,"Saída","Verificar")))</f>
        <v/>
      </c>
    </row>
    <row r="728" spans="7:7" ht="16.5" customHeight="1">
      <c r="G728" s="66">
        <f>IF($D728="","",IF(COUNTIF('Config'!$N$8:$N$15,$D728)&gt;0,"Entrada",IF(COUNTIF('Config'!$P$8:$P$23,$D728)&gt;0,"Saída","Verificar")))</f>
        <v/>
      </c>
    </row>
    <row r="729" spans="7:7" ht="16.5" customHeight="1">
      <c r="G729" s="66">
        <f>IF($D729="","",IF(COUNTIF('Config'!$N$8:$N$15,$D729)&gt;0,"Entrada",IF(COUNTIF('Config'!$P$8:$P$23,$D729)&gt;0,"Saída","Verificar")))</f>
        <v/>
      </c>
    </row>
    <row r="730" spans="7:7" ht="16.5" customHeight="1">
      <c r="G730" s="66">
        <f>IF($D730="","",IF(COUNTIF('Config'!$N$8:$N$15,$D730)&gt;0,"Entrada",IF(COUNTIF('Config'!$P$8:$P$23,$D730)&gt;0,"Saída","Verificar")))</f>
        <v/>
      </c>
    </row>
    <row r="731" spans="7:7" ht="16.5" customHeight="1">
      <c r="G731" s="66">
        <f>IF($D731="","",IF(COUNTIF('Config'!$N$8:$N$15,$D731)&gt;0,"Entrada",IF(COUNTIF('Config'!$P$8:$P$23,$D731)&gt;0,"Saída","Verificar")))</f>
        <v/>
      </c>
    </row>
    <row r="732" spans="7:7" ht="16.5" customHeight="1">
      <c r="G732" s="66">
        <f>IF($D732="","",IF(COUNTIF('Config'!$N$8:$N$15,$D732)&gt;0,"Entrada",IF(COUNTIF('Config'!$P$8:$P$23,$D732)&gt;0,"Saída","Verificar")))</f>
        <v/>
      </c>
    </row>
    <row r="733" spans="7:7" ht="16.5" customHeight="1">
      <c r="G733" s="66">
        <f>IF($D733="","",IF(COUNTIF('Config'!$N$8:$N$15,$D733)&gt;0,"Entrada",IF(COUNTIF('Config'!$P$8:$P$23,$D733)&gt;0,"Saída","Verificar")))</f>
        <v/>
      </c>
    </row>
    <row r="734" spans="7:7" ht="16.5" customHeight="1">
      <c r="G734" s="66">
        <f>IF($D734="","",IF(COUNTIF('Config'!$N$8:$N$15,$D734)&gt;0,"Entrada",IF(COUNTIF('Config'!$P$8:$P$23,$D734)&gt;0,"Saída","Verificar")))</f>
        <v/>
      </c>
    </row>
    <row r="735" spans="7:7" ht="16.5" customHeight="1">
      <c r="G735" s="66">
        <f>IF($D735="","",IF(COUNTIF('Config'!$N$8:$N$15,$D735)&gt;0,"Entrada",IF(COUNTIF('Config'!$P$8:$P$23,$D735)&gt;0,"Saída","Verificar")))</f>
        <v/>
      </c>
    </row>
    <row r="736" spans="7:7" ht="16.5" customHeight="1">
      <c r="G736" s="66">
        <f>IF($D736="","",IF(COUNTIF('Config'!$N$8:$N$15,$D736)&gt;0,"Entrada",IF(COUNTIF('Config'!$P$8:$P$23,$D736)&gt;0,"Saída","Verificar")))</f>
        <v/>
      </c>
    </row>
    <row r="737" spans="7:7" ht="16.5" customHeight="1">
      <c r="G737" s="66">
        <f>IF($D737="","",IF(COUNTIF('Config'!$N$8:$N$15,$D737)&gt;0,"Entrada",IF(COUNTIF('Config'!$P$8:$P$23,$D737)&gt;0,"Saída","Verificar")))</f>
        <v/>
      </c>
    </row>
    <row r="738" spans="7:7" ht="16.5" customHeight="1">
      <c r="G738" s="66">
        <f>IF($D738="","",IF(COUNTIF('Config'!$N$8:$N$15,$D738)&gt;0,"Entrada",IF(COUNTIF('Config'!$P$8:$P$23,$D738)&gt;0,"Saída","Verificar")))</f>
        <v/>
      </c>
    </row>
    <row r="739" spans="7:7" ht="16.5" customHeight="1">
      <c r="G739" s="66">
        <f>IF($D739="","",IF(COUNTIF('Config'!$N$8:$N$15,$D739)&gt;0,"Entrada",IF(COUNTIF('Config'!$P$8:$P$23,$D739)&gt;0,"Saída","Verificar")))</f>
        <v/>
      </c>
    </row>
    <row r="740" spans="7:7" ht="16.5" customHeight="1">
      <c r="G740" s="66">
        <f>IF($D740="","",IF(COUNTIF('Config'!$N$8:$N$15,$D740)&gt;0,"Entrada",IF(COUNTIF('Config'!$P$8:$P$23,$D740)&gt;0,"Saída","Verificar")))</f>
        <v/>
      </c>
    </row>
    <row r="741" spans="7:7" ht="16.5" customHeight="1">
      <c r="G741" s="66">
        <f>IF($D741="","",IF(COUNTIF('Config'!$N$8:$N$15,$D741)&gt;0,"Entrada",IF(COUNTIF('Config'!$P$8:$P$23,$D741)&gt;0,"Saída","Verificar")))</f>
        <v/>
      </c>
    </row>
    <row r="742" spans="7:7" ht="16.5" customHeight="1">
      <c r="G742" s="66">
        <f>IF($D742="","",IF(COUNTIF('Config'!$N$8:$N$15,$D742)&gt;0,"Entrada",IF(COUNTIF('Config'!$P$8:$P$23,$D742)&gt;0,"Saída","Verificar")))</f>
        <v/>
      </c>
    </row>
    <row r="743" spans="7:7" ht="16.5" customHeight="1">
      <c r="G743" s="66">
        <f>IF($D743="","",IF(COUNTIF('Config'!$N$8:$N$15,$D743)&gt;0,"Entrada",IF(COUNTIF('Config'!$P$8:$P$23,$D743)&gt;0,"Saída","Verificar")))</f>
        <v/>
      </c>
    </row>
    <row r="744" spans="7:7" ht="16.5" customHeight="1">
      <c r="G744" s="66">
        <f>IF($D744="","",IF(COUNTIF('Config'!$N$8:$N$15,$D744)&gt;0,"Entrada",IF(COUNTIF('Config'!$P$8:$P$23,$D744)&gt;0,"Saída","Verificar")))</f>
        <v/>
      </c>
    </row>
    <row r="745" spans="7:7" ht="16.5" customHeight="1">
      <c r="G745" s="66">
        <f>IF($D745="","",IF(COUNTIF('Config'!$N$8:$N$15,$D745)&gt;0,"Entrada",IF(COUNTIF('Config'!$P$8:$P$23,$D745)&gt;0,"Saída","Verificar")))</f>
        <v/>
      </c>
    </row>
    <row r="746" spans="7:7" ht="16.5" customHeight="1">
      <c r="G746" s="66">
        <f>IF($D746="","",IF(COUNTIF('Config'!$N$8:$N$15,$D746)&gt;0,"Entrada",IF(COUNTIF('Config'!$P$8:$P$23,$D746)&gt;0,"Saída","Verificar")))</f>
        <v/>
      </c>
    </row>
    <row r="747" spans="7:7" ht="16.5" customHeight="1">
      <c r="G747" s="66">
        <f>IF($D747="","",IF(COUNTIF('Config'!$N$8:$N$15,$D747)&gt;0,"Entrada",IF(COUNTIF('Config'!$P$8:$P$23,$D747)&gt;0,"Saída","Verificar")))</f>
        <v/>
      </c>
    </row>
    <row r="748" spans="7:7" ht="16.5" customHeight="1">
      <c r="G748" s="66">
        <f>IF($D748="","",IF(COUNTIF('Config'!$N$8:$N$15,$D748)&gt;0,"Entrada",IF(COUNTIF('Config'!$P$8:$P$23,$D748)&gt;0,"Saída","Verificar")))</f>
        <v/>
      </c>
    </row>
    <row r="749" spans="7:7" ht="16.5" customHeight="1">
      <c r="G749" s="66">
        <f>IF($D749="","",IF(COUNTIF('Config'!$N$8:$N$15,$D749)&gt;0,"Entrada",IF(COUNTIF('Config'!$P$8:$P$23,$D749)&gt;0,"Saída","Verificar")))</f>
        <v/>
      </c>
    </row>
    <row r="750" spans="7:7" ht="16.5" customHeight="1">
      <c r="G750" s="66">
        <f>IF($D750="","",IF(COUNTIF('Config'!$N$8:$N$15,$D750)&gt;0,"Entrada",IF(COUNTIF('Config'!$P$8:$P$23,$D750)&gt;0,"Saída","Verificar")))</f>
        <v/>
      </c>
    </row>
    <row r="751" spans="7:7" ht="16.5" customHeight="1">
      <c r="G751" s="66">
        <f>IF($D751="","",IF(COUNTIF('Config'!$N$8:$N$15,$D751)&gt;0,"Entrada",IF(COUNTIF('Config'!$P$8:$P$23,$D751)&gt;0,"Saída","Verificar")))</f>
        <v/>
      </c>
    </row>
    <row r="752" spans="7:7" ht="16.5" customHeight="1">
      <c r="G752" s="66">
        <f>IF($D752="","",IF(COUNTIF('Config'!$N$8:$N$15,$D752)&gt;0,"Entrada",IF(COUNTIF('Config'!$P$8:$P$23,$D752)&gt;0,"Saída","Verificar")))</f>
        <v/>
      </c>
    </row>
    <row r="753" spans="7:7" ht="16.5" customHeight="1">
      <c r="G753" s="66">
        <f>IF($D753="","",IF(COUNTIF('Config'!$N$8:$N$15,$D753)&gt;0,"Entrada",IF(COUNTIF('Config'!$P$8:$P$23,$D753)&gt;0,"Saída","Verificar")))</f>
        <v/>
      </c>
    </row>
    <row r="754" spans="7:7" ht="16.5" customHeight="1">
      <c r="G754" s="66">
        <f>IF($D754="","",IF(COUNTIF('Config'!$N$8:$N$15,$D754)&gt;0,"Entrada",IF(COUNTIF('Config'!$P$8:$P$23,$D754)&gt;0,"Saída","Verificar")))</f>
        <v/>
      </c>
    </row>
    <row r="755" spans="7:7" ht="16.5" customHeight="1">
      <c r="G755" s="66">
        <f>IF($D755="","",IF(COUNTIF('Config'!$N$8:$N$15,$D755)&gt;0,"Entrada",IF(COUNTIF('Config'!$P$8:$P$23,$D755)&gt;0,"Saída","Verificar")))</f>
        <v/>
      </c>
    </row>
    <row r="756" spans="7:7" ht="16.5" customHeight="1">
      <c r="G756" s="66">
        <f>IF($D756="","",IF(COUNTIF('Config'!$N$8:$N$15,$D756)&gt;0,"Entrada",IF(COUNTIF('Config'!$P$8:$P$23,$D756)&gt;0,"Saída","Verificar")))</f>
        <v/>
      </c>
    </row>
    <row r="757" spans="7:7" ht="16.5" customHeight="1">
      <c r="G757" s="66">
        <f>IF($D757="","",IF(COUNTIF('Config'!$N$8:$N$15,$D757)&gt;0,"Entrada",IF(COUNTIF('Config'!$P$8:$P$23,$D757)&gt;0,"Saída","Verificar")))</f>
        <v/>
      </c>
    </row>
    <row r="758" spans="7:7" ht="16.5" customHeight="1">
      <c r="G758" s="66">
        <f>IF($D758="","",IF(COUNTIF('Config'!$N$8:$N$15,$D758)&gt;0,"Entrada",IF(COUNTIF('Config'!$P$8:$P$23,$D758)&gt;0,"Saída","Verificar")))</f>
        <v/>
      </c>
    </row>
    <row r="759" spans="7:7" ht="16.5" customHeight="1">
      <c r="G759" s="66">
        <f>IF($D759="","",IF(COUNTIF('Config'!$N$8:$N$15,$D759)&gt;0,"Entrada",IF(COUNTIF('Config'!$P$8:$P$23,$D759)&gt;0,"Saída","Verificar")))</f>
        <v/>
      </c>
    </row>
    <row r="760" spans="7:7" ht="16.5" customHeight="1">
      <c r="G760" s="66">
        <f>IF($D760="","",IF(COUNTIF('Config'!$N$8:$N$15,$D760)&gt;0,"Entrada",IF(COUNTIF('Config'!$P$8:$P$23,$D760)&gt;0,"Saída","Verificar")))</f>
        <v/>
      </c>
    </row>
    <row r="761" spans="7:7" ht="16.5" customHeight="1">
      <c r="G761" s="66">
        <f>IF($D761="","",IF(COUNTIF('Config'!$N$8:$N$15,$D761)&gt;0,"Entrada",IF(COUNTIF('Config'!$P$8:$P$23,$D761)&gt;0,"Saída","Verificar")))</f>
        <v/>
      </c>
    </row>
    <row r="762" spans="7:7" ht="16.5" customHeight="1">
      <c r="G762" s="66">
        <f>IF($D762="","",IF(COUNTIF('Config'!$N$8:$N$15,$D762)&gt;0,"Entrada",IF(COUNTIF('Config'!$P$8:$P$23,$D762)&gt;0,"Saída","Verificar")))</f>
        <v/>
      </c>
    </row>
    <row r="763" spans="7:7" ht="16.5" customHeight="1">
      <c r="G763" s="66">
        <f>IF($D763="","",IF(COUNTIF('Config'!$N$8:$N$15,$D763)&gt;0,"Entrada",IF(COUNTIF('Config'!$P$8:$P$23,$D763)&gt;0,"Saída","Verificar")))</f>
        <v/>
      </c>
    </row>
    <row r="764" spans="7:7" ht="16.5" customHeight="1">
      <c r="G764" s="66">
        <f>IF($D764="","",IF(COUNTIF('Config'!$N$8:$N$15,$D764)&gt;0,"Entrada",IF(COUNTIF('Config'!$P$8:$P$23,$D764)&gt;0,"Saída","Verificar")))</f>
        <v/>
      </c>
    </row>
    <row r="765" spans="7:7" ht="16.5" customHeight="1">
      <c r="G765" s="66">
        <f>IF($D765="","",IF(COUNTIF('Config'!$N$8:$N$15,$D765)&gt;0,"Entrada",IF(COUNTIF('Config'!$P$8:$P$23,$D765)&gt;0,"Saída","Verificar")))</f>
        <v/>
      </c>
    </row>
    <row r="766" spans="7:7" ht="16.5" customHeight="1">
      <c r="G766" s="66">
        <f>IF($D766="","",IF(COUNTIF('Config'!$N$8:$N$15,$D766)&gt;0,"Entrada",IF(COUNTIF('Config'!$P$8:$P$23,$D766)&gt;0,"Saída","Verificar")))</f>
        <v/>
      </c>
    </row>
    <row r="767" spans="7:7" ht="16.5" customHeight="1">
      <c r="G767" s="66">
        <f>IF($D767="","",IF(COUNTIF('Config'!$N$8:$N$15,$D767)&gt;0,"Entrada",IF(COUNTIF('Config'!$P$8:$P$23,$D767)&gt;0,"Saída","Verificar")))</f>
        <v/>
      </c>
    </row>
    <row r="768" spans="7:7" ht="16.5" customHeight="1">
      <c r="G768" s="66">
        <f>IF($D768="","",IF(COUNTIF('Config'!$N$8:$N$15,$D768)&gt;0,"Entrada",IF(COUNTIF('Config'!$P$8:$P$23,$D768)&gt;0,"Saída","Verificar")))</f>
        <v/>
      </c>
    </row>
    <row r="769" spans="7:7" ht="16.5" customHeight="1">
      <c r="G769" s="66">
        <f>IF($D769="","",IF(COUNTIF('Config'!$N$8:$N$15,$D769)&gt;0,"Entrada",IF(COUNTIF('Config'!$P$8:$P$23,$D769)&gt;0,"Saída","Verificar")))</f>
        <v/>
      </c>
    </row>
    <row r="770" spans="7:7" ht="16.5" customHeight="1">
      <c r="G770" s="66">
        <f>IF($D770="","",IF(COUNTIF('Config'!$N$8:$N$15,$D770)&gt;0,"Entrada",IF(COUNTIF('Config'!$P$8:$P$23,$D770)&gt;0,"Saída","Verificar")))</f>
        <v/>
      </c>
    </row>
    <row r="771" spans="7:7" ht="16.5" customHeight="1">
      <c r="G771" s="66">
        <f>IF($D771="","",IF(COUNTIF('Config'!$N$8:$N$15,$D771)&gt;0,"Entrada",IF(COUNTIF('Config'!$P$8:$P$23,$D771)&gt;0,"Saída","Verificar")))</f>
        <v/>
      </c>
    </row>
    <row r="772" spans="7:7" ht="16.5" customHeight="1">
      <c r="G772" s="66">
        <f>IF($D772="","",IF(COUNTIF('Config'!$N$8:$N$15,$D772)&gt;0,"Entrada",IF(COUNTIF('Config'!$P$8:$P$23,$D772)&gt;0,"Saída","Verificar")))</f>
        <v/>
      </c>
    </row>
    <row r="773" spans="7:7" ht="16.5" customHeight="1">
      <c r="G773" s="66">
        <f>IF($D773="","",IF(COUNTIF('Config'!$N$8:$N$15,$D773)&gt;0,"Entrada",IF(COUNTIF('Config'!$P$8:$P$23,$D773)&gt;0,"Saída","Verificar")))</f>
        <v/>
      </c>
    </row>
    <row r="774" spans="7:7" ht="16.5" customHeight="1">
      <c r="G774" s="66">
        <f>IF($D774="","",IF(COUNTIF('Config'!$N$8:$N$15,$D774)&gt;0,"Entrada",IF(COUNTIF('Config'!$P$8:$P$23,$D774)&gt;0,"Saída","Verificar")))</f>
        <v/>
      </c>
    </row>
    <row r="775" spans="7:7" ht="16.5" customHeight="1">
      <c r="G775" s="66">
        <f>IF($D775="","",IF(COUNTIF('Config'!$N$8:$N$15,$D775)&gt;0,"Entrada",IF(COUNTIF('Config'!$P$8:$P$23,$D775)&gt;0,"Saída","Verificar")))</f>
        <v/>
      </c>
    </row>
    <row r="776" spans="7:7" ht="16.5" customHeight="1">
      <c r="G776" s="66">
        <f>IF($D776="","",IF(COUNTIF('Config'!$N$8:$N$15,$D776)&gt;0,"Entrada",IF(COUNTIF('Config'!$P$8:$P$23,$D776)&gt;0,"Saída","Verificar")))</f>
        <v/>
      </c>
    </row>
    <row r="777" spans="7:7" ht="16.5" customHeight="1">
      <c r="G777" s="66">
        <f>IF($D777="","",IF(COUNTIF('Config'!$N$8:$N$15,$D777)&gt;0,"Entrada",IF(COUNTIF('Config'!$P$8:$P$23,$D777)&gt;0,"Saída","Verificar")))</f>
        <v/>
      </c>
    </row>
    <row r="778" spans="7:7" ht="16.5" customHeight="1">
      <c r="G778" s="66">
        <f>IF($D778="","",IF(COUNTIF('Config'!$N$8:$N$15,$D778)&gt;0,"Entrada",IF(COUNTIF('Config'!$P$8:$P$23,$D778)&gt;0,"Saída","Verificar")))</f>
        <v/>
      </c>
    </row>
    <row r="779" spans="7:7" ht="16.5" customHeight="1">
      <c r="G779" s="66">
        <f>IF($D779="","",IF(COUNTIF('Config'!$N$8:$N$15,$D779)&gt;0,"Entrada",IF(COUNTIF('Config'!$P$8:$P$23,$D779)&gt;0,"Saída","Verificar")))</f>
        <v/>
      </c>
    </row>
    <row r="780" spans="7:7" ht="16.5" customHeight="1">
      <c r="G780" s="66">
        <f>IF($D780="","",IF(COUNTIF('Config'!$N$8:$N$15,$D780)&gt;0,"Entrada",IF(COUNTIF('Config'!$P$8:$P$23,$D780)&gt;0,"Saída","Verificar")))</f>
        <v/>
      </c>
    </row>
    <row r="781" spans="7:7" ht="16.5" customHeight="1">
      <c r="G781" s="66">
        <f>IF($D781="","",IF(COUNTIF('Config'!$N$8:$N$15,$D781)&gt;0,"Entrada",IF(COUNTIF('Config'!$P$8:$P$23,$D781)&gt;0,"Saída","Verificar")))</f>
        <v/>
      </c>
    </row>
    <row r="782" spans="7:7" ht="16.5" customHeight="1">
      <c r="G782" s="66">
        <f>IF($D782="","",IF(COUNTIF('Config'!$N$8:$N$15,$D782)&gt;0,"Entrada",IF(COUNTIF('Config'!$P$8:$P$23,$D782)&gt;0,"Saída","Verificar")))</f>
        <v/>
      </c>
    </row>
    <row r="783" spans="7:7" ht="16.5" customHeight="1">
      <c r="G783" s="66">
        <f>IF($D783="","",IF(COUNTIF('Config'!$N$8:$N$15,$D783)&gt;0,"Entrada",IF(COUNTIF('Config'!$P$8:$P$23,$D783)&gt;0,"Saída","Verificar")))</f>
        <v/>
      </c>
    </row>
    <row r="784" spans="7:7" ht="16.5" customHeight="1">
      <c r="G784" s="66">
        <f>IF($D784="","",IF(COUNTIF('Config'!$N$8:$N$15,$D784)&gt;0,"Entrada",IF(COUNTIF('Config'!$P$8:$P$23,$D784)&gt;0,"Saída","Verificar")))</f>
        <v/>
      </c>
    </row>
    <row r="785" spans="7:7" ht="16.5" customHeight="1">
      <c r="G785" s="66">
        <f>IF($D785="","",IF(COUNTIF('Config'!$N$8:$N$15,$D785)&gt;0,"Entrada",IF(COUNTIF('Config'!$P$8:$P$23,$D785)&gt;0,"Saída","Verificar")))</f>
        <v/>
      </c>
    </row>
    <row r="786" spans="7:7" ht="16.5" customHeight="1">
      <c r="G786" s="66">
        <f>IF($D786="","",IF(COUNTIF('Config'!$N$8:$N$15,$D786)&gt;0,"Entrada",IF(COUNTIF('Config'!$P$8:$P$23,$D786)&gt;0,"Saída","Verificar")))</f>
        <v/>
      </c>
    </row>
    <row r="787" spans="7:7" ht="16.5" customHeight="1">
      <c r="G787" s="66">
        <f>IF($D787="","",IF(COUNTIF('Config'!$N$8:$N$15,$D787)&gt;0,"Entrada",IF(COUNTIF('Config'!$P$8:$P$23,$D787)&gt;0,"Saída","Verificar")))</f>
        <v/>
      </c>
    </row>
    <row r="788" spans="7:7" ht="16.5" customHeight="1">
      <c r="G788" s="66">
        <f>IF($D788="","",IF(COUNTIF('Config'!$N$8:$N$15,$D788)&gt;0,"Entrada",IF(COUNTIF('Config'!$P$8:$P$23,$D788)&gt;0,"Saída","Verificar")))</f>
        <v/>
      </c>
    </row>
    <row r="789" spans="7:7" ht="16.5" customHeight="1">
      <c r="G789" s="66">
        <f>IF($D789="","",IF(COUNTIF('Config'!$N$8:$N$15,$D789)&gt;0,"Entrada",IF(COUNTIF('Config'!$P$8:$P$23,$D789)&gt;0,"Saída","Verificar")))</f>
        <v/>
      </c>
    </row>
    <row r="790" spans="7:7" ht="16.5" customHeight="1">
      <c r="G790" s="66">
        <f>IF($D790="","",IF(COUNTIF('Config'!$N$8:$N$15,$D790)&gt;0,"Entrada",IF(COUNTIF('Config'!$P$8:$P$23,$D790)&gt;0,"Saída","Verificar")))</f>
        <v/>
      </c>
    </row>
    <row r="791" spans="7:7" ht="16.5" customHeight="1">
      <c r="G791" s="66">
        <f>IF($D791="","",IF(COUNTIF('Config'!$N$8:$N$15,$D791)&gt;0,"Entrada",IF(COUNTIF('Config'!$P$8:$P$23,$D791)&gt;0,"Saída","Verificar")))</f>
        <v/>
      </c>
    </row>
    <row r="792" spans="7:7" ht="16.5" customHeight="1">
      <c r="G792" s="66">
        <f>IF($D792="","",IF(COUNTIF('Config'!$N$8:$N$15,$D792)&gt;0,"Entrada",IF(COUNTIF('Config'!$P$8:$P$23,$D792)&gt;0,"Saída","Verificar")))</f>
        <v/>
      </c>
    </row>
    <row r="793" spans="7:7" ht="16.5" customHeight="1">
      <c r="G793" s="66">
        <f>IF($D793="","",IF(COUNTIF('Config'!$N$8:$N$15,$D793)&gt;0,"Entrada",IF(COUNTIF('Config'!$P$8:$P$23,$D793)&gt;0,"Saída","Verificar")))</f>
        <v/>
      </c>
    </row>
    <row r="794" spans="7:7" ht="16.5" customHeight="1">
      <c r="G794" s="66">
        <f>IF($D794="","",IF(COUNTIF('Config'!$N$8:$N$15,$D794)&gt;0,"Entrada",IF(COUNTIF('Config'!$P$8:$P$23,$D794)&gt;0,"Saída","Verificar")))</f>
        <v/>
      </c>
    </row>
    <row r="795" spans="7:7" ht="16.5" customHeight="1">
      <c r="G795" s="66">
        <f>IF($D795="","",IF(COUNTIF('Config'!$N$8:$N$15,$D795)&gt;0,"Entrada",IF(COUNTIF('Config'!$P$8:$P$23,$D795)&gt;0,"Saída","Verificar")))</f>
        <v/>
      </c>
    </row>
    <row r="796" spans="7:7" ht="16.5" customHeight="1">
      <c r="G796" s="66">
        <f>IF($D796="","",IF(COUNTIF('Config'!$N$8:$N$15,$D796)&gt;0,"Entrada",IF(COUNTIF('Config'!$P$8:$P$23,$D796)&gt;0,"Saída","Verificar")))</f>
        <v/>
      </c>
    </row>
    <row r="797" spans="7:7" ht="16.5" customHeight="1">
      <c r="G797" s="66">
        <f>IF($D797="","",IF(COUNTIF('Config'!$N$8:$N$15,$D797)&gt;0,"Entrada",IF(COUNTIF('Config'!$P$8:$P$23,$D797)&gt;0,"Saída","Verificar")))</f>
        <v/>
      </c>
    </row>
    <row r="798" spans="7:7" ht="16.5" customHeight="1">
      <c r="G798" s="66">
        <f>IF($D798="","",IF(COUNTIF('Config'!$N$8:$N$15,$D798)&gt;0,"Entrada",IF(COUNTIF('Config'!$P$8:$P$23,$D798)&gt;0,"Saída","Verificar")))</f>
        <v/>
      </c>
    </row>
    <row r="799" spans="7:7" ht="16.5" customHeight="1">
      <c r="G799" s="66">
        <f>IF($D799="","",IF(COUNTIF('Config'!$N$8:$N$15,$D799)&gt;0,"Entrada",IF(COUNTIF('Config'!$P$8:$P$23,$D799)&gt;0,"Saída","Verificar")))</f>
        <v/>
      </c>
    </row>
    <row r="800" spans="7:7" ht="16.5" customHeight="1">
      <c r="G800" s="66">
        <f>IF($D800="","",IF(COUNTIF('Config'!$N$8:$N$15,$D800)&gt;0,"Entrada",IF(COUNTIF('Config'!$P$8:$P$23,$D800)&gt;0,"Saída","Verificar")))</f>
        <v/>
      </c>
    </row>
    <row r="801" spans="7:7" ht="16.5" customHeight="1">
      <c r="G801" s="66">
        <f>IF($D801="","",IF(COUNTIF('Config'!$N$8:$N$15,$D801)&gt;0,"Entrada",IF(COUNTIF('Config'!$P$8:$P$23,$D801)&gt;0,"Saída","Verificar")))</f>
        <v/>
      </c>
    </row>
    <row r="802" spans="7:7" ht="16.5" customHeight="1">
      <c r="G802" s="66">
        <f>IF($D802="","",IF(COUNTIF('Config'!$N$8:$N$15,$D802)&gt;0,"Entrada",IF(COUNTIF('Config'!$P$8:$P$23,$D802)&gt;0,"Saída","Verificar")))</f>
        <v/>
      </c>
    </row>
    <row r="803" spans="7:7" ht="16.5" customHeight="1">
      <c r="G803" s="66">
        <f>IF($D803="","",IF(COUNTIF('Config'!$N$8:$N$15,$D803)&gt;0,"Entrada",IF(COUNTIF('Config'!$P$8:$P$23,$D803)&gt;0,"Saída","Verificar")))</f>
        <v/>
      </c>
    </row>
    <row r="804" spans="7:7" ht="16.5" customHeight="1">
      <c r="G804" s="66">
        <f>IF($D804="","",IF(COUNTIF('Config'!$N$8:$N$15,$D804)&gt;0,"Entrada",IF(COUNTIF('Config'!$P$8:$P$23,$D804)&gt;0,"Saída","Verificar")))</f>
        <v/>
      </c>
    </row>
    <row r="805" spans="7:7" ht="16.5" customHeight="1">
      <c r="G805" s="66">
        <f>IF($D805="","",IF(COUNTIF('Config'!$N$8:$N$15,$D805)&gt;0,"Entrada",IF(COUNTIF('Config'!$P$8:$P$23,$D805)&gt;0,"Saída","Verificar")))</f>
        <v/>
      </c>
    </row>
    <row r="806" spans="7:7" ht="16.5" customHeight="1">
      <c r="G806" s="66">
        <f>IF($D806="","",IF(COUNTIF('Config'!$N$8:$N$15,$D806)&gt;0,"Entrada",IF(COUNTIF('Config'!$P$8:$P$23,$D806)&gt;0,"Saída","Verificar")))</f>
        <v/>
      </c>
    </row>
    <row r="807" spans="7:7" ht="16.5" customHeight="1">
      <c r="G807" s="66">
        <f>IF($D807="","",IF(COUNTIF('Config'!$N$8:$N$15,$D807)&gt;0,"Entrada",IF(COUNTIF('Config'!$P$8:$P$23,$D807)&gt;0,"Saída","Verificar")))</f>
        <v/>
      </c>
    </row>
    <row r="808" spans="7:7" ht="16.5" customHeight="1">
      <c r="G808" s="66">
        <f>IF($D808="","",IF(COUNTIF('Config'!$N$8:$N$15,$D808)&gt;0,"Entrada",IF(COUNTIF('Config'!$P$8:$P$23,$D808)&gt;0,"Saída","Verificar")))</f>
        <v/>
      </c>
    </row>
    <row r="809" spans="7:7" ht="16.5" customHeight="1">
      <c r="G809" s="66">
        <f>IF($D809="","",IF(COUNTIF('Config'!$N$8:$N$15,$D809)&gt;0,"Entrada",IF(COUNTIF('Config'!$P$8:$P$23,$D809)&gt;0,"Saída","Verificar")))</f>
        <v/>
      </c>
    </row>
    <row r="810" spans="7:7" ht="16.5" customHeight="1">
      <c r="G810" s="66">
        <f>IF($D810="","",IF(COUNTIF('Config'!$N$8:$N$15,$D810)&gt;0,"Entrada",IF(COUNTIF('Config'!$P$8:$P$23,$D810)&gt;0,"Saída","Verificar")))</f>
        <v/>
      </c>
    </row>
    <row r="811" spans="7:7" ht="16.5" customHeight="1">
      <c r="G811" s="66">
        <f>IF($D811="","",IF(COUNTIF('Config'!$N$8:$N$15,$D811)&gt;0,"Entrada",IF(COUNTIF('Config'!$P$8:$P$23,$D811)&gt;0,"Saída","Verificar")))</f>
        <v/>
      </c>
    </row>
    <row r="812" spans="7:7" ht="16.5" customHeight="1">
      <c r="G812" s="66">
        <f>IF($D812="","",IF(COUNTIF('Config'!$N$8:$N$15,$D812)&gt;0,"Entrada",IF(COUNTIF('Config'!$P$8:$P$23,$D812)&gt;0,"Saída","Verificar")))</f>
        <v/>
      </c>
    </row>
    <row r="813" spans="7:7" ht="16.5" customHeight="1">
      <c r="G813" s="66">
        <f>IF($D813="","",IF(COUNTIF('Config'!$N$8:$N$15,$D813)&gt;0,"Entrada",IF(COUNTIF('Config'!$P$8:$P$23,$D813)&gt;0,"Saída","Verificar")))</f>
        <v/>
      </c>
    </row>
    <row r="814" spans="7:7" ht="16.5" customHeight="1">
      <c r="G814" s="66">
        <f>IF($D814="","",IF(COUNTIF('Config'!$N$8:$N$15,$D814)&gt;0,"Entrada",IF(COUNTIF('Config'!$P$8:$P$23,$D814)&gt;0,"Saída","Verificar")))</f>
        <v/>
      </c>
    </row>
    <row r="815" spans="7:7" ht="16.5" customHeight="1">
      <c r="G815" s="66">
        <f>IF($D815="","",IF(COUNTIF('Config'!$N$8:$N$15,$D815)&gt;0,"Entrada",IF(COUNTIF('Config'!$P$8:$P$23,$D815)&gt;0,"Saída","Verificar")))</f>
        <v/>
      </c>
    </row>
    <row r="816" spans="7:7" ht="16.5" customHeight="1">
      <c r="G816" s="66">
        <f>IF($D816="","",IF(COUNTIF('Config'!$N$8:$N$15,$D816)&gt;0,"Entrada",IF(COUNTIF('Config'!$P$8:$P$23,$D816)&gt;0,"Saída","Verificar")))</f>
        <v/>
      </c>
    </row>
    <row r="817" spans="7:7" ht="16.5" customHeight="1">
      <c r="G817" s="66">
        <f>IF($D817="","",IF(COUNTIF('Config'!$N$8:$N$15,$D817)&gt;0,"Entrada",IF(COUNTIF('Config'!$P$8:$P$23,$D817)&gt;0,"Saída","Verificar")))</f>
        <v/>
      </c>
    </row>
    <row r="818" spans="7:7" ht="16.5" customHeight="1">
      <c r="G818" s="66">
        <f>IF($D818="","",IF(COUNTIF('Config'!$N$8:$N$15,$D818)&gt;0,"Entrada",IF(COUNTIF('Config'!$P$8:$P$23,$D818)&gt;0,"Saída","Verificar")))</f>
        <v/>
      </c>
    </row>
    <row r="819" spans="7:7" ht="16.5" customHeight="1">
      <c r="G819" s="66">
        <f>IF($D819="","",IF(COUNTIF('Config'!$N$8:$N$15,$D819)&gt;0,"Entrada",IF(COUNTIF('Config'!$P$8:$P$23,$D819)&gt;0,"Saída","Verificar")))</f>
        <v/>
      </c>
    </row>
    <row r="820" spans="7:7" ht="16.5" customHeight="1">
      <c r="G820" s="66">
        <f>IF($D820="","",IF(COUNTIF('Config'!$N$8:$N$15,$D820)&gt;0,"Entrada",IF(COUNTIF('Config'!$P$8:$P$23,$D820)&gt;0,"Saída","Verificar")))</f>
        <v/>
      </c>
    </row>
    <row r="821" spans="7:7" ht="16.5" customHeight="1">
      <c r="G821" s="66">
        <f>IF($D821="","",IF(COUNTIF('Config'!$N$8:$N$15,$D821)&gt;0,"Entrada",IF(COUNTIF('Config'!$P$8:$P$23,$D821)&gt;0,"Saída","Verificar")))</f>
        <v/>
      </c>
    </row>
    <row r="822" spans="7:7" ht="16.5" customHeight="1">
      <c r="G822" s="66">
        <f>IF($D822="","",IF(COUNTIF('Config'!$N$8:$N$15,$D822)&gt;0,"Entrada",IF(COUNTIF('Config'!$P$8:$P$23,$D822)&gt;0,"Saída","Verificar")))</f>
        <v/>
      </c>
    </row>
    <row r="823" spans="7:7" ht="16.5" customHeight="1">
      <c r="G823" s="66">
        <f>IF($D823="","",IF(COUNTIF('Config'!$N$8:$N$15,$D823)&gt;0,"Entrada",IF(COUNTIF('Config'!$P$8:$P$23,$D823)&gt;0,"Saída","Verificar")))</f>
        <v/>
      </c>
    </row>
    <row r="824" spans="7:7" ht="16.5" customHeight="1">
      <c r="G824" s="66">
        <f>IF($D824="","",IF(COUNTIF('Config'!$N$8:$N$15,$D824)&gt;0,"Entrada",IF(COUNTIF('Config'!$P$8:$P$23,$D824)&gt;0,"Saída","Verificar")))</f>
        <v/>
      </c>
    </row>
    <row r="825" spans="7:7" ht="16.5" customHeight="1">
      <c r="G825" s="66">
        <f>IF($D825="","",IF(COUNTIF('Config'!$N$8:$N$15,$D825)&gt;0,"Entrada",IF(COUNTIF('Config'!$P$8:$P$23,$D825)&gt;0,"Saída","Verificar")))</f>
        <v/>
      </c>
    </row>
    <row r="826" spans="7:7" ht="16.5" customHeight="1">
      <c r="G826" s="66">
        <f>IF($D826="","",IF(COUNTIF('Config'!$N$8:$N$15,$D826)&gt;0,"Entrada",IF(COUNTIF('Config'!$P$8:$P$23,$D826)&gt;0,"Saída","Verificar")))</f>
        <v/>
      </c>
    </row>
    <row r="827" spans="7:7" ht="16.5" customHeight="1">
      <c r="G827" s="66">
        <f>IF($D827="","",IF(COUNTIF('Config'!$N$8:$N$15,$D827)&gt;0,"Entrada",IF(COUNTIF('Config'!$P$8:$P$23,$D827)&gt;0,"Saída","Verificar")))</f>
        <v/>
      </c>
    </row>
    <row r="828" spans="7:7" ht="16.5" customHeight="1">
      <c r="G828" s="66">
        <f>IF($D828="","",IF(COUNTIF('Config'!$N$8:$N$15,$D828)&gt;0,"Entrada",IF(COUNTIF('Config'!$P$8:$P$23,$D828)&gt;0,"Saída","Verificar")))</f>
        <v/>
      </c>
    </row>
    <row r="829" spans="7:7" ht="16.5" customHeight="1">
      <c r="G829" s="66">
        <f>IF($D829="","",IF(COUNTIF('Config'!$N$8:$N$15,$D829)&gt;0,"Entrada",IF(COUNTIF('Config'!$P$8:$P$23,$D829)&gt;0,"Saída","Verificar")))</f>
        <v/>
      </c>
    </row>
    <row r="830" spans="7:7" ht="16.5" customHeight="1">
      <c r="G830" s="66">
        <f>IF($D830="","",IF(COUNTIF('Config'!$N$8:$N$15,$D830)&gt;0,"Entrada",IF(COUNTIF('Config'!$P$8:$P$23,$D830)&gt;0,"Saída","Verificar")))</f>
        <v/>
      </c>
    </row>
    <row r="831" spans="7:7" ht="16.5" customHeight="1">
      <c r="G831" s="66">
        <f>IF($D831="","",IF(COUNTIF('Config'!$N$8:$N$15,$D831)&gt;0,"Entrada",IF(COUNTIF('Config'!$P$8:$P$23,$D831)&gt;0,"Saída","Verificar")))</f>
        <v/>
      </c>
    </row>
    <row r="832" spans="7:7" ht="16.5" customHeight="1">
      <c r="G832" s="66">
        <f>IF($D832="","",IF(COUNTIF('Config'!$N$8:$N$15,$D832)&gt;0,"Entrada",IF(COUNTIF('Config'!$P$8:$P$23,$D832)&gt;0,"Saída","Verificar")))</f>
        <v/>
      </c>
    </row>
    <row r="833" spans="7:7" ht="16.5" customHeight="1">
      <c r="G833" s="66">
        <f>IF($D833="","",IF(COUNTIF('Config'!$N$8:$N$15,$D833)&gt;0,"Entrada",IF(COUNTIF('Config'!$P$8:$P$23,$D833)&gt;0,"Saída","Verificar")))</f>
        <v/>
      </c>
    </row>
    <row r="834" spans="7:7" ht="16.5" customHeight="1">
      <c r="G834" s="66">
        <f>IF($D834="","",IF(COUNTIF('Config'!$N$8:$N$15,$D834)&gt;0,"Entrada",IF(COUNTIF('Config'!$P$8:$P$23,$D834)&gt;0,"Saída","Verificar")))</f>
        <v/>
      </c>
    </row>
    <row r="835" spans="7:7" ht="16.5" customHeight="1">
      <c r="G835" s="66">
        <f>IF($D835="","",IF(COUNTIF('Config'!$N$8:$N$15,$D835)&gt;0,"Entrada",IF(COUNTIF('Config'!$P$8:$P$23,$D835)&gt;0,"Saída","Verificar")))</f>
        <v/>
      </c>
    </row>
    <row r="836" spans="7:7" ht="16.5" customHeight="1">
      <c r="G836" s="66">
        <f>IF($D836="","",IF(COUNTIF('Config'!$N$8:$N$15,$D836)&gt;0,"Entrada",IF(COUNTIF('Config'!$P$8:$P$23,$D836)&gt;0,"Saída","Verificar")))</f>
        <v/>
      </c>
    </row>
    <row r="837" spans="7:7" ht="16.5" customHeight="1">
      <c r="G837" s="66">
        <f>IF($D837="","",IF(COUNTIF('Config'!$N$8:$N$15,$D837)&gt;0,"Entrada",IF(COUNTIF('Config'!$P$8:$P$23,$D837)&gt;0,"Saída","Verificar")))</f>
        <v/>
      </c>
    </row>
    <row r="838" spans="7:7" ht="16.5" customHeight="1">
      <c r="G838" s="66">
        <f>IF($D838="","",IF(COUNTIF('Config'!$N$8:$N$15,$D838)&gt;0,"Entrada",IF(COUNTIF('Config'!$P$8:$P$23,$D838)&gt;0,"Saída","Verificar")))</f>
        <v/>
      </c>
    </row>
    <row r="839" spans="7:7" ht="16.5" customHeight="1">
      <c r="G839" s="66">
        <f>IF($D839="","",IF(COUNTIF('Config'!$N$8:$N$15,$D839)&gt;0,"Entrada",IF(COUNTIF('Config'!$P$8:$P$23,$D839)&gt;0,"Saída","Verificar")))</f>
        <v/>
      </c>
    </row>
    <row r="840" spans="7:7" ht="16.5" customHeight="1">
      <c r="G840" s="66">
        <f>IF($D840="","",IF(COUNTIF('Config'!$N$8:$N$15,$D840)&gt;0,"Entrada",IF(COUNTIF('Config'!$P$8:$P$23,$D840)&gt;0,"Saída","Verificar")))</f>
        <v/>
      </c>
    </row>
    <row r="841" spans="7:7" ht="16.5" customHeight="1">
      <c r="G841" s="66">
        <f>IF($D841="","",IF(COUNTIF('Config'!$N$8:$N$15,$D841)&gt;0,"Entrada",IF(COUNTIF('Config'!$P$8:$P$23,$D841)&gt;0,"Saída","Verificar")))</f>
        <v/>
      </c>
    </row>
    <row r="842" spans="7:7" ht="16.5" customHeight="1">
      <c r="G842" s="66">
        <f>IF($D842="","",IF(COUNTIF('Config'!$N$8:$N$15,$D842)&gt;0,"Entrada",IF(COUNTIF('Config'!$P$8:$P$23,$D842)&gt;0,"Saída","Verificar")))</f>
        <v/>
      </c>
    </row>
    <row r="843" spans="7:7" ht="16.5" customHeight="1">
      <c r="G843" s="66">
        <f>IF($D843="","",IF(COUNTIF('Config'!$N$8:$N$15,$D843)&gt;0,"Entrada",IF(COUNTIF('Config'!$P$8:$P$23,$D843)&gt;0,"Saída","Verificar")))</f>
        <v/>
      </c>
    </row>
    <row r="844" spans="7:7" ht="16.5" customHeight="1">
      <c r="G844" s="66">
        <f>IF($D844="","",IF(COUNTIF('Config'!$N$8:$N$15,$D844)&gt;0,"Entrada",IF(COUNTIF('Config'!$P$8:$P$23,$D844)&gt;0,"Saída","Verificar")))</f>
        <v/>
      </c>
    </row>
    <row r="845" spans="7:7" ht="16.5" customHeight="1">
      <c r="G845" s="66">
        <f>IF($D845="","",IF(COUNTIF('Config'!$N$8:$N$15,$D845)&gt;0,"Entrada",IF(COUNTIF('Config'!$P$8:$P$23,$D845)&gt;0,"Saída","Verificar")))</f>
        <v/>
      </c>
    </row>
    <row r="846" spans="7:7" ht="16.5" customHeight="1">
      <c r="G846" s="66">
        <f>IF($D846="","",IF(COUNTIF('Config'!$N$8:$N$15,$D846)&gt;0,"Entrada",IF(COUNTIF('Config'!$P$8:$P$23,$D846)&gt;0,"Saída","Verificar")))</f>
        <v/>
      </c>
    </row>
    <row r="847" spans="7:7" ht="16.5" customHeight="1">
      <c r="G847" s="66">
        <f>IF($D847="","",IF(COUNTIF('Config'!$N$8:$N$15,$D847)&gt;0,"Entrada",IF(COUNTIF('Config'!$P$8:$P$23,$D847)&gt;0,"Saída","Verificar")))</f>
        <v/>
      </c>
    </row>
    <row r="848" spans="7:7" ht="16.5" customHeight="1">
      <c r="G848" s="66">
        <f>IF($D848="","",IF(COUNTIF('Config'!$N$8:$N$15,$D848)&gt;0,"Entrada",IF(COUNTIF('Config'!$P$8:$P$23,$D848)&gt;0,"Saída","Verificar")))</f>
        <v/>
      </c>
    </row>
    <row r="849" spans="7:7" ht="16.5" customHeight="1">
      <c r="G849" s="66">
        <f>IF($D849="","",IF(COUNTIF('Config'!$N$8:$N$15,$D849)&gt;0,"Entrada",IF(COUNTIF('Config'!$P$8:$P$23,$D849)&gt;0,"Saída","Verificar")))</f>
        <v/>
      </c>
    </row>
    <row r="850" spans="7:7" ht="16.5" customHeight="1">
      <c r="G850" s="66">
        <f>IF($D850="","",IF(COUNTIF('Config'!$N$8:$N$15,$D850)&gt;0,"Entrada",IF(COUNTIF('Config'!$P$8:$P$23,$D850)&gt;0,"Saída","Verificar")))</f>
        <v/>
      </c>
    </row>
    <row r="851" spans="7:7" ht="16.5" customHeight="1">
      <c r="G851" s="66">
        <f>IF($D851="","",IF(COUNTIF('Config'!$N$8:$N$15,$D851)&gt;0,"Entrada",IF(COUNTIF('Config'!$P$8:$P$23,$D851)&gt;0,"Saída","Verificar")))</f>
        <v/>
      </c>
    </row>
    <row r="852" spans="7:7" ht="16.5" customHeight="1">
      <c r="G852" s="66">
        <f>IF($D852="","",IF(COUNTIF('Config'!$N$8:$N$15,$D852)&gt;0,"Entrada",IF(COUNTIF('Config'!$P$8:$P$23,$D852)&gt;0,"Saída","Verificar")))</f>
        <v/>
      </c>
    </row>
    <row r="853" spans="7:7" ht="16.5" customHeight="1">
      <c r="G853" s="66">
        <f>IF($D853="","",IF(COUNTIF('Config'!$N$8:$N$15,$D853)&gt;0,"Entrada",IF(COUNTIF('Config'!$P$8:$P$23,$D853)&gt;0,"Saída","Verificar")))</f>
        <v/>
      </c>
    </row>
    <row r="854" spans="7:7" ht="16.5" customHeight="1">
      <c r="G854" s="66">
        <f>IF($D854="","",IF(COUNTIF('Config'!$N$8:$N$15,$D854)&gt;0,"Entrada",IF(COUNTIF('Config'!$P$8:$P$23,$D854)&gt;0,"Saída","Verificar")))</f>
        <v/>
      </c>
    </row>
    <row r="855" spans="7:7" ht="16.5" customHeight="1">
      <c r="G855" s="66">
        <f>IF($D855="","",IF(COUNTIF('Config'!$N$8:$N$15,$D855)&gt;0,"Entrada",IF(COUNTIF('Config'!$P$8:$P$23,$D855)&gt;0,"Saída","Verificar")))</f>
        <v/>
      </c>
    </row>
    <row r="856" spans="7:7" ht="16.5" customHeight="1">
      <c r="G856" s="66">
        <f>IF($D856="","",IF(COUNTIF('Config'!$N$8:$N$15,$D856)&gt;0,"Entrada",IF(COUNTIF('Config'!$P$8:$P$23,$D856)&gt;0,"Saída","Verificar")))</f>
        <v/>
      </c>
    </row>
    <row r="857" spans="7:7" ht="16.5" customHeight="1">
      <c r="G857" s="66">
        <f>IF($D857="","",IF(COUNTIF('Config'!$N$8:$N$15,$D857)&gt;0,"Entrada",IF(COUNTIF('Config'!$P$8:$P$23,$D857)&gt;0,"Saída","Verificar")))</f>
        <v/>
      </c>
    </row>
    <row r="858" spans="7:7" ht="16.5" customHeight="1">
      <c r="G858" s="66">
        <f>IF($D858="","",IF(COUNTIF('Config'!$N$8:$N$15,$D858)&gt;0,"Entrada",IF(COUNTIF('Config'!$P$8:$P$23,$D858)&gt;0,"Saída","Verificar")))</f>
        <v/>
      </c>
    </row>
    <row r="859" spans="7:7" ht="16.5" customHeight="1">
      <c r="G859" s="66">
        <f>IF($D859="","",IF(COUNTIF('Config'!$N$8:$N$15,$D859)&gt;0,"Entrada",IF(COUNTIF('Config'!$P$8:$P$23,$D859)&gt;0,"Saída","Verificar")))</f>
        <v/>
      </c>
    </row>
    <row r="860" spans="7:7" ht="16.5" customHeight="1">
      <c r="G860" s="66">
        <f>IF($D860="","",IF(COUNTIF('Config'!$N$8:$N$15,$D860)&gt;0,"Entrada",IF(COUNTIF('Config'!$P$8:$P$23,$D860)&gt;0,"Saída","Verificar")))</f>
        <v/>
      </c>
    </row>
    <row r="861" spans="7:7" ht="16.5" customHeight="1">
      <c r="G861" s="66">
        <f>IF($D861="","",IF(COUNTIF('Config'!$N$8:$N$15,$D861)&gt;0,"Entrada",IF(COUNTIF('Config'!$P$8:$P$23,$D861)&gt;0,"Saída","Verificar")))</f>
        <v/>
      </c>
    </row>
    <row r="862" spans="7:7" ht="16.5" customHeight="1">
      <c r="G862" s="66">
        <f>IF($D862="","",IF(COUNTIF('Config'!$N$8:$N$15,$D862)&gt;0,"Entrada",IF(COUNTIF('Config'!$P$8:$P$23,$D862)&gt;0,"Saída","Verificar")))</f>
        <v/>
      </c>
    </row>
    <row r="863" spans="7:7" ht="16.5" customHeight="1">
      <c r="G863" s="66">
        <f>IF($D863="","",IF(COUNTIF('Config'!$N$8:$N$15,$D863)&gt;0,"Entrada",IF(COUNTIF('Config'!$P$8:$P$23,$D863)&gt;0,"Saída","Verificar")))</f>
        <v/>
      </c>
    </row>
    <row r="864" spans="7:7" ht="16.5" customHeight="1">
      <c r="G864" s="66">
        <f>IF($D864="","",IF(COUNTIF('Config'!$N$8:$N$15,$D864)&gt;0,"Entrada",IF(COUNTIF('Config'!$P$8:$P$23,$D864)&gt;0,"Saída","Verificar")))</f>
        <v/>
      </c>
    </row>
    <row r="865" spans="7:7" ht="16.5" customHeight="1">
      <c r="G865" s="66">
        <f>IF($D865="","",IF(COUNTIF('Config'!$N$8:$N$15,$D865)&gt;0,"Entrada",IF(COUNTIF('Config'!$P$8:$P$23,$D865)&gt;0,"Saída","Verificar")))</f>
        <v/>
      </c>
    </row>
    <row r="866" spans="7:7" ht="16.5" customHeight="1">
      <c r="G866" s="66">
        <f>IF($D866="","",IF(COUNTIF('Config'!$N$8:$N$15,$D866)&gt;0,"Entrada",IF(COUNTIF('Config'!$P$8:$P$23,$D866)&gt;0,"Saída","Verificar")))</f>
        <v/>
      </c>
    </row>
    <row r="867" spans="7:7" ht="16.5" customHeight="1">
      <c r="G867" s="66">
        <f>IF($D867="","",IF(COUNTIF('Config'!$N$8:$N$15,$D867)&gt;0,"Entrada",IF(COUNTIF('Config'!$P$8:$P$23,$D867)&gt;0,"Saída","Verificar")))</f>
        <v/>
      </c>
    </row>
    <row r="868" spans="7:7" ht="16.5" customHeight="1">
      <c r="G868" s="66">
        <f>IF($D868="","",IF(COUNTIF('Config'!$N$8:$N$15,$D868)&gt;0,"Entrada",IF(COUNTIF('Config'!$P$8:$P$23,$D868)&gt;0,"Saída","Verificar")))</f>
        <v/>
      </c>
    </row>
    <row r="869" spans="7:7" ht="16.5" customHeight="1">
      <c r="G869" s="66">
        <f>IF($D869="","",IF(COUNTIF('Config'!$N$8:$N$15,$D869)&gt;0,"Entrada",IF(COUNTIF('Config'!$P$8:$P$23,$D869)&gt;0,"Saída","Verificar")))</f>
        <v/>
      </c>
    </row>
    <row r="870" spans="7:7" ht="16.5" customHeight="1">
      <c r="G870" s="66">
        <f>IF($D870="","",IF(COUNTIF('Config'!$N$8:$N$15,$D870)&gt;0,"Entrada",IF(COUNTIF('Config'!$P$8:$P$23,$D870)&gt;0,"Saída","Verificar")))</f>
        <v/>
      </c>
    </row>
    <row r="871" spans="7:7" ht="16.5" customHeight="1">
      <c r="G871" s="66">
        <f>IF($D871="","",IF(COUNTIF('Config'!$N$8:$N$15,$D871)&gt;0,"Entrada",IF(COUNTIF('Config'!$P$8:$P$23,$D871)&gt;0,"Saída","Verificar")))</f>
        <v/>
      </c>
    </row>
    <row r="872" spans="7:7" ht="16.5" customHeight="1">
      <c r="G872" s="66">
        <f>IF($D872="","",IF(COUNTIF('Config'!$N$8:$N$15,$D872)&gt;0,"Entrada",IF(COUNTIF('Config'!$P$8:$P$23,$D872)&gt;0,"Saída","Verificar")))</f>
        <v/>
      </c>
    </row>
    <row r="873" spans="7:7" ht="16.5" customHeight="1">
      <c r="G873" s="66">
        <f>IF($D873="","",IF(COUNTIF('Config'!$N$8:$N$15,$D873)&gt;0,"Entrada",IF(COUNTIF('Config'!$P$8:$P$23,$D873)&gt;0,"Saída","Verificar")))</f>
        <v/>
      </c>
    </row>
    <row r="874" spans="7:7" ht="16.5" customHeight="1">
      <c r="G874" s="66">
        <f>IF($D874="","",IF(COUNTIF('Config'!$N$8:$N$15,$D874)&gt;0,"Entrada",IF(COUNTIF('Config'!$P$8:$P$23,$D874)&gt;0,"Saída","Verificar")))</f>
        <v/>
      </c>
    </row>
    <row r="875" spans="7:7" ht="16.5" customHeight="1">
      <c r="G875" s="66">
        <f>IF($D875="","",IF(COUNTIF('Config'!$N$8:$N$15,$D875)&gt;0,"Entrada",IF(COUNTIF('Config'!$P$8:$P$23,$D875)&gt;0,"Saída","Verificar")))</f>
        <v/>
      </c>
    </row>
    <row r="876" spans="7:7" ht="16.5" customHeight="1">
      <c r="G876" s="66">
        <f>IF($D876="","",IF(COUNTIF('Config'!$N$8:$N$15,$D876)&gt;0,"Entrada",IF(COUNTIF('Config'!$P$8:$P$23,$D876)&gt;0,"Saída","Verificar")))</f>
        <v/>
      </c>
    </row>
    <row r="877" spans="7:7" ht="16.5" customHeight="1">
      <c r="G877" s="66">
        <f>IF($D877="","",IF(COUNTIF('Config'!$N$8:$N$15,$D877)&gt;0,"Entrada",IF(COUNTIF('Config'!$P$8:$P$23,$D877)&gt;0,"Saída","Verificar")))</f>
        <v/>
      </c>
    </row>
    <row r="878" spans="7:7" ht="16.5" customHeight="1">
      <c r="G878" s="66">
        <f>IF($D878="","",IF(COUNTIF('Config'!$N$8:$N$15,$D878)&gt;0,"Entrada",IF(COUNTIF('Config'!$P$8:$P$23,$D878)&gt;0,"Saída","Verificar")))</f>
        <v/>
      </c>
    </row>
    <row r="879" spans="7:7" ht="16.5" customHeight="1">
      <c r="G879" s="66">
        <f>IF($D879="","",IF(COUNTIF('Config'!$N$8:$N$15,$D879)&gt;0,"Entrada",IF(COUNTIF('Config'!$P$8:$P$23,$D879)&gt;0,"Saída","Verificar")))</f>
        <v/>
      </c>
    </row>
    <row r="880" spans="7:7" ht="16.5" customHeight="1">
      <c r="G880" s="66">
        <f>IF($D880="","",IF(COUNTIF('Config'!$N$8:$N$15,$D880)&gt;0,"Entrada",IF(COUNTIF('Config'!$P$8:$P$23,$D880)&gt;0,"Saída","Verificar")))</f>
        <v/>
      </c>
    </row>
    <row r="881" spans="7:7" ht="16.5" customHeight="1">
      <c r="G881" s="66">
        <f>IF($D881="","",IF(COUNTIF('Config'!$N$8:$N$15,$D881)&gt;0,"Entrada",IF(COUNTIF('Config'!$P$8:$P$23,$D881)&gt;0,"Saída","Verificar")))</f>
        <v/>
      </c>
    </row>
    <row r="882" spans="7:7" ht="16.5" customHeight="1">
      <c r="G882" s="66">
        <f>IF($D882="","",IF(COUNTIF('Config'!$N$8:$N$15,$D882)&gt;0,"Entrada",IF(COUNTIF('Config'!$P$8:$P$23,$D882)&gt;0,"Saída","Verificar")))</f>
        <v/>
      </c>
    </row>
    <row r="883" spans="7:7" ht="16.5" customHeight="1">
      <c r="G883" s="66">
        <f>IF($D883="","",IF(COUNTIF('Config'!$N$8:$N$15,$D883)&gt;0,"Entrada",IF(COUNTIF('Config'!$P$8:$P$23,$D883)&gt;0,"Saída","Verificar")))</f>
        <v/>
      </c>
    </row>
    <row r="884" spans="7:7" ht="16.5" customHeight="1">
      <c r="G884" s="66">
        <f>IF($D884="","",IF(COUNTIF('Config'!$N$8:$N$15,$D884)&gt;0,"Entrada",IF(COUNTIF('Config'!$P$8:$P$23,$D884)&gt;0,"Saída","Verificar")))</f>
        <v/>
      </c>
    </row>
    <row r="885" spans="7:7" ht="16.5" customHeight="1">
      <c r="G885" s="66">
        <f>IF($D885="","",IF(COUNTIF('Config'!$N$8:$N$15,$D885)&gt;0,"Entrada",IF(COUNTIF('Config'!$P$8:$P$23,$D885)&gt;0,"Saída","Verificar")))</f>
        <v/>
      </c>
    </row>
    <row r="886" spans="7:7" ht="16.5" customHeight="1">
      <c r="G886" s="66">
        <f>IF($D886="","",IF(COUNTIF('Config'!$N$8:$N$15,$D886)&gt;0,"Entrada",IF(COUNTIF('Config'!$P$8:$P$23,$D886)&gt;0,"Saída","Verificar")))</f>
        <v/>
      </c>
    </row>
    <row r="887" spans="7:7" ht="16.5" customHeight="1">
      <c r="G887" s="66">
        <f>IF($D887="","",IF(COUNTIF('Config'!$N$8:$N$15,$D887)&gt;0,"Entrada",IF(COUNTIF('Config'!$P$8:$P$23,$D887)&gt;0,"Saída","Verificar")))</f>
        <v/>
      </c>
    </row>
    <row r="888" spans="7:7" ht="16.5" customHeight="1">
      <c r="G888" s="66">
        <f>IF($D888="","",IF(COUNTIF('Config'!$N$8:$N$15,$D888)&gt;0,"Entrada",IF(COUNTIF('Config'!$P$8:$P$23,$D888)&gt;0,"Saída","Verificar")))</f>
        <v/>
      </c>
    </row>
    <row r="889" spans="7:7" ht="16.5" customHeight="1">
      <c r="G889" s="66">
        <f>IF($D889="","",IF(COUNTIF('Config'!$N$8:$N$15,$D889)&gt;0,"Entrada",IF(COUNTIF('Config'!$P$8:$P$23,$D889)&gt;0,"Saída","Verificar")))</f>
        <v/>
      </c>
    </row>
    <row r="890" spans="7:7" ht="16.5" customHeight="1">
      <c r="G890" s="66">
        <f>IF($D890="","",IF(COUNTIF('Config'!$N$8:$N$15,$D890)&gt;0,"Entrada",IF(COUNTIF('Config'!$P$8:$P$23,$D890)&gt;0,"Saída","Verificar")))</f>
        <v/>
      </c>
    </row>
    <row r="891" spans="7:7" ht="16.5" customHeight="1">
      <c r="G891" s="66">
        <f>IF($D891="","",IF(COUNTIF('Config'!$N$8:$N$15,$D891)&gt;0,"Entrada",IF(COUNTIF('Config'!$P$8:$P$23,$D891)&gt;0,"Saída","Verificar")))</f>
        <v/>
      </c>
    </row>
    <row r="892" spans="7:7" ht="16.5" customHeight="1">
      <c r="G892" s="66">
        <f>IF($D892="","",IF(COUNTIF('Config'!$N$8:$N$15,$D892)&gt;0,"Entrada",IF(COUNTIF('Config'!$P$8:$P$23,$D892)&gt;0,"Saída","Verificar")))</f>
        <v/>
      </c>
    </row>
    <row r="893" spans="7:7" ht="16.5" customHeight="1">
      <c r="G893" s="66">
        <f>IF($D893="","",IF(COUNTIF('Config'!$N$8:$N$15,$D893)&gt;0,"Entrada",IF(COUNTIF('Config'!$P$8:$P$23,$D893)&gt;0,"Saída","Verificar")))</f>
        <v/>
      </c>
    </row>
    <row r="894" spans="7:7" ht="16.5" customHeight="1">
      <c r="G894" s="66">
        <f>IF($D894="","",IF(COUNTIF('Config'!$N$8:$N$15,$D894)&gt;0,"Entrada",IF(COUNTIF('Config'!$P$8:$P$23,$D894)&gt;0,"Saída","Verificar")))</f>
        <v/>
      </c>
    </row>
    <row r="895" spans="7:7" ht="16.5" customHeight="1">
      <c r="G895" s="66">
        <f>IF($D895="","",IF(COUNTIF('Config'!$N$8:$N$15,$D895)&gt;0,"Entrada",IF(COUNTIF('Config'!$P$8:$P$23,$D895)&gt;0,"Saída","Verificar")))</f>
        <v/>
      </c>
    </row>
    <row r="896" spans="7:7" ht="16.5" customHeight="1">
      <c r="G896" s="66">
        <f>IF($D896="","",IF(COUNTIF('Config'!$N$8:$N$15,$D896)&gt;0,"Entrada",IF(COUNTIF('Config'!$P$8:$P$23,$D896)&gt;0,"Saída","Verificar")))</f>
        <v/>
      </c>
    </row>
    <row r="897" spans="7:7" ht="16.5" customHeight="1">
      <c r="G897" s="66">
        <f>IF($D897="","",IF(COUNTIF('Config'!$N$8:$N$15,$D897)&gt;0,"Entrada",IF(COUNTIF('Config'!$P$8:$P$23,$D897)&gt;0,"Saída","Verificar")))</f>
        <v/>
      </c>
    </row>
    <row r="898" spans="7:7" ht="16.5" customHeight="1">
      <c r="G898" s="66">
        <f>IF($D898="","",IF(COUNTIF('Config'!$N$8:$N$15,$D898)&gt;0,"Entrada",IF(COUNTIF('Config'!$P$8:$P$23,$D898)&gt;0,"Saída","Verificar")))</f>
        <v/>
      </c>
    </row>
    <row r="899" spans="7:7" ht="16.5" customHeight="1">
      <c r="G899" s="66">
        <f>IF($D899="","",IF(COUNTIF('Config'!$N$8:$N$15,$D899)&gt;0,"Entrada",IF(COUNTIF('Config'!$P$8:$P$23,$D899)&gt;0,"Saída","Verificar")))</f>
        <v/>
      </c>
    </row>
    <row r="900" spans="7:7" ht="16.5" customHeight="1">
      <c r="G900" s="66">
        <f>IF($D900="","",IF(COUNTIF('Config'!$N$8:$N$15,$D900)&gt;0,"Entrada",IF(COUNTIF('Config'!$P$8:$P$23,$D900)&gt;0,"Saída","Verificar")))</f>
        <v/>
      </c>
    </row>
    <row r="901" spans="7:7" ht="16.5" customHeight="1">
      <c r="G901" s="66">
        <f>IF($D901="","",IF(COUNTIF('Config'!$N$8:$N$15,$D901)&gt;0,"Entrada",IF(COUNTIF('Config'!$P$8:$P$23,$D901)&gt;0,"Saída","Verificar")))</f>
        <v/>
      </c>
    </row>
    <row r="902" spans="7:7" ht="16.5" customHeight="1">
      <c r="G902" s="66">
        <f>IF($D902="","",IF(COUNTIF('Config'!$N$8:$N$15,$D902)&gt;0,"Entrada",IF(COUNTIF('Config'!$P$8:$P$23,$D902)&gt;0,"Saída","Verificar")))</f>
        <v/>
      </c>
    </row>
    <row r="903" spans="7:7" ht="16.5" customHeight="1">
      <c r="G903" s="66">
        <f>IF($D903="","",IF(COUNTIF('Config'!$N$8:$N$15,$D903)&gt;0,"Entrada",IF(COUNTIF('Config'!$P$8:$P$23,$D903)&gt;0,"Saída","Verificar")))</f>
        <v/>
      </c>
    </row>
    <row r="904" spans="7:7" ht="16.5" customHeight="1">
      <c r="G904" s="66">
        <f>IF($D904="","",IF(COUNTIF('Config'!$N$8:$N$15,$D904)&gt;0,"Entrada",IF(COUNTIF('Config'!$P$8:$P$23,$D904)&gt;0,"Saída","Verificar")))</f>
        <v/>
      </c>
    </row>
    <row r="905" spans="7:7" ht="16.5" customHeight="1">
      <c r="G905" s="66">
        <f>IF($D905="","",IF(COUNTIF('Config'!$N$8:$N$15,$D905)&gt;0,"Entrada",IF(COUNTIF('Config'!$P$8:$P$23,$D905)&gt;0,"Saída","Verificar")))</f>
        <v/>
      </c>
    </row>
    <row r="906" spans="7:7" ht="16.5" customHeight="1">
      <c r="G906" s="66">
        <f>IF($D906="","",IF(COUNTIF('Config'!$N$8:$N$15,$D906)&gt;0,"Entrada",IF(COUNTIF('Config'!$P$8:$P$23,$D906)&gt;0,"Saída","Verificar")))</f>
        <v/>
      </c>
    </row>
    <row r="907" spans="7:7" ht="16.5" customHeight="1">
      <c r="G907" s="66">
        <f>IF($D907="","",IF(COUNTIF('Config'!$N$8:$N$15,$D907)&gt;0,"Entrada",IF(COUNTIF('Config'!$P$8:$P$23,$D907)&gt;0,"Saída","Verificar")))</f>
        <v/>
      </c>
    </row>
    <row r="908" spans="7:7" ht="16.5" customHeight="1">
      <c r="G908" s="66">
        <f>IF($D908="","",IF(COUNTIF('Config'!$N$8:$N$15,$D908)&gt;0,"Entrada",IF(COUNTIF('Config'!$P$8:$P$23,$D908)&gt;0,"Saída","Verificar")))</f>
        <v/>
      </c>
    </row>
    <row r="909" spans="7:7" ht="16.5" customHeight="1">
      <c r="G909" s="66">
        <f>IF($D909="","",IF(COUNTIF('Config'!$N$8:$N$15,$D909)&gt;0,"Entrada",IF(COUNTIF('Config'!$P$8:$P$23,$D909)&gt;0,"Saída","Verificar")))</f>
        <v/>
      </c>
    </row>
    <row r="910" spans="7:7" ht="16.5" customHeight="1">
      <c r="G910" s="66">
        <f>IF($D910="","",IF(COUNTIF('Config'!$N$8:$N$15,$D910)&gt;0,"Entrada",IF(COUNTIF('Config'!$P$8:$P$23,$D910)&gt;0,"Saída","Verificar")))</f>
        <v/>
      </c>
    </row>
    <row r="911" spans="7:7" ht="16.5" customHeight="1">
      <c r="G911" s="66">
        <f>IF($D911="","",IF(COUNTIF('Config'!$N$8:$N$15,$D911)&gt;0,"Entrada",IF(COUNTIF('Config'!$P$8:$P$23,$D911)&gt;0,"Saída","Verificar")))</f>
        <v/>
      </c>
    </row>
    <row r="912" spans="7:7" ht="16.5" customHeight="1">
      <c r="G912" s="66">
        <f>IF($D912="","",IF(COUNTIF('Config'!$N$8:$N$15,$D912)&gt;0,"Entrada",IF(COUNTIF('Config'!$P$8:$P$23,$D912)&gt;0,"Saída","Verificar")))</f>
        <v/>
      </c>
    </row>
    <row r="913" spans="7:7" ht="16.5" customHeight="1">
      <c r="G913" s="66">
        <f>IF($D913="","",IF(COUNTIF('Config'!$N$8:$N$15,$D913)&gt;0,"Entrada",IF(COUNTIF('Config'!$P$8:$P$23,$D913)&gt;0,"Saída","Verificar")))</f>
        <v/>
      </c>
    </row>
    <row r="914" spans="7:7" ht="16.5" customHeight="1">
      <c r="G914" s="66">
        <f>IF($D914="","",IF(COUNTIF('Config'!$N$8:$N$15,$D914)&gt;0,"Entrada",IF(COUNTIF('Config'!$P$8:$P$23,$D914)&gt;0,"Saída","Verificar")))</f>
        <v/>
      </c>
    </row>
    <row r="915" spans="7:7" ht="16.5" customHeight="1">
      <c r="G915" s="66">
        <f>IF($D915="","",IF(COUNTIF('Config'!$N$8:$N$15,$D915)&gt;0,"Entrada",IF(COUNTIF('Config'!$P$8:$P$23,$D915)&gt;0,"Saída","Verificar")))</f>
        <v/>
      </c>
    </row>
    <row r="916" spans="7:7" ht="16.5" customHeight="1">
      <c r="G916" s="66">
        <f>IF($D916="","",IF(COUNTIF('Config'!$N$8:$N$15,$D916)&gt;0,"Entrada",IF(COUNTIF('Config'!$P$8:$P$23,$D916)&gt;0,"Saída","Verificar")))</f>
        <v/>
      </c>
    </row>
    <row r="917" spans="7:7" ht="16.5" customHeight="1">
      <c r="G917" s="66">
        <f>IF($D917="","",IF(COUNTIF('Config'!$N$8:$N$15,$D917)&gt;0,"Entrada",IF(COUNTIF('Config'!$P$8:$P$23,$D917)&gt;0,"Saída","Verificar")))</f>
        <v/>
      </c>
    </row>
    <row r="918" spans="7:7" ht="16.5" customHeight="1">
      <c r="G918" s="66">
        <f>IF($D918="","",IF(COUNTIF('Config'!$N$8:$N$15,$D918)&gt;0,"Entrada",IF(COUNTIF('Config'!$P$8:$P$23,$D918)&gt;0,"Saída","Verificar")))</f>
        <v/>
      </c>
    </row>
    <row r="919" spans="7:7" ht="16.5" customHeight="1">
      <c r="G919" s="66">
        <f>IF($D919="","",IF(COUNTIF('Config'!$N$8:$N$15,$D919)&gt;0,"Entrada",IF(COUNTIF('Config'!$P$8:$P$23,$D919)&gt;0,"Saída","Verificar")))</f>
        <v/>
      </c>
    </row>
    <row r="920" spans="7:7" ht="16.5" customHeight="1">
      <c r="G920" s="66">
        <f>IF($D920="","",IF(COUNTIF('Config'!$N$8:$N$15,$D920)&gt;0,"Entrada",IF(COUNTIF('Config'!$P$8:$P$23,$D920)&gt;0,"Saída","Verificar")))</f>
        <v/>
      </c>
    </row>
    <row r="921" spans="7:7" ht="16.5" customHeight="1">
      <c r="G921" s="66">
        <f>IF($D921="","",IF(COUNTIF('Config'!$N$8:$N$15,$D921)&gt;0,"Entrada",IF(COUNTIF('Config'!$P$8:$P$23,$D921)&gt;0,"Saída","Verificar")))</f>
        <v/>
      </c>
    </row>
    <row r="922" spans="7:7" ht="16.5" customHeight="1">
      <c r="G922" s="66">
        <f>IF($D922="","",IF(COUNTIF('Config'!$N$8:$N$15,$D922)&gt;0,"Entrada",IF(COUNTIF('Config'!$P$8:$P$23,$D922)&gt;0,"Saída","Verificar")))</f>
        <v/>
      </c>
    </row>
    <row r="923" spans="7:7" ht="16.5" customHeight="1">
      <c r="G923" s="66">
        <f>IF($D923="","",IF(COUNTIF('Config'!$N$8:$N$15,$D923)&gt;0,"Entrada",IF(COUNTIF('Config'!$P$8:$P$23,$D923)&gt;0,"Saída","Verificar")))</f>
        <v/>
      </c>
    </row>
    <row r="924" spans="7:7" ht="16.5" customHeight="1">
      <c r="G924" s="66">
        <f>IF($D924="","",IF(COUNTIF('Config'!$N$8:$N$15,$D924)&gt;0,"Entrada",IF(COUNTIF('Config'!$P$8:$P$23,$D924)&gt;0,"Saída","Verificar")))</f>
        <v/>
      </c>
    </row>
    <row r="925" spans="7:7" ht="16.5" customHeight="1">
      <c r="G925" s="66">
        <f>IF($D925="","",IF(COUNTIF('Config'!$N$8:$N$15,$D925)&gt;0,"Entrada",IF(COUNTIF('Config'!$P$8:$P$23,$D925)&gt;0,"Saída","Verificar")))</f>
        <v/>
      </c>
    </row>
    <row r="926" spans="7:7" ht="16.5" customHeight="1">
      <c r="G926" s="66">
        <f>IF($D926="","",IF(COUNTIF('Config'!$N$8:$N$15,$D926)&gt;0,"Entrada",IF(COUNTIF('Config'!$P$8:$P$23,$D926)&gt;0,"Saída","Verificar")))</f>
        <v/>
      </c>
    </row>
    <row r="927" spans="7:7" ht="16.5" customHeight="1">
      <c r="G927" s="66">
        <f>IF($D927="","",IF(COUNTIF('Config'!$N$8:$N$15,$D927)&gt;0,"Entrada",IF(COUNTIF('Config'!$P$8:$P$23,$D927)&gt;0,"Saída","Verificar")))</f>
        <v/>
      </c>
    </row>
    <row r="928" spans="7:7" ht="16.5" customHeight="1">
      <c r="G928" s="66">
        <f>IF($D928="","",IF(COUNTIF('Config'!$N$8:$N$15,$D928)&gt;0,"Entrada",IF(COUNTIF('Config'!$P$8:$P$23,$D928)&gt;0,"Saída","Verificar")))</f>
        <v/>
      </c>
    </row>
    <row r="929" spans="7:7" ht="16.5" customHeight="1">
      <c r="G929" s="66">
        <f>IF($D929="","",IF(COUNTIF('Config'!$N$8:$N$15,$D929)&gt;0,"Entrada",IF(COUNTIF('Config'!$P$8:$P$23,$D929)&gt;0,"Saída","Verificar")))</f>
        <v/>
      </c>
    </row>
    <row r="930" spans="7:7" ht="16.5" customHeight="1">
      <c r="G930" s="66">
        <f>IF($D930="","",IF(COUNTIF('Config'!$N$8:$N$15,$D930)&gt;0,"Entrada",IF(COUNTIF('Config'!$P$8:$P$23,$D930)&gt;0,"Saída","Verificar")))</f>
        <v/>
      </c>
    </row>
    <row r="931" spans="7:7" ht="16.5" customHeight="1">
      <c r="G931" s="66">
        <f>IF($D931="","",IF(COUNTIF('Config'!$N$8:$N$15,$D931)&gt;0,"Entrada",IF(COUNTIF('Config'!$P$8:$P$23,$D931)&gt;0,"Saída","Verificar")))</f>
        <v/>
      </c>
    </row>
    <row r="932" spans="7:7" ht="16.5" customHeight="1">
      <c r="G932" s="66">
        <f>IF($D932="","",IF(COUNTIF('Config'!$N$8:$N$15,$D932)&gt;0,"Entrada",IF(COUNTIF('Config'!$P$8:$P$23,$D932)&gt;0,"Saída","Verificar")))</f>
        <v/>
      </c>
    </row>
    <row r="933" spans="7:7" ht="16.5" customHeight="1">
      <c r="G933" s="66">
        <f>IF($D933="","",IF(COUNTIF('Config'!$N$8:$N$15,$D933)&gt;0,"Entrada",IF(COUNTIF('Config'!$P$8:$P$23,$D933)&gt;0,"Saída","Verificar")))</f>
        <v/>
      </c>
    </row>
    <row r="934" spans="7:7" ht="16.5" customHeight="1">
      <c r="G934" s="66">
        <f>IF($D934="","",IF(COUNTIF('Config'!$N$8:$N$15,$D934)&gt;0,"Entrada",IF(COUNTIF('Config'!$P$8:$P$23,$D934)&gt;0,"Saída","Verificar")))</f>
        <v/>
      </c>
    </row>
    <row r="935" spans="7:7" ht="16.5" customHeight="1">
      <c r="G935" s="66">
        <f>IF($D935="","",IF(COUNTIF('Config'!$N$8:$N$15,$D935)&gt;0,"Entrada",IF(COUNTIF('Config'!$P$8:$P$23,$D935)&gt;0,"Saída","Verificar")))</f>
        <v/>
      </c>
    </row>
    <row r="936" spans="7:7" ht="16.5" customHeight="1">
      <c r="G936" s="66">
        <f>IF($D936="","",IF(COUNTIF('Config'!$N$8:$N$15,$D936)&gt;0,"Entrada",IF(COUNTIF('Config'!$P$8:$P$23,$D936)&gt;0,"Saída","Verificar")))</f>
        <v/>
      </c>
    </row>
    <row r="937" spans="7:7" ht="16.5" customHeight="1">
      <c r="G937" s="66">
        <f>IF($D937="","",IF(COUNTIF('Config'!$N$8:$N$15,$D937)&gt;0,"Entrada",IF(COUNTIF('Config'!$P$8:$P$23,$D937)&gt;0,"Saída","Verificar")))</f>
        <v/>
      </c>
    </row>
    <row r="938" spans="7:7" ht="16.5" customHeight="1">
      <c r="G938" s="66">
        <f>IF($D938="","",IF(COUNTIF('Config'!$N$8:$N$15,$D938)&gt;0,"Entrada",IF(COUNTIF('Config'!$P$8:$P$23,$D938)&gt;0,"Saída","Verificar")))</f>
        <v/>
      </c>
    </row>
    <row r="939" spans="7:7" ht="16.5" customHeight="1">
      <c r="G939" s="66">
        <f>IF($D939="","",IF(COUNTIF('Config'!$N$8:$N$15,$D939)&gt;0,"Entrada",IF(COUNTIF('Config'!$P$8:$P$23,$D939)&gt;0,"Saída","Verificar")))</f>
        <v/>
      </c>
    </row>
    <row r="940" spans="7:7" ht="16.5" customHeight="1">
      <c r="G940" s="66">
        <f>IF($D940="","",IF(COUNTIF('Config'!$N$8:$N$15,$D940)&gt;0,"Entrada",IF(COUNTIF('Config'!$P$8:$P$23,$D940)&gt;0,"Saída","Verificar")))</f>
        <v/>
      </c>
    </row>
    <row r="941" spans="7:7" ht="16.5" customHeight="1">
      <c r="G941" s="66">
        <f>IF($D941="","",IF(COUNTIF('Config'!$N$8:$N$15,$D941)&gt;0,"Entrada",IF(COUNTIF('Config'!$P$8:$P$23,$D941)&gt;0,"Saída","Verificar")))</f>
        <v/>
      </c>
    </row>
    <row r="942" spans="7:7" ht="16.5" customHeight="1">
      <c r="G942" s="66">
        <f>IF($D942="","",IF(COUNTIF('Config'!$N$8:$N$15,$D942)&gt;0,"Entrada",IF(COUNTIF('Config'!$P$8:$P$23,$D942)&gt;0,"Saída","Verificar")))</f>
        <v/>
      </c>
    </row>
    <row r="943" spans="7:7" ht="16.5" customHeight="1">
      <c r="G943" s="66">
        <f>IF($D943="","",IF(COUNTIF('Config'!$N$8:$N$15,$D943)&gt;0,"Entrada",IF(COUNTIF('Config'!$P$8:$P$23,$D943)&gt;0,"Saída","Verificar")))</f>
        <v/>
      </c>
    </row>
    <row r="944" spans="7:7" ht="16.5" customHeight="1">
      <c r="G944" s="66">
        <f>IF($D944="","",IF(COUNTIF('Config'!$N$8:$N$15,$D944)&gt;0,"Entrada",IF(COUNTIF('Config'!$P$8:$P$23,$D944)&gt;0,"Saída","Verificar")))</f>
        <v/>
      </c>
    </row>
    <row r="945" spans="7:7" ht="16.5" customHeight="1">
      <c r="G945" s="66">
        <f>IF($D945="","",IF(COUNTIF('Config'!$N$8:$N$15,$D945)&gt;0,"Entrada",IF(COUNTIF('Config'!$P$8:$P$23,$D945)&gt;0,"Saída","Verificar")))</f>
        <v/>
      </c>
    </row>
    <row r="946" spans="7:7" ht="16.5" customHeight="1">
      <c r="G946" s="66">
        <f>IF($D946="","",IF(COUNTIF('Config'!$N$8:$N$15,$D946)&gt;0,"Entrada",IF(COUNTIF('Config'!$P$8:$P$23,$D946)&gt;0,"Saída","Verificar")))</f>
        <v/>
      </c>
    </row>
    <row r="947" spans="7:7" ht="16.5" customHeight="1">
      <c r="G947" s="66">
        <f>IF($D947="","",IF(COUNTIF('Config'!$N$8:$N$15,$D947)&gt;0,"Entrada",IF(COUNTIF('Config'!$P$8:$P$23,$D947)&gt;0,"Saída","Verificar")))</f>
        <v/>
      </c>
    </row>
    <row r="948" spans="7:7" ht="16.5" customHeight="1">
      <c r="G948" s="66">
        <f>IF($D948="","",IF(COUNTIF('Config'!$N$8:$N$15,$D948)&gt;0,"Entrada",IF(COUNTIF('Config'!$P$8:$P$23,$D948)&gt;0,"Saída","Verificar")))</f>
        <v/>
      </c>
    </row>
    <row r="949" spans="7:7" ht="16.5" customHeight="1">
      <c r="G949" s="66">
        <f>IF($D949="","",IF(COUNTIF('Config'!$N$8:$N$15,$D949)&gt;0,"Entrada",IF(COUNTIF('Config'!$P$8:$P$23,$D949)&gt;0,"Saída","Verificar")))</f>
        <v/>
      </c>
    </row>
    <row r="950" spans="7:7" ht="16.5" customHeight="1">
      <c r="G950" s="66">
        <f>IF($D950="","",IF(COUNTIF('Config'!$N$8:$N$15,$D950)&gt;0,"Entrada",IF(COUNTIF('Config'!$P$8:$P$23,$D950)&gt;0,"Saída","Verificar")))</f>
        <v/>
      </c>
    </row>
    <row r="951" spans="7:7" ht="16.5" customHeight="1">
      <c r="G951" s="66">
        <f>IF($D951="","",IF(COUNTIF('Config'!$N$8:$N$15,$D951)&gt;0,"Entrada",IF(COUNTIF('Config'!$P$8:$P$23,$D951)&gt;0,"Saída","Verificar")))</f>
        <v/>
      </c>
    </row>
    <row r="952" spans="7:7" ht="16.5" customHeight="1">
      <c r="G952" s="66">
        <f>IF($D952="","",IF(COUNTIF('Config'!$N$8:$N$15,$D952)&gt;0,"Entrada",IF(COUNTIF('Config'!$P$8:$P$23,$D952)&gt;0,"Saída","Verificar")))</f>
        <v/>
      </c>
    </row>
    <row r="953" spans="7:7" ht="16.5" customHeight="1">
      <c r="G953" s="66">
        <f>IF($D953="","",IF(COUNTIF('Config'!$N$8:$N$15,$D953)&gt;0,"Entrada",IF(COUNTIF('Config'!$P$8:$P$23,$D953)&gt;0,"Saída","Verificar")))</f>
        <v/>
      </c>
    </row>
    <row r="954" spans="7:7" ht="16.5" customHeight="1">
      <c r="G954" s="66">
        <f>IF($D954="","",IF(COUNTIF('Config'!$N$8:$N$15,$D954)&gt;0,"Entrada",IF(COUNTIF('Config'!$P$8:$P$23,$D954)&gt;0,"Saída","Verificar")))</f>
        <v/>
      </c>
    </row>
    <row r="955" spans="7:7" ht="16.5" customHeight="1">
      <c r="G955" s="66">
        <f>IF($D955="","",IF(COUNTIF('Config'!$N$8:$N$15,$D955)&gt;0,"Entrada",IF(COUNTIF('Config'!$P$8:$P$23,$D955)&gt;0,"Saída","Verificar")))</f>
        <v/>
      </c>
    </row>
    <row r="956" spans="7:7" ht="16.5" customHeight="1">
      <c r="G956" s="66">
        <f>IF($D956="","",IF(COUNTIF('Config'!$N$8:$N$15,$D956)&gt;0,"Entrada",IF(COUNTIF('Config'!$P$8:$P$23,$D956)&gt;0,"Saída","Verificar")))</f>
        <v/>
      </c>
    </row>
    <row r="957" spans="7:7" ht="16.5" customHeight="1">
      <c r="G957" s="66">
        <f>IF($D957="","",IF(COUNTIF('Config'!$N$8:$N$15,$D957)&gt;0,"Entrada",IF(COUNTIF('Config'!$P$8:$P$23,$D957)&gt;0,"Saída","Verificar")))</f>
        <v/>
      </c>
    </row>
    <row r="958" spans="7:7" ht="16.5" customHeight="1">
      <c r="G958" s="66">
        <f>IF($D958="","",IF(COUNTIF('Config'!$N$8:$N$15,$D958)&gt;0,"Entrada",IF(COUNTIF('Config'!$P$8:$P$23,$D958)&gt;0,"Saída","Verificar")))</f>
        <v/>
      </c>
    </row>
    <row r="959" spans="7:7" ht="16.5" customHeight="1">
      <c r="G959" s="66">
        <f>IF($D959="","",IF(COUNTIF('Config'!$N$8:$N$15,$D959)&gt;0,"Entrada",IF(COUNTIF('Config'!$P$8:$P$23,$D959)&gt;0,"Saída","Verificar")))</f>
        <v/>
      </c>
    </row>
    <row r="960" spans="7:7" ht="16.5" customHeight="1">
      <c r="G960" s="66">
        <f>IF($D960="","",IF(COUNTIF('Config'!$N$8:$N$15,$D960)&gt;0,"Entrada",IF(COUNTIF('Config'!$P$8:$P$23,$D960)&gt;0,"Saída","Verificar")))</f>
        <v/>
      </c>
    </row>
    <row r="961" spans="7:7" ht="16.5" customHeight="1">
      <c r="G961" s="66">
        <f>IF($D961="","",IF(COUNTIF('Config'!$N$8:$N$15,$D961)&gt;0,"Entrada",IF(COUNTIF('Config'!$P$8:$P$23,$D961)&gt;0,"Saída","Verificar")))</f>
        <v/>
      </c>
    </row>
    <row r="962" spans="7:7" ht="16.5" customHeight="1">
      <c r="G962" s="66">
        <f>IF($D962="","",IF(COUNTIF('Config'!$N$8:$N$15,$D962)&gt;0,"Entrada",IF(COUNTIF('Config'!$P$8:$P$23,$D962)&gt;0,"Saída","Verificar")))</f>
        <v/>
      </c>
    </row>
    <row r="963" spans="7:7" ht="16.5" customHeight="1">
      <c r="G963" s="66">
        <f>IF($D963="","",IF(COUNTIF('Config'!$N$8:$N$15,$D963)&gt;0,"Entrada",IF(COUNTIF('Config'!$P$8:$P$23,$D963)&gt;0,"Saída","Verificar")))</f>
        <v/>
      </c>
    </row>
    <row r="964" spans="7:7" ht="16.5" customHeight="1">
      <c r="G964" s="66">
        <f>IF($D964="","",IF(COUNTIF('Config'!$N$8:$N$15,$D964)&gt;0,"Entrada",IF(COUNTIF('Config'!$P$8:$P$23,$D964)&gt;0,"Saída","Verificar")))</f>
        <v/>
      </c>
    </row>
    <row r="965" spans="7:7" ht="16.5" customHeight="1">
      <c r="G965" s="66">
        <f>IF($D965="","",IF(COUNTIF('Config'!$N$8:$N$15,$D965)&gt;0,"Entrada",IF(COUNTIF('Config'!$P$8:$P$23,$D965)&gt;0,"Saída","Verificar")))</f>
        <v/>
      </c>
    </row>
    <row r="966" spans="7:7" ht="16.5" customHeight="1">
      <c r="G966" s="66">
        <f>IF($D966="","",IF(COUNTIF('Config'!$N$8:$N$15,$D966)&gt;0,"Entrada",IF(COUNTIF('Config'!$P$8:$P$23,$D966)&gt;0,"Saída","Verificar")))</f>
        <v/>
      </c>
    </row>
    <row r="967" spans="7:7" ht="16.5" customHeight="1">
      <c r="G967" s="66">
        <f>IF($D967="","",IF(COUNTIF('Config'!$N$8:$N$15,$D967)&gt;0,"Entrada",IF(COUNTIF('Config'!$P$8:$P$23,$D967)&gt;0,"Saída","Verificar")))</f>
        <v/>
      </c>
    </row>
    <row r="968" spans="7:7" ht="16.5" customHeight="1">
      <c r="G968" s="66">
        <f>IF($D968="","",IF(COUNTIF('Config'!$N$8:$N$15,$D968)&gt;0,"Entrada",IF(COUNTIF('Config'!$P$8:$P$23,$D968)&gt;0,"Saída","Verificar")))</f>
        <v/>
      </c>
    </row>
    <row r="969" spans="7:7" ht="16.5" customHeight="1">
      <c r="G969" s="66">
        <f>IF($D969="","",IF(COUNTIF('Config'!$N$8:$N$15,$D969)&gt;0,"Entrada",IF(COUNTIF('Config'!$P$8:$P$23,$D969)&gt;0,"Saída","Verificar")))</f>
        <v/>
      </c>
    </row>
    <row r="970" spans="7:7" ht="16.5" customHeight="1">
      <c r="G970" s="66">
        <f>IF($D970="","",IF(COUNTIF('Config'!$N$8:$N$15,$D970)&gt;0,"Entrada",IF(COUNTIF('Config'!$P$8:$P$23,$D970)&gt;0,"Saída","Verificar")))</f>
        <v/>
      </c>
    </row>
    <row r="971" spans="7:7" ht="16.5" customHeight="1">
      <c r="G971" s="66">
        <f>IF($D971="","",IF(COUNTIF('Config'!$N$8:$N$15,$D971)&gt;0,"Entrada",IF(COUNTIF('Config'!$P$8:$P$23,$D971)&gt;0,"Saída","Verificar")))</f>
        <v/>
      </c>
    </row>
    <row r="972" spans="7:7" ht="16.5" customHeight="1">
      <c r="G972" s="66">
        <f>IF($D972="","",IF(COUNTIF('Config'!$N$8:$N$15,$D972)&gt;0,"Entrada",IF(COUNTIF('Config'!$P$8:$P$23,$D972)&gt;0,"Saída","Verificar")))</f>
        <v/>
      </c>
    </row>
    <row r="973" spans="7:7" ht="16.5" customHeight="1">
      <c r="G973" s="66">
        <f>IF($D973="","",IF(COUNTIF('Config'!$N$8:$N$15,$D973)&gt;0,"Entrada",IF(COUNTIF('Config'!$P$8:$P$23,$D973)&gt;0,"Saída","Verificar")))</f>
        <v/>
      </c>
    </row>
    <row r="974" spans="7:7" ht="16.5" customHeight="1">
      <c r="G974" s="66">
        <f>IF($D974="","",IF(COUNTIF('Config'!$N$8:$N$15,$D974)&gt;0,"Entrada",IF(COUNTIF('Config'!$P$8:$P$23,$D974)&gt;0,"Saída","Verificar")))</f>
        <v/>
      </c>
    </row>
    <row r="975" spans="7:7" ht="16.5" customHeight="1">
      <c r="G975" s="66">
        <f>IF($D975="","",IF(COUNTIF('Config'!$N$8:$N$15,$D975)&gt;0,"Entrada",IF(COUNTIF('Config'!$P$8:$P$23,$D975)&gt;0,"Saída","Verificar")))</f>
        <v/>
      </c>
    </row>
    <row r="976" spans="7:7" ht="16.5" customHeight="1">
      <c r="G976" s="66">
        <f>IF($D976="","",IF(COUNTIF('Config'!$N$8:$N$15,$D976)&gt;0,"Entrada",IF(COUNTIF('Config'!$P$8:$P$23,$D976)&gt;0,"Saída","Verificar")))</f>
        <v/>
      </c>
    </row>
    <row r="977" spans="7:7" ht="16.5" customHeight="1">
      <c r="G977" s="66">
        <f>IF($D977="","",IF(COUNTIF('Config'!$N$8:$N$15,$D977)&gt;0,"Entrada",IF(COUNTIF('Config'!$P$8:$P$23,$D977)&gt;0,"Saída","Verificar")))</f>
        <v/>
      </c>
    </row>
    <row r="978" spans="7:7" ht="16.5" customHeight="1">
      <c r="G978" s="66">
        <f>IF($D978="","",IF(COUNTIF('Config'!$N$8:$N$15,$D978)&gt;0,"Entrada",IF(COUNTIF('Config'!$P$8:$P$23,$D978)&gt;0,"Saída","Verificar")))</f>
        <v/>
      </c>
    </row>
    <row r="979" spans="7:7" ht="16.5" customHeight="1">
      <c r="G979" s="66">
        <f>IF($D979="","",IF(COUNTIF('Config'!$N$8:$N$15,$D979)&gt;0,"Entrada",IF(COUNTIF('Config'!$P$8:$P$23,$D979)&gt;0,"Saída","Verificar")))</f>
        <v/>
      </c>
    </row>
    <row r="980" spans="7:7" ht="16.5" customHeight="1">
      <c r="G980" s="66">
        <f>IF($D980="","",IF(COUNTIF('Config'!$N$8:$N$15,$D980)&gt;0,"Entrada",IF(COUNTIF('Config'!$P$8:$P$23,$D980)&gt;0,"Saída","Verificar")))</f>
        <v/>
      </c>
    </row>
    <row r="981" spans="7:7" ht="16.5" customHeight="1">
      <c r="G981" s="66">
        <f>IF($D981="","",IF(COUNTIF('Config'!$N$8:$N$15,$D981)&gt;0,"Entrada",IF(COUNTIF('Config'!$P$8:$P$23,$D981)&gt;0,"Saída","Verificar")))</f>
        <v/>
      </c>
    </row>
    <row r="982" spans="7:7" ht="16.5" customHeight="1">
      <c r="G982" s="66">
        <f>IF($D982="","",IF(COUNTIF('Config'!$N$8:$N$15,$D982)&gt;0,"Entrada",IF(COUNTIF('Config'!$P$8:$P$23,$D982)&gt;0,"Saída","Verificar")))</f>
        <v/>
      </c>
    </row>
    <row r="983" spans="7:7" ht="16.5" customHeight="1">
      <c r="G983" s="66">
        <f>IF($D983="","",IF(COUNTIF('Config'!$N$8:$N$15,$D983)&gt;0,"Entrada",IF(COUNTIF('Config'!$P$8:$P$23,$D983)&gt;0,"Saída","Verificar")))</f>
        <v/>
      </c>
    </row>
    <row r="984" spans="7:7" ht="16.5" customHeight="1">
      <c r="G984" s="66">
        <f>IF($D984="","",IF(COUNTIF('Config'!$N$8:$N$15,$D984)&gt;0,"Entrada",IF(COUNTIF('Config'!$P$8:$P$23,$D984)&gt;0,"Saída","Verificar")))</f>
        <v/>
      </c>
    </row>
    <row r="985" spans="7:7" ht="16.5" customHeight="1">
      <c r="G985" s="66">
        <f>IF($D985="","",IF(COUNTIF('Config'!$N$8:$N$15,$D985)&gt;0,"Entrada",IF(COUNTIF('Config'!$P$8:$P$23,$D985)&gt;0,"Saída","Verificar")))</f>
        <v/>
      </c>
    </row>
    <row r="986" spans="7:7" ht="16.5" customHeight="1">
      <c r="G986" s="66">
        <f>IF($D986="","",IF(COUNTIF('Config'!$N$8:$N$15,$D986)&gt;0,"Entrada",IF(COUNTIF('Config'!$P$8:$P$23,$D986)&gt;0,"Saída","Verificar")))</f>
        <v/>
      </c>
    </row>
    <row r="987" spans="7:7" ht="16.5" customHeight="1">
      <c r="G987" s="66">
        <f>IF($D987="","",IF(COUNTIF('Config'!$N$8:$N$15,$D987)&gt;0,"Entrada",IF(COUNTIF('Config'!$P$8:$P$23,$D987)&gt;0,"Saída","Verificar")))</f>
        <v/>
      </c>
    </row>
    <row r="988" spans="7:7" ht="16.5" customHeight="1">
      <c r="G988" s="66">
        <f>IF($D988="","",IF(COUNTIF('Config'!$N$8:$N$15,$D988)&gt;0,"Entrada",IF(COUNTIF('Config'!$P$8:$P$23,$D988)&gt;0,"Saída","Verificar")))</f>
        <v/>
      </c>
    </row>
    <row r="989" spans="7:7" ht="16.5" customHeight="1">
      <c r="G989" s="66">
        <f>IF($D989="","",IF(COUNTIF('Config'!$N$8:$N$15,$D989)&gt;0,"Entrada",IF(COUNTIF('Config'!$P$8:$P$23,$D989)&gt;0,"Saída","Verificar")))</f>
        <v/>
      </c>
    </row>
    <row r="990" spans="7:7" ht="16.5" customHeight="1">
      <c r="G990" s="66">
        <f>IF($D990="","",IF(COUNTIF('Config'!$N$8:$N$15,$D990)&gt;0,"Entrada",IF(COUNTIF('Config'!$P$8:$P$23,$D990)&gt;0,"Saída","Verificar")))</f>
        <v/>
      </c>
    </row>
    <row r="991" spans="7:7" ht="16.5" customHeight="1">
      <c r="G991" s="66">
        <f>IF($D991="","",IF(COUNTIF('Config'!$N$8:$N$15,$D991)&gt;0,"Entrada",IF(COUNTIF('Config'!$P$8:$P$23,$D991)&gt;0,"Saída","Verificar")))</f>
        <v/>
      </c>
    </row>
    <row r="992" spans="7:7" ht="16.5" customHeight="1">
      <c r="G992" s="66">
        <f>IF($D992="","",IF(COUNTIF('Config'!$N$8:$N$15,$D992)&gt;0,"Entrada",IF(COUNTIF('Config'!$P$8:$P$23,$D992)&gt;0,"Saída","Verificar")))</f>
        <v/>
      </c>
    </row>
    <row r="993" spans="7:7" ht="16.5" customHeight="1">
      <c r="G993" s="66">
        <f>IF($D993="","",IF(COUNTIF('Config'!$N$8:$N$15,$D993)&gt;0,"Entrada",IF(COUNTIF('Config'!$P$8:$P$23,$D993)&gt;0,"Saída","Verificar")))</f>
        <v/>
      </c>
    </row>
    <row r="994" spans="7:7" ht="16.5" customHeight="1">
      <c r="G994" s="66">
        <f>IF($D994="","",IF(COUNTIF('Config'!$N$8:$N$15,$D994)&gt;0,"Entrada",IF(COUNTIF('Config'!$P$8:$P$23,$D994)&gt;0,"Saída","Verificar")))</f>
        <v/>
      </c>
    </row>
    <row r="995" spans="7:7" ht="16.5" customHeight="1">
      <c r="G995" s="66">
        <f>IF($D995="","",IF(COUNTIF('Config'!$N$8:$N$15,$D995)&gt;0,"Entrada",IF(COUNTIF('Config'!$P$8:$P$23,$D995)&gt;0,"Saída","Verificar")))</f>
        <v/>
      </c>
    </row>
    <row r="996" spans="7:7" ht="16.5" customHeight="1">
      <c r="G996" s="66">
        <f>IF($D996="","",IF(COUNTIF('Config'!$N$8:$N$15,$D996)&gt;0,"Entrada",IF(COUNTIF('Config'!$P$8:$P$23,$D996)&gt;0,"Saída","Verificar")))</f>
        <v/>
      </c>
    </row>
    <row r="997" spans="7:7" ht="16.5" customHeight="1">
      <c r="G997" s="66">
        <f>IF($D997="","",IF(COUNTIF('Config'!$N$8:$N$15,$D997)&gt;0,"Entrada",IF(COUNTIF('Config'!$P$8:$P$23,$D997)&gt;0,"Saída","Verificar")))</f>
        <v/>
      </c>
    </row>
    <row r="998" spans="7:7" ht="16.5" customHeight="1">
      <c r="G998" s="66">
        <f>IF($D998="","",IF(COUNTIF('Config'!$N$8:$N$15,$D998)&gt;0,"Entrada",IF(COUNTIF('Config'!$P$8:$P$23,$D998)&gt;0,"Saída","Verificar")))</f>
        <v/>
      </c>
    </row>
    <row r="999" spans="7:7" ht="16.5" customHeight="1">
      <c r="G999" s="66">
        <f>IF($D999="","",IF(COUNTIF('Config'!$N$8:$N$15,$D999)&gt;0,"Entrada",IF(COUNTIF('Config'!$P$8:$P$23,$D999)&gt;0,"Saída","Verificar")))</f>
        <v/>
      </c>
    </row>
    <row r="1000" spans="7:7" ht="16.5" customHeight="1">
      <c r="G1000" s="66">
        <f>IF($D1000="","",IF(COUNTIF('Config'!$N$8:$N$15,$D1000)&gt;0,"Entrada",IF(COUNTIF('Config'!$P$8:$P$23,$D1000)&gt;0,"Saída","Verificar")))</f>
        <v/>
      </c>
    </row>
    <row r="1001" spans="7:7" ht="16.5" customHeight="1">
      <c r="G1001" s="66">
        <f>IF($D1001="","",IF(COUNTIF('Config'!$N$8:$N$15,$D1001)&gt;0,"Entrada",IF(COUNTIF('Config'!$P$8:$P$23,$D1001)&gt;0,"Saída","Verificar")))</f>
        <v/>
      </c>
    </row>
    <row r="1002" spans="7:7" ht="16.5" customHeight="1">
      <c r="G1002" s="66">
        <f>IF($D1002="","",IF(COUNTIF('Config'!$N$8:$N$15,$D1002)&gt;0,"Entrada",IF(COUNTIF('Config'!$P$8:$P$23,$D1002)&gt;0,"Saída","Verificar")))</f>
        <v/>
      </c>
    </row>
    <row r="1003" spans="7:7" ht="16.5" customHeight="1">
      <c r="G1003" s="66">
        <f>IF($D1003="","",IF(COUNTIF('Config'!$N$8:$N$15,$D1003)&gt;0,"Entrada",IF(COUNTIF('Config'!$P$8:$P$23,$D1003)&gt;0,"Saída","Verificar")))</f>
        <v/>
      </c>
    </row>
    <row r="1004" spans="7:7" ht="16.5" customHeight="1">
      <c r="G1004" s="66">
        <f>IF($D1004="","",IF(COUNTIF('Config'!$N$8:$N$15,$D1004)&gt;0,"Entrada",IF(COUNTIF('Config'!$P$8:$P$23,$D1004)&gt;0,"Saída","Verificar")))</f>
        <v/>
      </c>
    </row>
    <row r="1005" spans="7:7" ht="16.5" customHeight="1">
      <c r="G1005" s="66">
        <f>IF($D1005="","",IF(COUNTIF('Config'!$N$8:$N$15,$D1005)&gt;0,"Entrada",IF(COUNTIF('Config'!$P$8:$P$23,$D1005)&gt;0,"Saída","Verificar")))</f>
        <v/>
      </c>
    </row>
    <row r="1006" spans="7:7" ht="16.5" customHeight="1">
      <c r="G1006" s="66">
        <f>IF($D1006="","",IF(COUNTIF('Config'!$N$8:$N$15,$D1006)&gt;0,"Entrada",IF(COUNTIF('Config'!$P$8:$P$23,$D1006)&gt;0,"Saída","Verificar")))</f>
        <v/>
      </c>
    </row>
    <row r="1007" spans="7:7" ht="16.5" customHeight="1">
      <c r="G1007" s="66">
        <f>IF($D1007="","",IF(COUNTIF('Config'!$N$8:$N$15,$D1007)&gt;0,"Entrada",IF(COUNTIF('Config'!$P$8:$P$23,$D1007)&gt;0,"Saída","Verificar")))</f>
        <v/>
      </c>
    </row>
    <row r="1008" spans="7:7" ht="16.5" customHeight="1">
      <c r="G1008" s="66">
        <f>IF($D1008="","",IF(COUNTIF('Config'!$N$8:$N$15,$D1008)&gt;0,"Entrada",IF(COUNTIF('Config'!$P$8:$P$23,$D1008)&gt;0,"Saída","Verificar")))</f>
        <v/>
      </c>
    </row>
    <row r="1009" spans="7:7" ht="16.5" customHeight="1">
      <c r="G1009" s="66">
        <f>IF($D1009="","",IF(COUNTIF('Config'!$N$8:$N$15,$D1009)&gt;0,"Entrada",IF(COUNTIF('Config'!$P$8:$P$23,$D1009)&gt;0,"Saída","Verificar")))</f>
        <v/>
      </c>
    </row>
    <row r="1010" spans="7:7" ht="16.5" customHeight="1">
      <c r="G1010" s="66">
        <f>IF($D1010="","",IF(COUNTIF('Config'!$N$8:$N$15,$D1010)&gt;0,"Entrada",IF(COUNTIF('Config'!$P$8:$P$23,$D1010)&gt;0,"Saída","Verificar")))</f>
        <v/>
      </c>
    </row>
    <row r="1011" spans="7:7" ht="16.5" customHeight="1">
      <c r="G1011" s="66">
        <f>IF($D1011="","",IF(COUNTIF('Config'!$N$8:$N$15,$D1011)&gt;0,"Entrada",IF(COUNTIF('Config'!$P$8:$P$23,$D1011)&gt;0,"Saída","Verificar")))</f>
        <v/>
      </c>
    </row>
    <row r="1012" spans="7:7" ht="16.5" customHeight="1">
      <c r="G1012" s="66">
        <f>IF($D1012="","",IF(COUNTIF('Config'!$N$8:$N$15,$D1012)&gt;0,"Entrada",IF(COUNTIF('Config'!$P$8:$P$23,$D1012)&gt;0,"Saída","Verificar")))</f>
        <v/>
      </c>
    </row>
    <row r="1013" spans="7:7" ht="16.5" customHeight="1">
      <c r="G1013" s="66">
        <f>IF($D1013="","",IF(COUNTIF('Config'!$N$8:$N$15,$D1013)&gt;0,"Entrada",IF(COUNTIF('Config'!$P$8:$P$23,$D1013)&gt;0,"Saída","Verificar")))</f>
        <v/>
      </c>
    </row>
    <row r="1014" spans="7:7" ht="16.5" customHeight="1">
      <c r="G1014" s="66">
        <f>IF($D1014="","",IF(COUNTIF('Config'!$N$8:$N$15,$D1014)&gt;0,"Entrada",IF(COUNTIF('Config'!$P$8:$P$23,$D1014)&gt;0,"Saída","Verificar")))</f>
        <v/>
      </c>
    </row>
    <row r="1015" spans="7:7" ht="16.5" customHeight="1">
      <c r="G1015" s="66">
        <f>IF($D1015="","",IF(COUNTIF('Config'!$N$8:$N$15,$D1015)&gt;0,"Entrada",IF(COUNTIF('Config'!$P$8:$P$23,$D1015)&gt;0,"Saída","Verificar")))</f>
        <v/>
      </c>
    </row>
    <row r="1016" spans="7:7" ht="16.5" customHeight="1">
      <c r="G1016" s="66">
        <f>IF($D1016="","",IF(COUNTIF('Config'!$N$8:$N$15,$D1016)&gt;0,"Entrada",IF(COUNTIF('Config'!$P$8:$P$23,$D1016)&gt;0,"Saída","Verificar")))</f>
        <v/>
      </c>
    </row>
    <row r="1017" spans="7:7" ht="16.5" customHeight="1">
      <c r="G1017" s="66">
        <f>IF($D1017="","",IF(COUNTIF('Config'!$N$8:$N$15,$D1017)&gt;0,"Entrada",IF(COUNTIF('Config'!$P$8:$P$23,$D1017)&gt;0,"Saída","Verificar")))</f>
        <v/>
      </c>
    </row>
    <row r="1018" spans="7:7" ht="16.5" customHeight="1">
      <c r="G1018" s="66">
        <f>IF($D1018="","",IF(COUNTIF('Config'!$N$8:$N$15,$D1018)&gt;0,"Entrada",IF(COUNTIF('Config'!$P$8:$P$23,$D1018)&gt;0,"Saída","Verificar")))</f>
        <v/>
      </c>
    </row>
    <row r="1019" spans="7:7" ht="16.5" customHeight="1">
      <c r="G1019" s="66">
        <f>IF($D1019="","",IF(COUNTIF('Config'!$N$8:$N$15,$D1019)&gt;0,"Entrada",IF(COUNTIF('Config'!$P$8:$P$23,$D1019)&gt;0,"Saída","Verificar")))</f>
        <v/>
      </c>
    </row>
    <row r="1020" spans="7:7" ht="16.5" customHeight="1">
      <c r="G1020" s="66">
        <f>IF($D1020="","",IF(COUNTIF('Config'!$N$8:$N$15,$D1020)&gt;0,"Entrada",IF(COUNTIF('Config'!$P$8:$P$23,$D1020)&gt;0,"Saída","Verificar")))</f>
        <v/>
      </c>
    </row>
    <row r="1021" spans="7:7" ht="16.5" customHeight="1">
      <c r="G1021" s="66">
        <f>IF($D1021="","",IF(COUNTIF('Config'!$N$8:$N$15,$D1021)&gt;0,"Entrada",IF(COUNTIF('Config'!$P$8:$P$23,$D1021)&gt;0,"Saída","Verificar")))</f>
        <v/>
      </c>
    </row>
    <row r="1022" spans="7:7" ht="16.5" customHeight="1">
      <c r="G1022" s="66">
        <f>IF($D1022="","",IF(COUNTIF('Config'!$N$8:$N$15,$D1022)&gt;0,"Entrada",IF(COUNTIF('Config'!$P$8:$P$23,$D1022)&gt;0,"Saída","Verificar")))</f>
        <v/>
      </c>
    </row>
    <row r="1023" spans="7:7" ht="16.5" customHeight="1">
      <c r="G1023" s="66">
        <f>IF($D1023="","",IF(COUNTIF('Config'!$N$8:$N$15,$D1023)&gt;0,"Entrada",IF(COUNTIF('Config'!$P$8:$P$23,$D1023)&gt;0,"Saída","Verificar")))</f>
        <v/>
      </c>
    </row>
    <row r="1024" spans="7:7" ht="16.5" customHeight="1">
      <c r="G1024" s="66">
        <f>IF($D1024="","",IF(COUNTIF('Config'!$N$8:$N$15,$D1024)&gt;0,"Entrada",IF(COUNTIF('Config'!$P$8:$P$23,$D1024)&gt;0,"Saída","Verificar")))</f>
        <v/>
      </c>
    </row>
    <row r="1025" spans="7:7" ht="16.5" customHeight="1">
      <c r="G1025" s="66">
        <f>IF($D1025="","",IF(COUNTIF('Config'!$N$8:$N$15,$D1025)&gt;0,"Entrada",IF(COUNTIF('Config'!$P$8:$P$23,$D1025)&gt;0,"Saída","Verificar")))</f>
        <v/>
      </c>
    </row>
    <row r="1026" spans="7:7" ht="16.5" customHeight="1">
      <c r="G1026" s="66">
        <f>IF($D1026="","",IF(COUNTIF('Config'!$N$8:$N$15,$D1026)&gt;0,"Entrada",IF(COUNTIF('Config'!$P$8:$P$23,$D1026)&gt;0,"Saída","Verificar")))</f>
        <v/>
      </c>
    </row>
    <row r="1027" spans="7:7" ht="16.5" customHeight="1">
      <c r="G1027" s="66">
        <f>IF($D1027="","",IF(COUNTIF('Config'!$N$8:$N$15,$D1027)&gt;0,"Entrada",IF(COUNTIF('Config'!$P$8:$P$23,$D1027)&gt;0,"Saída","Verificar")))</f>
        <v/>
      </c>
    </row>
    <row r="1028" spans="7:7" ht="16.5" customHeight="1">
      <c r="G1028" s="66">
        <f>IF($D1028="","",IF(COUNTIF('Config'!$N$8:$N$15,$D1028)&gt;0,"Entrada",IF(COUNTIF('Config'!$P$8:$P$23,$D1028)&gt;0,"Saída","Verificar")))</f>
        <v/>
      </c>
    </row>
    <row r="1029" spans="7:7" ht="16.5" customHeight="1">
      <c r="G1029" s="66">
        <f>IF($D1029="","",IF(COUNTIF('Config'!$N$8:$N$15,$D1029)&gt;0,"Entrada",IF(COUNTIF('Config'!$P$8:$P$23,$D1029)&gt;0,"Saída","Verificar")))</f>
        <v/>
      </c>
    </row>
    <row r="1030" spans="7:7" ht="16.5" customHeight="1">
      <c r="G1030" s="66">
        <f>IF($D1030="","",IF(COUNTIF('Config'!$N$8:$N$15,$D1030)&gt;0,"Entrada",IF(COUNTIF('Config'!$P$8:$P$23,$D1030)&gt;0,"Saída","Verificar")))</f>
        <v/>
      </c>
    </row>
    <row r="1031" spans="7:7" ht="16.5" customHeight="1">
      <c r="G1031" s="66">
        <f>IF($D1031="","",IF(COUNTIF('Config'!$N$8:$N$15,$D1031)&gt;0,"Entrada",IF(COUNTIF('Config'!$P$8:$P$23,$D1031)&gt;0,"Saída","Verificar")))</f>
        <v/>
      </c>
    </row>
    <row r="1032" spans="7:7" ht="16.5" customHeight="1">
      <c r="G1032" s="66">
        <f>IF($D1032="","",IF(COUNTIF('Config'!$N$8:$N$15,$D1032)&gt;0,"Entrada",IF(COUNTIF('Config'!$P$8:$P$23,$D1032)&gt;0,"Saída","Verificar")))</f>
        <v/>
      </c>
    </row>
    <row r="1033" spans="7:7" ht="16.5" customHeight="1">
      <c r="G1033" s="66">
        <f>IF($D1033="","",IF(COUNTIF('Config'!$N$8:$N$15,$D1033)&gt;0,"Entrada",IF(COUNTIF('Config'!$P$8:$P$23,$D1033)&gt;0,"Saída","Verificar")))</f>
        <v/>
      </c>
    </row>
    <row r="1034" spans="7:7" ht="16.5" customHeight="1">
      <c r="G1034" s="66">
        <f>IF($D1034="","",IF(COUNTIF('Config'!$N$8:$N$15,$D1034)&gt;0,"Entrada",IF(COUNTIF('Config'!$P$8:$P$23,$D1034)&gt;0,"Saída","Verificar")))</f>
        <v/>
      </c>
    </row>
    <row r="1035" spans="7:7" ht="16.5" customHeight="1">
      <c r="G1035" s="66">
        <f>IF($D1035="","",IF(COUNTIF('Config'!$N$8:$N$15,$D1035)&gt;0,"Entrada",IF(COUNTIF('Config'!$P$8:$P$23,$D1035)&gt;0,"Saída","Verificar")))</f>
        <v/>
      </c>
    </row>
    <row r="1036" spans="7:7" ht="16.5" customHeight="1">
      <c r="G1036" s="66">
        <f>IF($D1036="","",IF(COUNTIF('Config'!$N$8:$N$15,$D1036)&gt;0,"Entrada",IF(COUNTIF('Config'!$P$8:$P$23,$D1036)&gt;0,"Saída","Verificar")))</f>
        <v/>
      </c>
    </row>
    <row r="1037" spans="7:7" ht="16.5" customHeight="1">
      <c r="G1037" s="66">
        <f>IF($D1037="","",IF(COUNTIF('Config'!$N$8:$N$15,$D1037)&gt;0,"Entrada",IF(COUNTIF('Config'!$P$8:$P$23,$D1037)&gt;0,"Saída","Verificar")))</f>
        <v/>
      </c>
    </row>
    <row r="1038" spans="7:7" ht="16.5" customHeight="1">
      <c r="G1038" s="66">
        <f>IF($D1038="","",IF(COUNTIF('Config'!$N$8:$N$15,$D1038)&gt;0,"Entrada",IF(COUNTIF('Config'!$P$8:$P$23,$D1038)&gt;0,"Saída","Verificar")))</f>
        <v/>
      </c>
    </row>
    <row r="1039" spans="7:7" ht="16.5" customHeight="1">
      <c r="G1039" s="66">
        <f>IF($D1039="","",IF(COUNTIF('Config'!$N$8:$N$15,$D1039)&gt;0,"Entrada",IF(COUNTIF('Config'!$P$8:$P$23,$D1039)&gt;0,"Saída","Verificar")))</f>
        <v/>
      </c>
    </row>
    <row r="1040" spans="7:7" ht="16.5" customHeight="1">
      <c r="G1040" s="66">
        <f>IF($D1040="","",IF(COUNTIF('Config'!$N$8:$N$15,$D1040)&gt;0,"Entrada",IF(COUNTIF('Config'!$P$8:$P$23,$D1040)&gt;0,"Saída","Verificar")))</f>
        <v/>
      </c>
    </row>
    <row r="1041" spans="7:7" ht="16.5" customHeight="1">
      <c r="G1041" s="66">
        <f>IF($D1041="","",IF(COUNTIF('Config'!$N$8:$N$15,$D1041)&gt;0,"Entrada",IF(COUNTIF('Config'!$P$8:$P$23,$D1041)&gt;0,"Saída","Verificar")))</f>
        <v/>
      </c>
    </row>
    <row r="1042" spans="7:7" ht="16.5" customHeight="1">
      <c r="G1042" s="66">
        <f>IF($D1042="","",IF(COUNTIF('Config'!$N$8:$N$15,$D1042)&gt;0,"Entrada",IF(COUNTIF('Config'!$P$8:$P$23,$D1042)&gt;0,"Saída","Verificar")))</f>
        <v/>
      </c>
    </row>
    <row r="1043" spans="7:7" ht="16.5" customHeight="1">
      <c r="G1043" s="66">
        <f>IF($D1043="","",IF(COUNTIF('Config'!$N$8:$N$15,$D1043)&gt;0,"Entrada",IF(COUNTIF('Config'!$P$8:$P$23,$D1043)&gt;0,"Saída","Verificar")))</f>
        <v/>
      </c>
    </row>
    <row r="1044" spans="7:7" ht="16.5" customHeight="1">
      <c r="G1044" s="66">
        <f>IF($D1044="","",IF(COUNTIF('Config'!$N$8:$N$15,$D1044)&gt;0,"Entrada",IF(COUNTIF('Config'!$P$8:$P$23,$D1044)&gt;0,"Saída","Verificar")))</f>
        <v/>
      </c>
    </row>
    <row r="1045" spans="7:7" ht="16.5" customHeight="1">
      <c r="G1045" s="66">
        <f>IF($D1045="","",IF(COUNTIF('Config'!$N$8:$N$15,$D1045)&gt;0,"Entrada",IF(COUNTIF('Config'!$P$8:$P$23,$D1045)&gt;0,"Saída","Verificar")))</f>
        <v/>
      </c>
    </row>
    <row r="1046" spans="7:7" ht="16.5" customHeight="1">
      <c r="G1046" s="66">
        <f>IF($D1046="","",IF(COUNTIF('Config'!$N$8:$N$15,$D1046)&gt;0,"Entrada",IF(COUNTIF('Config'!$P$8:$P$23,$D1046)&gt;0,"Saída","Verificar")))</f>
        <v/>
      </c>
    </row>
    <row r="1047" spans="7:7" ht="16.5" customHeight="1">
      <c r="G1047" s="66">
        <f>IF($D1047="","",IF(COUNTIF('Config'!$N$8:$N$15,$D1047)&gt;0,"Entrada",IF(COUNTIF('Config'!$P$8:$P$23,$D1047)&gt;0,"Saída","Verificar")))</f>
        <v/>
      </c>
    </row>
    <row r="1048" spans="7:7" ht="16.5" customHeight="1">
      <c r="G1048" s="66">
        <f>IF($D1048="","",IF(COUNTIF('Config'!$N$8:$N$15,$D1048)&gt;0,"Entrada",IF(COUNTIF('Config'!$P$8:$P$23,$D1048)&gt;0,"Saída","Verificar")))</f>
        <v/>
      </c>
    </row>
    <row r="1049" spans="7:7" ht="16.5" customHeight="1">
      <c r="G1049" s="66">
        <f>IF($D1049="","",IF(COUNTIF('Config'!$N$8:$N$15,$D1049)&gt;0,"Entrada",IF(COUNTIF('Config'!$P$8:$P$23,$D1049)&gt;0,"Saída","Verificar")))</f>
        <v/>
      </c>
    </row>
    <row r="1050" spans="7:7" ht="16.5" customHeight="1">
      <c r="G1050" s="66">
        <f>IF($D1050="","",IF(COUNTIF('Config'!$N$8:$N$15,$D1050)&gt;0,"Entrada",IF(COUNTIF('Config'!$P$8:$P$23,$D1050)&gt;0,"Saída","Verificar")))</f>
        <v/>
      </c>
    </row>
    <row r="1051" spans="7:7" ht="16.5" customHeight="1">
      <c r="G1051" s="66">
        <f>IF($D1051="","",IF(COUNTIF('Config'!$N$8:$N$15,$D1051)&gt;0,"Entrada",IF(COUNTIF('Config'!$P$8:$P$23,$D1051)&gt;0,"Saída","Verificar")))</f>
        <v/>
      </c>
    </row>
    <row r="1052" spans="7:7" ht="16.5" customHeight="1">
      <c r="G1052" s="66">
        <f>IF($D1052="","",IF(COUNTIF('Config'!$N$8:$N$15,$D1052)&gt;0,"Entrada",IF(COUNTIF('Config'!$P$8:$P$23,$D1052)&gt;0,"Saída","Verificar")))</f>
        <v/>
      </c>
    </row>
    <row r="1053" spans="7:7" ht="16.5" customHeight="1">
      <c r="G1053" s="66">
        <f>IF($D1053="","",IF(COUNTIF('Config'!$N$8:$N$15,$D1053)&gt;0,"Entrada",IF(COUNTIF('Config'!$P$8:$P$23,$D1053)&gt;0,"Saída","Verificar")))</f>
        <v/>
      </c>
    </row>
    <row r="1054" spans="7:7" ht="16.5" customHeight="1">
      <c r="G1054" s="66">
        <f>IF($D1054="","",IF(COUNTIF('Config'!$N$8:$N$15,$D1054)&gt;0,"Entrada",IF(COUNTIF('Config'!$P$8:$P$23,$D1054)&gt;0,"Saída","Verificar")))</f>
        <v/>
      </c>
    </row>
    <row r="1055" spans="7:7" ht="16.5" customHeight="1">
      <c r="G1055" s="66">
        <f>IF($D1055="","",IF(COUNTIF('Config'!$N$8:$N$15,$D1055)&gt;0,"Entrada",IF(COUNTIF('Config'!$P$8:$P$23,$D1055)&gt;0,"Saída","Verificar")))</f>
        <v/>
      </c>
    </row>
    <row r="1056" spans="7:7" ht="16.5" customHeight="1">
      <c r="G1056" s="66">
        <f>IF($D1056="","",IF(COUNTIF('Config'!$N$8:$N$15,$D1056)&gt;0,"Entrada",IF(COUNTIF('Config'!$P$8:$P$23,$D1056)&gt;0,"Saída","Verificar")))</f>
        <v/>
      </c>
    </row>
    <row r="1057" spans="7:7" ht="16.5" customHeight="1">
      <c r="G1057" s="66">
        <f>IF($D1057="","",IF(COUNTIF('Config'!$N$8:$N$15,$D1057)&gt;0,"Entrada",IF(COUNTIF('Config'!$P$8:$P$23,$D1057)&gt;0,"Saída","Verificar")))</f>
        <v/>
      </c>
    </row>
    <row r="1058" spans="7:7" ht="16.5" customHeight="1">
      <c r="G1058" s="66">
        <f>IF($D1058="","",IF(COUNTIF('Config'!$N$8:$N$15,$D1058)&gt;0,"Entrada",IF(COUNTIF('Config'!$P$8:$P$23,$D1058)&gt;0,"Saída","Verificar")))</f>
        <v/>
      </c>
    </row>
    <row r="1059" spans="7:7" ht="16.5" customHeight="1">
      <c r="G1059" s="66">
        <f>IF($D1059="","",IF(COUNTIF('Config'!$N$8:$N$15,$D1059)&gt;0,"Entrada",IF(COUNTIF('Config'!$P$8:$P$23,$D1059)&gt;0,"Saída","Verificar")))</f>
        <v/>
      </c>
    </row>
    <row r="1060" spans="7:7" ht="16.5" customHeight="1">
      <c r="G1060" s="66">
        <f>IF($D1060="","",IF(COUNTIF('Config'!$N$8:$N$15,$D1060)&gt;0,"Entrada",IF(COUNTIF('Config'!$P$8:$P$23,$D1060)&gt;0,"Saída","Verificar")))</f>
        <v/>
      </c>
    </row>
    <row r="1061" spans="7:7" ht="16.5" customHeight="1">
      <c r="G1061" s="66">
        <f>IF($D1061="","",IF(COUNTIF('Config'!$N$8:$N$15,$D1061)&gt;0,"Entrada",IF(COUNTIF('Config'!$P$8:$P$23,$D1061)&gt;0,"Saída","Verificar")))</f>
        <v/>
      </c>
    </row>
    <row r="1062" spans="7:7" ht="16.5" customHeight="1">
      <c r="G1062" s="66">
        <f>IF($D1062="","",IF(COUNTIF('Config'!$N$8:$N$15,$D1062)&gt;0,"Entrada",IF(COUNTIF('Config'!$P$8:$P$23,$D1062)&gt;0,"Saída","Verificar")))</f>
        <v/>
      </c>
    </row>
    <row r="1063" spans="7:7" ht="16.5" customHeight="1">
      <c r="G1063" s="66">
        <f>IF($D1063="","",IF(COUNTIF('Config'!$N$8:$N$15,$D1063)&gt;0,"Entrada",IF(COUNTIF('Config'!$P$8:$P$23,$D1063)&gt;0,"Saída","Verificar")))</f>
        <v/>
      </c>
    </row>
    <row r="1064" spans="7:7" ht="16.5" customHeight="1">
      <c r="G1064" s="66">
        <f>IF($D1064="","",IF(COUNTIF('Config'!$N$8:$N$15,$D1064)&gt;0,"Entrada",IF(COUNTIF('Config'!$P$8:$P$23,$D1064)&gt;0,"Saída","Verificar")))</f>
        <v/>
      </c>
    </row>
    <row r="1065" spans="7:7" ht="16.5" customHeight="1">
      <c r="G1065" s="66">
        <f>IF($D1065="","",IF(COUNTIF('Config'!$N$8:$N$15,$D1065)&gt;0,"Entrada",IF(COUNTIF('Config'!$P$8:$P$23,$D1065)&gt;0,"Saída","Verificar")))</f>
        <v/>
      </c>
    </row>
    <row r="1066" spans="7:7" ht="16.5" customHeight="1">
      <c r="G1066" s="66">
        <f>IF($D1066="","",IF(COUNTIF('Config'!$N$8:$N$15,$D1066)&gt;0,"Entrada",IF(COUNTIF('Config'!$P$8:$P$23,$D1066)&gt;0,"Saída","Verificar")))</f>
        <v/>
      </c>
    </row>
    <row r="1067" spans="7:7" ht="16.5" customHeight="1">
      <c r="G1067" s="66">
        <f>IF($D1067="","",IF(COUNTIF('Config'!$N$8:$N$15,$D1067)&gt;0,"Entrada",IF(COUNTIF('Config'!$P$8:$P$23,$D1067)&gt;0,"Saída","Verificar")))</f>
        <v/>
      </c>
    </row>
    <row r="1068" spans="7:7" ht="16.5" customHeight="1">
      <c r="G1068" s="66">
        <f>IF($D1068="","",IF(COUNTIF('Config'!$N$8:$N$15,$D1068)&gt;0,"Entrada",IF(COUNTIF('Config'!$P$8:$P$23,$D1068)&gt;0,"Saída","Verificar")))</f>
        <v/>
      </c>
    </row>
    <row r="1069" spans="7:7" ht="16.5" customHeight="1">
      <c r="G1069" s="66">
        <f>IF($D1069="","",IF(COUNTIF('Config'!$N$8:$N$15,$D1069)&gt;0,"Entrada",IF(COUNTIF('Config'!$P$8:$P$23,$D1069)&gt;0,"Saída","Verificar")))</f>
        <v/>
      </c>
    </row>
    <row r="1070" spans="7:7" ht="16.5" customHeight="1">
      <c r="G1070" s="66">
        <f>IF($D1070="","",IF(COUNTIF('Config'!$N$8:$N$15,$D1070)&gt;0,"Entrada",IF(COUNTIF('Config'!$P$8:$P$23,$D1070)&gt;0,"Saída","Verificar")))</f>
        <v/>
      </c>
    </row>
    <row r="1071" spans="7:7" ht="16.5" customHeight="1">
      <c r="G1071" s="66">
        <f>IF($D1071="","",IF(COUNTIF('Config'!$N$8:$N$15,$D1071)&gt;0,"Entrada",IF(COUNTIF('Config'!$P$8:$P$23,$D1071)&gt;0,"Saída","Verificar")))</f>
        <v/>
      </c>
    </row>
    <row r="1072" spans="7:7" ht="16.5" customHeight="1">
      <c r="G1072" s="66">
        <f>IF($D1072="","",IF(COUNTIF('Config'!$N$8:$N$15,$D1072)&gt;0,"Entrada",IF(COUNTIF('Config'!$P$8:$P$23,$D1072)&gt;0,"Saída","Verificar")))</f>
        <v/>
      </c>
    </row>
    <row r="1073" spans="7:7" ht="16.5" customHeight="1">
      <c r="G1073" s="66">
        <f>IF($D1073="","",IF(COUNTIF('Config'!$N$8:$N$15,$D1073)&gt;0,"Entrada",IF(COUNTIF('Config'!$P$8:$P$23,$D1073)&gt;0,"Saída","Verificar")))</f>
        <v/>
      </c>
    </row>
    <row r="1074" spans="7:7" ht="16.5" customHeight="1">
      <c r="G1074" s="66">
        <f>IF($D1074="","",IF(COUNTIF('Config'!$N$8:$N$15,$D1074)&gt;0,"Entrada",IF(COUNTIF('Config'!$P$8:$P$23,$D1074)&gt;0,"Saída","Verificar")))</f>
        <v/>
      </c>
    </row>
    <row r="1075" spans="7:7" ht="16.5" customHeight="1">
      <c r="G1075" s="66">
        <f>IF($D1075="","",IF(COUNTIF('Config'!$N$8:$N$15,$D1075)&gt;0,"Entrada",IF(COUNTIF('Config'!$P$8:$P$23,$D1075)&gt;0,"Saída","Verificar")))</f>
        <v/>
      </c>
    </row>
    <row r="1076" spans="7:7" ht="16.5" customHeight="1">
      <c r="G1076" s="66">
        <f>IF($D1076="","",IF(COUNTIF('Config'!$N$8:$N$15,$D1076)&gt;0,"Entrada",IF(COUNTIF('Config'!$P$8:$P$23,$D1076)&gt;0,"Saída","Verificar")))</f>
        <v/>
      </c>
    </row>
    <row r="1077" spans="7:7" ht="16.5" customHeight="1">
      <c r="G1077" s="66">
        <f>IF($D1077="","",IF(COUNTIF('Config'!$N$8:$N$15,$D1077)&gt;0,"Entrada",IF(COUNTIF('Config'!$P$8:$P$23,$D1077)&gt;0,"Saída","Verificar")))</f>
        <v/>
      </c>
    </row>
    <row r="1078" spans="7:7" ht="16.5" customHeight="1">
      <c r="G1078" s="66">
        <f>IF($D1078="","",IF(COUNTIF('Config'!$N$8:$N$15,$D1078)&gt;0,"Entrada",IF(COUNTIF('Config'!$P$8:$P$23,$D1078)&gt;0,"Saída","Verificar")))</f>
        <v/>
      </c>
    </row>
    <row r="1079" spans="7:7" ht="16.5" customHeight="1">
      <c r="G1079" s="66">
        <f>IF($D1079="","",IF(COUNTIF('Config'!$N$8:$N$15,$D1079)&gt;0,"Entrada",IF(COUNTIF('Config'!$P$8:$P$23,$D1079)&gt;0,"Saída","Verificar")))</f>
        <v/>
      </c>
    </row>
    <row r="1080" spans="7:7" ht="16.5" customHeight="1">
      <c r="G1080" s="66">
        <f>IF($D1080="","",IF(COUNTIF('Config'!$N$8:$N$15,$D1080)&gt;0,"Entrada",IF(COUNTIF('Config'!$P$8:$P$23,$D1080)&gt;0,"Saída","Verificar")))</f>
        <v/>
      </c>
    </row>
    <row r="1081" spans="7:7" ht="16.5" customHeight="1">
      <c r="G1081" s="66">
        <f>IF($D1081="","",IF(COUNTIF('Config'!$N$8:$N$15,$D1081)&gt;0,"Entrada",IF(COUNTIF('Config'!$P$8:$P$23,$D1081)&gt;0,"Saída","Verificar")))</f>
        <v/>
      </c>
    </row>
    <row r="1082" spans="7:7" ht="16.5" customHeight="1">
      <c r="G1082" s="66">
        <f>IF($D1082="","",IF(COUNTIF('Config'!$N$8:$N$15,$D1082)&gt;0,"Entrada",IF(COUNTIF('Config'!$P$8:$P$23,$D1082)&gt;0,"Saída","Verificar")))</f>
        <v/>
      </c>
    </row>
    <row r="1083" spans="7:7" ht="16.5" customHeight="1">
      <c r="G1083" s="66">
        <f>IF($D1083="","",IF(COUNTIF('Config'!$N$8:$N$15,$D1083)&gt;0,"Entrada",IF(COUNTIF('Config'!$P$8:$P$23,$D1083)&gt;0,"Saída","Verificar")))</f>
        <v/>
      </c>
    </row>
    <row r="1084" spans="7:7" ht="16.5" customHeight="1">
      <c r="G1084" s="66">
        <f>IF($D1084="","",IF(COUNTIF('Config'!$N$8:$N$15,$D1084)&gt;0,"Entrada",IF(COUNTIF('Config'!$P$8:$P$23,$D1084)&gt;0,"Saída","Verificar")))</f>
        <v/>
      </c>
    </row>
    <row r="1085" spans="7:7" ht="16.5" customHeight="1">
      <c r="G1085" s="66">
        <f>IF($D1085="","",IF(COUNTIF('Config'!$N$8:$N$15,$D1085)&gt;0,"Entrada",IF(COUNTIF('Config'!$P$8:$P$23,$D1085)&gt;0,"Saída","Verificar")))</f>
        <v/>
      </c>
    </row>
    <row r="1086" spans="7:7" ht="16.5" customHeight="1">
      <c r="G1086" s="66">
        <f>IF($D1086="","",IF(COUNTIF('Config'!$N$8:$N$15,$D1086)&gt;0,"Entrada",IF(COUNTIF('Config'!$P$8:$P$23,$D1086)&gt;0,"Saída","Verificar")))</f>
        <v/>
      </c>
    </row>
    <row r="1087" spans="7:7" ht="16.5" customHeight="1">
      <c r="G1087" s="66">
        <f>IF($D1087="","",IF(COUNTIF('Config'!$N$8:$N$15,$D1087)&gt;0,"Entrada",IF(COUNTIF('Config'!$P$8:$P$23,$D1087)&gt;0,"Saída","Verificar")))</f>
        <v/>
      </c>
    </row>
    <row r="1088" spans="7:7" ht="16.5" customHeight="1">
      <c r="G1088" s="66">
        <f>IF($D1088="","",IF(COUNTIF('Config'!$N$8:$N$15,$D1088)&gt;0,"Entrada",IF(COUNTIF('Config'!$P$8:$P$23,$D1088)&gt;0,"Saída","Verificar")))</f>
        <v/>
      </c>
    </row>
    <row r="1089" spans="7:7" ht="16.5" customHeight="1">
      <c r="G1089" s="66">
        <f>IF($D1089="","",IF(COUNTIF('Config'!$N$8:$N$15,$D1089)&gt;0,"Entrada",IF(COUNTIF('Config'!$P$8:$P$23,$D1089)&gt;0,"Saída","Verificar")))</f>
        <v/>
      </c>
    </row>
    <row r="1090" spans="7:7" ht="16.5" customHeight="1">
      <c r="G1090" s="66">
        <f>IF($D1090="","",IF(COUNTIF('Config'!$N$8:$N$15,$D1090)&gt;0,"Entrada",IF(COUNTIF('Config'!$P$8:$P$23,$D1090)&gt;0,"Saída","Verificar")))</f>
        <v/>
      </c>
    </row>
    <row r="1091" spans="7:7" ht="16.5" customHeight="1">
      <c r="G1091" s="66">
        <f>IF($D1091="","",IF(COUNTIF('Config'!$N$8:$N$15,$D1091)&gt;0,"Entrada",IF(COUNTIF('Config'!$P$8:$P$23,$D1091)&gt;0,"Saída","Verificar")))</f>
        <v/>
      </c>
    </row>
    <row r="1092" spans="7:7" ht="16.5" customHeight="1">
      <c r="G1092" s="66">
        <f>IF($D1092="","",IF(COUNTIF('Config'!$N$8:$N$15,$D1092)&gt;0,"Entrada",IF(COUNTIF('Config'!$P$8:$P$23,$D1092)&gt;0,"Saída","Verificar")))</f>
        <v/>
      </c>
    </row>
    <row r="1093" spans="7:7" ht="16.5" customHeight="1">
      <c r="G1093" s="66">
        <f>IF($D1093="","",IF(COUNTIF('Config'!$N$8:$N$15,$D1093)&gt;0,"Entrada",IF(COUNTIF('Config'!$P$8:$P$23,$D1093)&gt;0,"Saída","Verificar")))</f>
        <v/>
      </c>
    </row>
    <row r="1094" spans="7:7" ht="16.5" customHeight="1">
      <c r="G1094" s="66">
        <f>IF($D1094="","",IF(COUNTIF('Config'!$N$8:$N$15,$D1094)&gt;0,"Entrada",IF(COUNTIF('Config'!$P$8:$P$23,$D1094)&gt;0,"Saída","Verificar")))</f>
        <v/>
      </c>
    </row>
    <row r="1095" spans="7:7" ht="16.5" customHeight="1">
      <c r="G1095" s="66">
        <f>IF($D1095="","",IF(COUNTIF('Config'!$N$8:$N$15,$D1095)&gt;0,"Entrada",IF(COUNTIF('Config'!$P$8:$P$23,$D1095)&gt;0,"Saída","Verificar")))</f>
        <v/>
      </c>
    </row>
    <row r="1096" spans="7:7" ht="16.5" customHeight="1">
      <c r="G1096" s="66">
        <f>IF($D1096="","",IF(COUNTIF('Config'!$N$8:$N$15,$D1096)&gt;0,"Entrada",IF(COUNTIF('Config'!$P$8:$P$23,$D1096)&gt;0,"Saída","Verificar")))</f>
        <v/>
      </c>
    </row>
    <row r="1097" spans="7:7" ht="16.5" customHeight="1">
      <c r="G1097" s="66">
        <f>IF($D1097="","",IF(COUNTIF('Config'!$N$8:$N$15,$D1097)&gt;0,"Entrada",IF(COUNTIF('Config'!$P$8:$P$23,$D1097)&gt;0,"Saída","Verificar")))</f>
        <v/>
      </c>
    </row>
    <row r="1098" spans="7:7" ht="16.5" customHeight="1">
      <c r="G1098" s="66">
        <f>IF($D1098="","",IF(COUNTIF('Config'!$N$8:$N$15,$D1098)&gt;0,"Entrada",IF(COUNTIF('Config'!$P$8:$P$23,$D1098)&gt;0,"Saída","Verificar")))</f>
        <v/>
      </c>
    </row>
    <row r="1099" spans="7:7" ht="16.5" customHeight="1">
      <c r="G1099" s="66">
        <f>IF($D1099="","",IF(COUNTIF('Config'!$N$8:$N$15,$D1099)&gt;0,"Entrada",IF(COUNTIF('Config'!$P$8:$P$23,$D1099)&gt;0,"Saída","Verificar")))</f>
        <v/>
      </c>
    </row>
    <row r="1100" spans="7:7" ht="16.5" customHeight="1">
      <c r="G1100" s="66">
        <f>IF($D1100="","",IF(COUNTIF('Config'!$N$8:$N$15,$D1100)&gt;0,"Entrada",IF(COUNTIF('Config'!$P$8:$P$23,$D1100)&gt;0,"Saída","Verificar")))</f>
        <v/>
      </c>
    </row>
    <row r="1101" spans="7:7" ht="16.5" customHeight="1">
      <c r="G1101" s="66">
        <f>IF($D1101="","",IF(COUNTIF('Config'!$N$8:$N$15,$D1101)&gt;0,"Entrada",IF(COUNTIF('Config'!$P$8:$P$23,$D1101)&gt;0,"Saída","Verificar")))</f>
        <v/>
      </c>
    </row>
    <row r="1102" spans="7:7" ht="16.5" customHeight="1">
      <c r="G1102" s="66">
        <f>IF($D1102="","",IF(COUNTIF('Config'!$N$8:$N$15,$D1102)&gt;0,"Entrada",IF(COUNTIF('Config'!$P$8:$P$23,$D1102)&gt;0,"Saída","Verificar")))</f>
        <v/>
      </c>
    </row>
    <row r="1103" spans="7:7" ht="16.5" customHeight="1">
      <c r="G1103" s="66">
        <f>IF($D1103="","",IF(COUNTIF('Config'!$N$8:$N$15,$D1103)&gt;0,"Entrada",IF(COUNTIF('Config'!$P$8:$P$23,$D1103)&gt;0,"Saída","Verificar")))</f>
        <v/>
      </c>
    </row>
    <row r="1104" spans="7:7" ht="16.5" customHeight="1">
      <c r="G1104" s="66">
        <f>IF($D1104="","",IF(COUNTIF('Config'!$N$8:$N$15,$D1104)&gt;0,"Entrada",IF(COUNTIF('Config'!$P$8:$P$23,$D1104)&gt;0,"Saída","Verificar")))</f>
        <v/>
      </c>
    </row>
    <row r="1105" spans="7:7" ht="16.5" customHeight="1">
      <c r="G1105" s="66">
        <f>IF($D1105="","",IF(COUNTIF('Config'!$N$8:$N$15,$D1105)&gt;0,"Entrada",IF(COUNTIF('Config'!$P$8:$P$23,$D1105)&gt;0,"Saída","Verificar")))</f>
        <v/>
      </c>
    </row>
    <row r="1106" spans="7:7" ht="16.5" customHeight="1">
      <c r="G1106" s="66">
        <f>IF($D1106="","",IF(COUNTIF('Config'!$N$8:$N$15,$D1106)&gt;0,"Entrada",IF(COUNTIF('Config'!$P$8:$P$23,$D1106)&gt;0,"Saída","Verificar")))</f>
        <v/>
      </c>
    </row>
    <row r="1107" spans="7:7" ht="16.5" customHeight="1">
      <c r="G1107" s="66">
        <f>IF($D1107="","",IF(COUNTIF('Config'!$N$8:$N$15,$D1107)&gt;0,"Entrada",IF(COUNTIF('Config'!$P$8:$P$23,$D1107)&gt;0,"Saída","Verificar")))</f>
        <v/>
      </c>
    </row>
    <row r="1108" spans="7:7" ht="16.5" customHeight="1">
      <c r="G1108" s="66">
        <f>IF($D1108="","",IF(COUNTIF('Config'!$N$8:$N$15,$D1108)&gt;0,"Entrada",IF(COUNTIF('Config'!$P$8:$P$23,$D1108)&gt;0,"Saída","Verificar")))</f>
        <v/>
      </c>
    </row>
    <row r="1109" spans="7:7" ht="16.5" customHeight="1">
      <c r="G1109" s="66">
        <f>IF($D1109="","",IF(COUNTIF('Config'!$N$8:$N$15,$D1109)&gt;0,"Entrada",IF(COUNTIF('Config'!$P$8:$P$23,$D1109)&gt;0,"Saída","Verificar")))</f>
        <v/>
      </c>
    </row>
    <row r="1110" spans="7:7" ht="16.5" customHeight="1">
      <c r="G1110" s="66">
        <f>IF($D1110="","",IF(COUNTIF('Config'!$N$8:$N$15,$D1110)&gt;0,"Entrada",IF(COUNTIF('Config'!$P$8:$P$23,$D1110)&gt;0,"Saída","Verificar")))</f>
        <v/>
      </c>
    </row>
    <row r="1111" spans="7:7" ht="16.5" customHeight="1">
      <c r="G1111" s="66">
        <f>IF($D1111="","",IF(COUNTIF('Config'!$N$8:$N$15,$D1111)&gt;0,"Entrada",IF(COUNTIF('Config'!$P$8:$P$23,$D1111)&gt;0,"Saída","Verificar")))</f>
        <v/>
      </c>
    </row>
    <row r="1112" spans="7:7" ht="16.5" customHeight="1">
      <c r="G1112" s="66">
        <f>IF($D1112="","",IF(COUNTIF('Config'!$N$8:$N$15,$D1112)&gt;0,"Entrada",IF(COUNTIF('Config'!$P$8:$P$23,$D1112)&gt;0,"Saída","Verificar")))</f>
        <v/>
      </c>
    </row>
    <row r="1113" spans="7:7" ht="16.5" customHeight="1">
      <c r="G1113" s="66">
        <f>IF($D1113="","",IF(COUNTIF('Config'!$N$8:$N$15,$D1113)&gt;0,"Entrada",IF(COUNTIF('Config'!$P$8:$P$23,$D1113)&gt;0,"Saída","Verificar")))</f>
        <v/>
      </c>
    </row>
    <row r="1114" spans="7:7" ht="16.5" customHeight="1">
      <c r="G1114" s="66">
        <f>IF($D1114="","",IF(COUNTIF('Config'!$N$8:$N$15,$D1114)&gt;0,"Entrada",IF(COUNTIF('Config'!$P$8:$P$23,$D1114)&gt;0,"Saída","Verificar")))</f>
        <v/>
      </c>
    </row>
    <row r="1115" spans="7:7" ht="16.5" customHeight="1">
      <c r="G1115" s="66">
        <f>IF($D1115="","",IF(COUNTIF('Config'!$N$8:$N$15,$D1115)&gt;0,"Entrada",IF(COUNTIF('Config'!$P$8:$P$23,$D1115)&gt;0,"Saída","Verificar")))</f>
        <v/>
      </c>
    </row>
    <row r="1116" spans="7:7" ht="16.5" customHeight="1">
      <c r="G1116" s="66">
        <f>IF($D1116="","",IF(COUNTIF('Config'!$N$8:$N$15,$D1116)&gt;0,"Entrada",IF(COUNTIF('Config'!$P$8:$P$23,$D1116)&gt;0,"Saída","Verificar")))</f>
        <v/>
      </c>
    </row>
    <row r="1117" spans="7:7" ht="16.5" customHeight="1">
      <c r="G1117" s="66">
        <f>IF($D1117="","",IF(COUNTIF('Config'!$N$8:$N$15,$D1117)&gt;0,"Entrada",IF(COUNTIF('Config'!$P$8:$P$23,$D1117)&gt;0,"Saída","Verificar")))</f>
        <v/>
      </c>
    </row>
    <row r="1118" spans="7:7" ht="16.5" customHeight="1">
      <c r="G1118" s="66">
        <f>IF($D1118="","",IF(COUNTIF('Config'!$N$8:$N$15,$D1118)&gt;0,"Entrada",IF(COUNTIF('Config'!$P$8:$P$23,$D1118)&gt;0,"Saída","Verificar")))</f>
        <v/>
      </c>
    </row>
    <row r="1119" spans="7:7" ht="16.5" customHeight="1">
      <c r="G1119" s="66">
        <f>IF($D1119="","",IF(COUNTIF('Config'!$N$8:$N$15,$D1119)&gt;0,"Entrada",IF(COUNTIF('Config'!$P$8:$P$23,$D1119)&gt;0,"Saída","Verificar")))</f>
        <v/>
      </c>
    </row>
    <row r="1120" spans="7:7" ht="16.5" customHeight="1">
      <c r="G1120" s="66">
        <f>IF($D1120="","",IF(COUNTIF('Config'!$N$8:$N$15,$D1120)&gt;0,"Entrada",IF(COUNTIF('Config'!$P$8:$P$23,$D1120)&gt;0,"Saída","Verificar")))</f>
        <v/>
      </c>
    </row>
    <row r="1121" spans="7:7" ht="16.5" customHeight="1">
      <c r="G1121" s="66">
        <f>IF($D1121="","",IF(COUNTIF('Config'!$N$8:$N$15,$D1121)&gt;0,"Entrada",IF(COUNTIF('Config'!$P$8:$P$23,$D1121)&gt;0,"Saída","Verificar")))</f>
        <v/>
      </c>
    </row>
    <row r="1122" spans="7:7" ht="16.5" customHeight="1">
      <c r="G1122" s="66">
        <f>IF($D1122="","",IF(COUNTIF('Config'!$N$8:$N$15,$D1122)&gt;0,"Entrada",IF(COUNTIF('Config'!$P$8:$P$23,$D1122)&gt;0,"Saída","Verificar")))</f>
        <v/>
      </c>
    </row>
    <row r="1123" spans="7:7" ht="16.5" customHeight="1">
      <c r="G1123" s="66">
        <f>IF($D1123="","",IF(COUNTIF('Config'!$N$8:$N$15,$D1123)&gt;0,"Entrada",IF(COUNTIF('Config'!$P$8:$P$23,$D1123)&gt;0,"Saída","Verificar")))</f>
        <v/>
      </c>
    </row>
    <row r="1124" spans="7:7" ht="16.5" customHeight="1">
      <c r="G1124" s="66">
        <f>IF($D1124="","",IF(COUNTIF('Config'!$N$8:$N$15,$D1124)&gt;0,"Entrada",IF(COUNTIF('Config'!$P$8:$P$23,$D1124)&gt;0,"Saída","Verificar")))</f>
        <v/>
      </c>
    </row>
    <row r="1125" spans="7:7" ht="16.5" customHeight="1">
      <c r="G1125" s="66">
        <f>IF($D1125="","",IF(COUNTIF('Config'!$N$8:$N$15,$D1125)&gt;0,"Entrada",IF(COUNTIF('Config'!$P$8:$P$23,$D1125)&gt;0,"Saída","Verificar")))</f>
        <v/>
      </c>
    </row>
    <row r="1126" spans="7:7" ht="16.5" customHeight="1">
      <c r="G1126" s="66">
        <f>IF($D1126="","",IF(COUNTIF('Config'!$N$8:$N$15,$D1126)&gt;0,"Entrada",IF(COUNTIF('Config'!$P$8:$P$23,$D1126)&gt;0,"Saída","Verificar")))</f>
        <v/>
      </c>
    </row>
    <row r="1127" spans="7:7" ht="16.5" customHeight="1">
      <c r="G1127" s="66">
        <f>IF($D1127="","",IF(COUNTIF('Config'!$N$8:$N$15,$D1127)&gt;0,"Entrada",IF(COUNTIF('Config'!$P$8:$P$23,$D1127)&gt;0,"Saída","Verificar")))</f>
        <v/>
      </c>
    </row>
    <row r="1128" spans="7:7" ht="16.5" customHeight="1">
      <c r="G1128" s="66">
        <f>IF($D1128="","",IF(COUNTIF('Config'!$N$8:$N$15,$D1128)&gt;0,"Entrada",IF(COUNTIF('Config'!$P$8:$P$23,$D1128)&gt;0,"Saída","Verificar")))</f>
        <v/>
      </c>
    </row>
    <row r="1129" spans="7:7" ht="16.5" customHeight="1">
      <c r="G1129" s="66">
        <f>IF($D1129="","",IF(COUNTIF('Config'!$N$8:$N$15,$D1129)&gt;0,"Entrada",IF(COUNTIF('Config'!$P$8:$P$23,$D1129)&gt;0,"Saída","Verificar")))</f>
        <v/>
      </c>
    </row>
    <row r="1130" spans="7:7" ht="16.5" customHeight="1">
      <c r="G1130" s="66">
        <f>IF($D1130="","",IF(COUNTIF('Config'!$N$8:$N$15,$D1130)&gt;0,"Entrada",IF(COUNTIF('Config'!$P$8:$P$23,$D1130)&gt;0,"Saída","Verificar")))</f>
        <v/>
      </c>
    </row>
    <row r="1131" spans="7:7" ht="16.5" customHeight="1">
      <c r="G1131" s="66">
        <f>IF($D1131="","",IF(COUNTIF('Config'!$N$8:$N$15,$D1131)&gt;0,"Entrada",IF(COUNTIF('Config'!$P$8:$P$23,$D1131)&gt;0,"Saída","Verificar")))</f>
        <v/>
      </c>
    </row>
    <row r="1132" spans="7:7" ht="16.5" customHeight="1">
      <c r="G1132" s="66">
        <f>IF($D1132="","",IF(COUNTIF('Config'!$N$8:$N$15,$D1132)&gt;0,"Entrada",IF(COUNTIF('Config'!$P$8:$P$23,$D1132)&gt;0,"Saída","Verificar")))</f>
        <v/>
      </c>
    </row>
    <row r="1133" spans="7:7" ht="16.5" customHeight="1">
      <c r="G1133" s="66">
        <f>IF($D1133="","",IF(COUNTIF('Config'!$N$8:$N$15,$D1133)&gt;0,"Entrada",IF(COUNTIF('Config'!$P$8:$P$23,$D1133)&gt;0,"Saída","Verificar")))</f>
        <v/>
      </c>
    </row>
    <row r="1134" spans="7:7" ht="16.5" customHeight="1">
      <c r="G1134" s="66">
        <f>IF($D1134="","",IF(COUNTIF('Config'!$N$8:$N$15,$D1134)&gt;0,"Entrada",IF(COUNTIF('Config'!$P$8:$P$23,$D1134)&gt;0,"Saída","Verificar")))</f>
        <v/>
      </c>
    </row>
    <row r="1135" spans="7:7" ht="16.5" customHeight="1">
      <c r="G1135" s="66">
        <f>IF($D1135="","",IF(COUNTIF('Config'!$N$8:$N$15,$D1135)&gt;0,"Entrada",IF(COUNTIF('Config'!$P$8:$P$23,$D1135)&gt;0,"Saída","Verificar")))</f>
        <v/>
      </c>
    </row>
    <row r="1136" spans="7:7" ht="16.5" customHeight="1">
      <c r="G1136" s="66">
        <f>IF($D1136="","",IF(COUNTIF('Config'!$N$8:$N$15,$D1136)&gt;0,"Entrada",IF(COUNTIF('Config'!$P$8:$P$23,$D1136)&gt;0,"Saída","Verificar")))</f>
        <v/>
      </c>
    </row>
    <row r="1137" spans="7:7" ht="16.5" customHeight="1">
      <c r="G1137" s="66">
        <f>IF($D1137="","",IF(COUNTIF('Config'!$N$8:$N$15,$D1137)&gt;0,"Entrada",IF(COUNTIF('Config'!$P$8:$P$23,$D1137)&gt;0,"Saída","Verificar")))</f>
        <v/>
      </c>
    </row>
    <row r="1138" spans="7:7" ht="16.5" customHeight="1">
      <c r="G1138" s="66">
        <f>IF($D1138="","",IF(COUNTIF('Config'!$N$8:$N$15,$D1138)&gt;0,"Entrada",IF(COUNTIF('Config'!$P$8:$P$23,$D1138)&gt;0,"Saída","Verificar")))</f>
        <v/>
      </c>
    </row>
    <row r="1139" spans="7:7" ht="16.5" customHeight="1">
      <c r="G1139" s="66">
        <f>IF($D1139="","",IF(COUNTIF('Config'!$N$8:$N$15,$D1139)&gt;0,"Entrada",IF(COUNTIF('Config'!$P$8:$P$23,$D1139)&gt;0,"Saída","Verificar")))</f>
        <v/>
      </c>
    </row>
    <row r="1140" spans="7:7" ht="16.5" customHeight="1">
      <c r="G1140" s="66">
        <f>IF($D1140="","",IF(COUNTIF('Config'!$N$8:$N$15,$D1140)&gt;0,"Entrada",IF(COUNTIF('Config'!$P$8:$P$23,$D1140)&gt;0,"Saída","Verificar")))</f>
        <v/>
      </c>
    </row>
    <row r="1141" spans="7:7" ht="16.5" customHeight="1">
      <c r="G1141" s="66">
        <f>IF($D1141="","",IF(COUNTIF('Config'!$N$8:$N$15,$D1141)&gt;0,"Entrada",IF(COUNTIF('Config'!$P$8:$P$23,$D1141)&gt;0,"Saída","Verificar")))</f>
        <v/>
      </c>
    </row>
    <row r="1142" spans="7:7" ht="16.5" customHeight="1">
      <c r="G1142" s="66">
        <f>IF($D1142="","",IF(COUNTIF('Config'!$N$8:$N$15,$D1142)&gt;0,"Entrada",IF(COUNTIF('Config'!$P$8:$P$23,$D1142)&gt;0,"Saída","Verificar")))</f>
        <v/>
      </c>
    </row>
    <row r="1143" spans="7:7" ht="16.5" customHeight="1">
      <c r="G1143" s="66">
        <f>IF($D1143="","",IF(COUNTIF('Config'!$N$8:$N$15,$D1143)&gt;0,"Entrada",IF(COUNTIF('Config'!$P$8:$P$23,$D1143)&gt;0,"Saída","Verificar")))</f>
        <v/>
      </c>
    </row>
    <row r="1144" spans="7:7" ht="16.5" customHeight="1">
      <c r="G1144" s="66">
        <f>IF($D1144="","",IF(COUNTIF('Config'!$N$8:$N$15,$D1144)&gt;0,"Entrada",IF(COUNTIF('Config'!$P$8:$P$23,$D1144)&gt;0,"Saída","Verificar")))</f>
        <v/>
      </c>
    </row>
    <row r="1145" spans="7:7" ht="16.5" customHeight="1">
      <c r="G1145" s="66">
        <f>IF($D1145="","",IF(COUNTIF('Config'!$N$8:$N$15,$D1145)&gt;0,"Entrada",IF(COUNTIF('Config'!$P$8:$P$23,$D1145)&gt;0,"Saída","Verificar")))</f>
        <v/>
      </c>
    </row>
    <row r="1146" spans="7:7" ht="16.5" customHeight="1">
      <c r="G1146" s="66">
        <f>IF($D1146="","",IF(COUNTIF('Config'!$N$8:$N$15,$D1146)&gt;0,"Entrada",IF(COUNTIF('Config'!$P$8:$P$23,$D1146)&gt;0,"Saída","Verificar")))</f>
        <v/>
      </c>
    </row>
    <row r="1147" spans="7:7" ht="16.5" customHeight="1">
      <c r="G1147" s="66">
        <f>IF($D1147="","",IF(COUNTIF('Config'!$N$8:$N$15,$D1147)&gt;0,"Entrada",IF(COUNTIF('Config'!$P$8:$P$23,$D1147)&gt;0,"Saída","Verificar")))</f>
        <v/>
      </c>
    </row>
    <row r="1148" spans="7:7" ht="16.5" customHeight="1">
      <c r="G1148" s="66">
        <f>IF($D1148="","",IF(COUNTIF('Config'!$N$8:$N$15,$D1148)&gt;0,"Entrada",IF(COUNTIF('Config'!$P$8:$P$23,$D1148)&gt;0,"Saída","Verificar")))</f>
        <v/>
      </c>
    </row>
    <row r="1149" spans="7:7" ht="16.5" customHeight="1">
      <c r="G1149" s="66">
        <f>IF($D1149="","",IF(COUNTIF('Config'!$N$8:$N$15,$D1149)&gt;0,"Entrada",IF(COUNTIF('Config'!$P$8:$P$23,$D1149)&gt;0,"Saída","Verificar")))</f>
        <v/>
      </c>
    </row>
    <row r="1150" spans="7:7" ht="16.5" customHeight="1">
      <c r="G1150" s="66">
        <f>IF($D1150="","",IF(COUNTIF('Config'!$N$8:$N$15,$D1150)&gt;0,"Entrada",IF(COUNTIF('Config'!$P$8:$P$23,$D1150)&gt;0,"Saída","Verificar")))</f>
        <v/>
      </c>
    </row>
    <row r="1151" spans="7:7" ht="16.5" customHeight="1">
      <c r="G1151" s="66">
        <f>IF($D1151="","",IF(COUNTIF('Config'!$N$8:$N$15,$D1151)&gt;0,"Entrada",IF(COUNTIF('Config'!$P$8:$P$23,$D1151)&gt;0,"Saída","Verificar")))</f>
        <v/>
      </c>
    </row>
    <row r="1152" spans="7:7" ht="16.5" customHeight="1">
      <c r="G1152" s="66">
        <f>IF($D1152="","",IF(COUNTIF('Config'!$N$8:$N$15,$D1152)&gt;0,"Entrada",IF(COUNTIF('Config'!$P$8:$P$23,$D1152)&gt;0,"Saída","Verificar")))</f>
        <v/>
      </c>
    </row>
    <row r="1153" spans="7:7" ht="16.5" customHeight="1">
      <c r="G1153" s="66">
        <f>IF($D1153="","",IF(COUNTIF('Config'!$N$8:$N$15,$D1153)&gt;0,"Entrada",IF(COUNTIF('Config'!$P$8:$P$23,$D1153)&gt;0,"Saída","Verificar")))</f>
        <v/>
      </c>
    </row>
    <row r="1154" spans="7:7" ht="16.5" customHeight="1">
      <c r="G1154" s="66">
        <f>IF($D1154="","",IF(COUNTIF('Config'!$N$8:$N$15,$D1154)&gt;0,"Entrada",IF(COUNTIF('Config'!$P$8:$P$23,$D1154)&gt;0,"Saída","Verificar")))</f>
        <v/>
      </c>
    </row>
    <row r="1155" spans="7:7" ht="16.5" customHeight="1">
      <c r="G1155" s="66">
        <f>IF($D1155="","",IF(COUNTIF('Config'!$N$8:$N$15,$D1155)&gt;0,"Entrada",IF(COUNTIF('Config'!$P$8:$P$23,$D1155)&gt;0,"Saída","Verificar")))</f>
        <v/>
      </c>
    </row>
    <row r="1156" spans="7:7" ht="16.5" customHeight="1">
      <c r="G1156" s="66">
        <f>IF($D1156="","",IF(COUNTIF('Config'!$N$8:$N$15,$D1156)&gt;0,"Entrada",IF(COUNTIF('Config'!$P$8:$P$23,$D1156)&gt;0,"Saída","Verificar")))</f>
        <v/>
      </c>
    </row>
    <row r="1157" spans="7:7" ht="16.5" customHeight="1">
      <c r="G1157" s="66">
        <f>IF($D1157="","",IF(COUNTIF('Config'!$N$8:$N$15,$D1157)&gt;0,"Entrada",IF(COUNTIF('Config'!$P$8:$P$23,$D1157)&gt;0,"Saída","Verificar")))</f>
        <v/>
      </c>
    </row>
    <row r="1158" spans="7:7" ht="16.5" customHeight="1">
      <c r="G1158" s="66">
        <f>IF($D1158="","",IF(COUNTIF('Config'!$N$8:$N$15,$D1158)&gt;0,"Entrada",IF(COUNTIF('Config'!$P$8:$P$23,$D1158)&gt;0,"Saída","Verificar")))</f>
        <v/>
      </c>
    </row>
    <row r="1159" spans="7:7" ht="16.5" customHeight="1">
      <c r="G1159" s="66">
        <f>IF($D1159="","",IF(COUNTIF('Config'!$N$8:$N$15,$D1159)&gt;0,"Entrada",IF(COUNTIF('Config'!$P$8:$P$23,$D1159)&gt;0,"Saída","Verificar")))</f>
        <v/>
      </c>
    </row>
    <row r="1160" spans="7:7" ht="16.5" customHeight="1">
      <c r="G1160" s="66">
        <f>IF($D1160="","",IF(COUNTIF('Config'!$N$8:$N$15,$D1160)&gt;0,"Entrada",IF(COUNTIF('Config'!$P$8:$P$23,$D1160)&gt;0,"Saída","Verificar")))</f>
        <v/>
      </c>
    </row>
    <row r="1161" spans="7:7" ht="16.5" customHeight="1">
      <c r="G1161" s="66">
        <f>IF($D1161="","",IF(COUNTIF('Config'!$N$8:$N$15,$D1161)&gt;0,"Entrada",IF(COUNTIF('Config'!$P$8:$P$23,$D1161)&gt;0,"Saída","Verificar")))</f>
        <v/>
      </c>
    </row>
    <row r="1162" spans="7:7" ht="16.5" customHeight="1">
      <c r="G1162" s="66">
        <f>IF($D1162="","",IF(COUNTIF('Config'!$N$8:$N$15,$D1162)&gt;0,"Entrada",IF(COUNTIF('Config'!$P$8:$P$23,$D1162)&gt;0,"Saída","Verificar")))</f>
        <v/>
      </c>
    </row>
    <row r="1163" spans="7:7" ht="16.5" customHeight="1">
      <c r="G1163" s="66">
        <f>IF($D1163="","",IF(COUNTIF('Config'!$N$8:$N$15,$D1163)&gt;0,"Entrada",IF(COUNTIF('Config'!$P$8:$P$23,$D1163)&gt;0,"Saída","Verificar")))</f>
        <v/>
      </c>
    </row>
    <row r="1164" spans="7:7" ht="16.5" customHeight="1">
      <c r="G1164" s="66">
        <f>IF($D1164="","",IF(COUNTIF('Config'!$N$8:$N$15,$D1164)&gt;0,"Entrada",IF(COUNTIF('Config'!$P$8:$P$23,$D1164)&gt;0,"Saída","Verificar")))</f>
        <v/>
      </c>
    </row>
    <row r="1165" spans="7:7" ht="16.5" customHeight="1">
      <c r="G1165" s="66">
        <f>IF($D1165="","",IF(COUNTIF('Config'!$N$8:$N$15,$D1165)&gt;0,"Entrada",IF(COUNTIF('Config'!$P$8:$P$23,$D1165)&gt;0,"Saída","Verificar")))</f>
        <v/>
      </c>
    </row>
    <row r="1166" spans="7:7" ht="16.5" customHeight="1">
      <c r="G1166" s="66">
        <f>IF($D1166="","",IF(COUNTIF('Config'!$N$8:$N$15,$D1166)&gt;0,"Entrada",IF(COUNTIF('Config'!$P$8:$P$23,$D1166)&gt;0,"Saída","Verificar")))</f>
        <v/>
      </c>
    </row>
    <row r="1167" spans="7:7" ht="16.5" customHeight="1">
      <c r="G1167" s="66">
        <f>IF($D1167="","",IF(COUNTIF('Config'!$N$8:$N$15,$D1167)&gt;0,"Entrada",IF(COUNTIF('Config'!$P$8:$P$23,$D1167)&gt;0,"Saída","Verificar")))</f>
        <v/>
      </c>
    </row>
    <row r="1168" spans="7:7" ht="16.5" customHeight="1">
      <c r="G1168" s="66">
        <f>IF($D1168="","",IF(COUNTIF('Config'!$N$8:$N$15,$D1168)&gt;0,"Entrada",IF(COUNTIF('Config'!$P$8:$P$23,$D1168)&gt;0,"Saída","Verificar")))</f>
        <v/>
      </c>
    </row>
    <row r="1169" spans="7:7" ht="16.5" customHeight="1">
      <c r="G1169" s="66">
        <f>IF($D1169="","",IF(COUNTIF('Config'!$N$8:$N$15,$D1169)&gt;0,"Entrada",IF(COUNTIF('Config'!$P$8:$P$23,$D1169)&gt;0,"Saída","Verificar")))</f>
        <v/>
      </c>
    </row>
    <row r="1170" spans="7:7" ht="16.5" customHeight="1">
      <c r="G1170" s="66">
        <f>IF($D1170="","",IF(COUNTIF('Config'!$N$8:$N$15,$D1170)&gt;0,"Entrada",IF(COUNTIF('Config'!$P$8:$P$23,$D1170)&gt;0,"Saída","Verificar")))</f>
        <v/>
      </c>
    </row>
    <row r="1171" spans="7:7" ht="16.5" customHeight="1">
      <c r="G1171" s="66">
        <f>IF($D1171="","",IF(COUNTIF('Config'!$N$8:$N$15,$D1171)&gt;0,"Entrada",IF(COUNTIF('Config'!$P$8:$P$23,$D1171)&gt;0,"Saída","Verificar")))</f>
        <v/>
      </c>
    </row>
    <row r="1172" spans="7:7" ht="16.5" customHeight="1">
      <c r="G1172" s="66">
        <f>IF($D1172="","",IF(COUNTIF('Config'!$N$8:$N$15,$D1172)&gt;0,"Entrada",IF(COUNTIF('Config'!$P$8:$P$23,$D1172)&gt;0,"Saída","Verificar")))</f>
        <v/>
      </c>
    </row>
    <row r="1173" spans="7:7" ht="16.5" customHeight="1">
      <c r="G1173" s="66">
        <f>IF($D1173="","",IF(COUNTIF('Config'!$N$8:$N$15,$D1173)&gt;0,"Entrada",IF(COUNTIF('Config'!$P$8:$P$23,$D1173)&gt;0,"Saída","Verificar")))</f>
        <v/>
      </c>
    </row>
    <row r="1174" spans="7:7" ht="16.5" customHeight="1">
      <c r="G1174" s="66">
        <f>IF($D1174="","",IF(COUNTIF('Config'!$N$8:$N$15,$D1174)&gt;0,"Entrada",IF(COUNTIF('Config'!$P$8:$P$23,$D1174)&gt;0,"Saída","Verificar")))</f>
        <v/>
      </c>
    </row>
    <row r="1175" spans="7:7" ht="16.5" customHeight="1">
      <c r="G1175" s="66">
        <f>IF($D1175="","",IF(COUNTIF('Config'!$N$8:$N$15,$D1175)&gt;0,"Entrada",IF(COUNTIF('Config'!$P$8:$P$23,$D1175)&gt;0,"Saída","Verificar")))</f>
        <v/>
      </c>
    </row>
    <row r="1176" spans="7:7" ht="16.5" customHeight="1">
      <c r="G1176" s="66">
        <f>IF($D1176="","",IF(COUNTIF('Config'!$N$8:$N$15,$D1176)&gt;0,"Entrada",IF(COUNTIF('Config'!$P$8:$P$23,$D1176)&gt;0,"Saída","Verificar")))</f>
        <v/>
      </c>
    </row>
    <row r="1177" spans="7:7" ht="16.5" customHeight="1">
      <c r="G1177" s="66">
        <f>IF($D1177="","",IF(COUNTIF('Config'!$N$8:$N$15,$D1177)&gt;0,"Entrada",IF(COUNTIF('Config'!$P$8:$P$23,$D1177)&gt;0,"Saída","Verificar")))</f>
        <v/>
      </c>
    </row>
    <row r="1178" spans="7:7" ht="16.5" customHeight="1">
      <c r="G1178" s="66">
        <f>IF($D1178="","",IF(COUNTIF('Config'!$N$8:$N$15,$D1178)&gt;0,"Entrada",IF(COUNTIF('Config'!$P$8:$P$23,$D1178)&gt;0,"Saída","Verificar")))</f>
        <v/>
      </c>
    </row>
    <row r="1179" spans="7:7" ht="16.5" customHeight="1">
      <c r="G1179" s="66">
        <f>IF($D1179="","",IF(COUNTIF('Config'!$N$8:$N$15,$D1179)&gt;0,"Entrada",IF(COUNTIF('Config'!$P$8:$P$23,$D1179)&gt;0,"Saída","Verificar")))</f>
        <v/>
      </c>
    </row>
    <row r="1180" spans="7:7" ht="16.5" customHeight="1">
      <c r="G1180" s="66">
        <f>IF($D1180="","",IF(COUNTIF('Config'!$N$8:$N$15,$D1180)&gt;0,"Entrada",IF(COUNTIF('Config'!$P$8:$P$23,$D1180)&gt;0,"Saída","Verificar")))</f>
        <v/>
      </c>
    </row>
    <row r="1181" spans="7:7" ht="16.5" customHeight="1">
      <c r="G1181" s="66">
        <f>IF($D1181="","",IF(COUNTIF('Config'!$N$8:$N$15,$D1181)&gt;0,"Entrada",IF(COUNTIF('Config'!$P$8:$P$23,$D1181)&gt;0,"Saída","Verificar")))</f>
        <v/>
      </c>
    </row>
    <row r="1182" spans="7:7" ht="16.5" customHeight="1">
      <c r="G1182" s="66">
        <f>IF($D1182="","",IF(COUNTIF('Config'!$N$8:$N$15,$D1182)&gt;0,"Entrada",IF(COUNTIF('Config'!$P$8:$P$23,$D1182)&gt;0,"Saída","Verificar")))</f>
        <v/>
      </c>
    </row>
    <row r="1183" spans="7:7" ht="16.5" customHeight="1">
      <c r="G1183" s="66">
        <f>IF($D1183="","",IF(COUNTIF('Config'!$N$8:$N$15,$D1183)&gt;0,"Entrada",IF(COUNTIF('Config'!$P$8:$P$23,$D1183)&gt;0,"Saída","Verificar")))</f>
        <v/>
      </c>
    </row>
    <row r="1184" spans="7:7" ht="16.5" customHeight="1">
      <c r="G1184" s="66">
        <f>IF($D1184="","",IF(COUNTIF('Config'!$N$8:$N$15,$D1184)&gt;0,"Entrada",IF(COUNTIF('Config'!$P$8:$P$23,$D1184)&gt;0,"Saída","Verificar")))</f>
        <v/>
      </c>
    </row>
    <row r="1185" spans="7:7" ht="16.5" customHeight="1">
      <c r="G1185" s="66">
        <f>IF($D1185="","",IF(COUNTIF('Config'!$N$8:$N$15,$D1185)&gt;0,"Entrada",IF(COUNTIF('Config'!$P$8:$P$23,$D1185)&gt;0,"Saída","Verificar")))</f>
        <v/>
      </c>
    </row>
    <row r="1186" spans="7:7" ht="16.5" customHeight="1">
      <c r="G1186" s="66">
        <f>IF($D1186="","",IF(COUNTIF('Config'!$N$8:$N$15,$D1186)&gt;0,"Entrada",IF(COUNTIF('Config'!$P$8:$P$23,$D1186)&gt;0,"Saída","Verificar")))</f>
        <v/>
      </c>
    </row>
    <row r="1187" spans="7:7" ht="16.5" customHeight="1">
      <c r="G1187" s="66">
        <f>IF($D1187="","",IF(COUNTIF('Config'!$N$8:$N$15,$D1187)&gt;0,"Entrada",IF(COUNTIF('Config'!$P$8:$P$23,$D1187)&gt;0,"Saída","Verificar")))</f>
        <v/>
      </c>
    </row>
    <row r="1188" spans="7:7" ht="16.5" customHeight="1">
      <c r="G1188" s="66">
        <f>IF($D1188="","",IF(COUNTIF('Config'!$N$8:$N$15,$D1188)&gt;0,"Entrada",IF(COUNTIF('Config'!$P$8:$P$23,$D1188)&gt;0,"Saída","Verificar")))</f>
        <v/>
      </c>
    </row>
    <row r="1189" spans="7:7" ht="16.5" customHeight="1">
      <c r="G1189" s="66">
        <f>IF($D1189="","",IF(COUNTIF('Config'!$N$8:$N$15,$D1189)&gt;0,"Entrada",IF(COUNTIF('Config'!$P$8:$P$23,$D1189)&gt;0,"Saída","Verificar")))</f>
        <v/>
      </c>
    </row>
    <row r="1190" spans="7:7" ht="16.5" customHeight="1">
      <c r="G1190" s="66">
        <f>IF($D1190="","",IF(COUNTIF('Config'!$N$8:$N$15,$D1190)&gt;0,"Entrada",IF(COUNTIF('Config'!$P$8:$P$23,$D1190)&gt;0,"Saída","Verificar")))</f>
        <v/>
      </c>
    </row>
    <row r="1191" spans="7:7" ht="16.5" customHeight="1">
      <c r="G1191" s="66">
        <f>IF($D1191="","",IF(COUNTIF('Config'!$N$8:$N$15,$D1191)&gt;0,"Entrada",IF(COUNTIF('Config'!$P$8:$P$23,$D1191)&gt;0,"Saída","Verificar")))</f>
        <v/>
      </c>
    </row>
    <row r="1192" spans="7:7" ht="16.5" customHeight="1">
      <c r="G1192" s="66">
        <f>IF($D1192="","",IF(COUNTIF('Config'!$N$8:$N$15,$D1192)&gt;0,"Entrada",IF(COUNTIF('Config'!$P$8:$P$23,$D1192)&gt;0,"Saída","Verificar")))</f>
        <v/>
      </c>
    </row>
    <row r="1193" spans="7:7" ht="16.5" customHeight="1">
      <c r="G1193" s="66">
        <f>IF($D1193="","",IF(COUNTIF('Config'!$N$8:$N$15,$D1193)&gt;0,"Entrada",IF(COUNTIF('Config'!$P$8:$P$23,$D1193)&gt;0,"Saída","Verificar")))</f>
        <v/>
      </c>
    </row>
    <row r="1194" spans="7:7" ht="16.5" customHeight="1">
      <c r="G1194" s="66">
        <f>IF($D1194="","",IF(COUNTIF('Config'!$N$8:$N$15,$D1194)&gt;0,"Entrada",IF(COUNTIF('Config'!$P$8:$P$23,$D1194)&gt;0,"Saída","Verificar")))</f>
        <v/>
      </c>
    </row>
    <row r="1195" spans="7:7" ht="16.5" customHeight="1">
      <c r="G1195" s="66">
        <f>IF($D1195="","",IF(COUNTIF('Config'!$N$8:$N$15,$D1195)&gt;0,"Entrada",IF(COUNTIF('Config'!$P$8:$P$23,$D1195)&gt;0,"Saída","Verificar")))</f>
        <v/>
      </c>
    </row>
    <row r="1196" spans="7:7" ht="16.5" customHeight="1">
      <c r="G1196" s="66">
        <f>IF($D1196="","",IF(COUNTIF('Config'!$N$8:$N$15,$D1196)&gt;0,"Entrada",IF(COUNTIF('Config'!$P$8:$P$23,$D1196)&gt;0,"Saída","Verificar")))</f>
        <v/>
      </c>
    </row>
    <row r="1197" spans="7:7" ht="16.5" customHeight="1">
      <c r="G1197" s="66">
        <f>IF($D1197="","",IF(COUNTIF('Config'!$N$8:$N$15,$D1197)&gt;0,"Entrada",IF(COUNTIF('Config'!$P$8:$P$23,$D1197)&gt;0,"Saída","Verificar")))</f>
        <v/>
      </c>
    </row>
    <row r="1198" spans="7:7" ht="16.5" customHeight="1">
      <c r="G1198" s="66">
        <f>IF($D1198="","",IF(COUNTIF('Config'!$N$8:$N$15,$D1198)&gt;0,"Entrada",IF(COUNTIF('Config'!$P$8:$P$23,$D1198)&gt;0,"Saída","Verificar")))</f>
        <v/>
      </c>
    </row>
    <row r="1199" spans="7:7" ht="16.5" customHeight="1">
      <c r="G1199" s="66">
        <f>IF($D1199="","",IF(COUNTIF('Config'!$N$8:$N$15,$D1199)&gt;0,"Entrada",IF(COUNTIF('Config'!$P$8:$P$23,$D1199)&gt;0,"Saída","Verificar")))</f>
        <v/>
      </c>
    </row>
    <row r="1200" spans="7:7" ht="16.5" customHeight="1">
      <c r="G1200" s="66">
        <f>IF($D1200="","",IF(COUNTIF('Config'!$N$8:$N$15,$D1200)&gt;0,"Entrada",IF(COUNTIF('Config'!$P$8:$P$23,$D1200)&gt;0,"Saída","Verificar")))</f>
        <v/>
      </c>
    </row>
    <row r="1201" spans="7:7" ht="16.5" customHeight="1">
      <c r="G1201" s="66">
        <f>IF($D1201="","",IF(COUNTIF('Config'!$N$8:$N$15,$D1201)&gt;0,"Entrada",IF(COUNTIF('Config'!$P$8:$P$23,$D1201)&gt;0,"Saída","Verificar")))</f>
        <v/>
      </c>
    </row>
    <row r="1202" spans="7:7" ht="16.5" customHeight="1">
      <c r="G1202" s="66">
        <f>IF($D1202="","",IF(COUNTIF('Config'!$N$8:$N$15,$D1202)&gt;0,"Entrada",IF(COUNTIF('Config'!$P$8:$P$23,$D1202)&gt;0,"Saída","Verificar")))</f>
        <v/>
      </c>
    </row>
    <row r="1203" spans="7:7" ht="16.5" customHeight="1">
      <c r="G1203" s="66">
        <f>IF($D1203="","",IF(COUNTIF('Config'!$N$8:$N$15,$D1203)&gt;0,"Entrada",IF(COUNTIF('Config'!$P$8:$P$23,$D1203)&gt;0,"Saída","Verificar")))</f>
        <v/>
      </c>
    </row>
    <row r="1204" spans="7:7" ht="16.5" customHeight="1">
      <c r="G1204" s="66">
        <f>IF($D1204="","",IF(COUNTIF('Config'!$N$8:$N$15,$D1204)&gt;0,"Entrada",IF(COUNTIF('Config'!$P$8:$P$23,$D1204)&gt;0,"Saída","Verificar")))</f>
        <v/>
      </c>
    </row>
    <row r="1205" spans="7:7" ht="16.5" customHeight="1">
      <c r="G1205" s="66">
        <f>IF($D1205="","",IF(COUNTIF('Config'!$N$8:$N$15,$D1205)&gt;0,"Entrada",IF(COUNTIF('Config'!$P$8:$P$23,$D1205)&gt;0,"Saída","Verificar")))</f>
        <v/>
      </c>
    </row>
    <row r="1206" spans="7:7" ht="16.5" customHeight="1">
      <c r="G1206" s="66">
        <f>IF($D1206="","",IF(COUNTIF('Config'!$N$8:$N$15,$D1206)&gt;0,"Entrada",IF(COUNTIF('Config'!$P$8:$P$23,$D1206)&gt;0,"Saída","Verificar")))</f>
        <v/>
      </c>
    </row>
    <row r="1207" spans="7:7" ht="16.5" customHeight="1">
      <c r="G1207" s="66">
        <f>IF($D1207="","",IF(COUNTIF('Config'!$N$8:$N$15,$D1207)&gt;0,"Entrada",IF(COUNTIF('Config'!$P$8:$P$23,$D1207)&gt;0,"Saída","Verificar")))</f>
        <v/>
      </c>
    </row>
    <row r="1208" spans="7:7" ht="16.5" customHeight="1">
      <c r="G1208" s="66">
        <f>IF($D1208="","",IF(COUNTIF('Config'!$N$8:$N$15,$D1208)&gt;0,"Entrada",IF(COUNTIF('Config'!$P$8:$P$23,$D1208)&gt;0,"Saída","Verificar")))</f>
        <v/>
      </c>
    </row>
    <row r="1209" spans="7:7" ht="16.5" customHeight="1">
      <c r="G1209" s="66">
        <f>IF($D1209="","",IF(COUNTIF('Config'!$N$8:$N$15,$D1209)&gt;0,"Entrada",IF(COUNTIF('Config'!$P$8:$P$23,$D1209)&gt;0,"Saída","Verificar")))</f>
        <v/>
      </c>
    </row>
    <row r="1210" spans="7:7" ht="16.5" customHeight="1">
      <c r="G1210" s="66">
        <f>IF($D1210="","",IF(COUNTIF('Config'!$N$8:$N$15,$D1210)&gt;0,"Entrada",IF(COUNTIF('Config'!$P$8:$P$23,$D1210)&gt;0,"Saída","Verificar")))</f>
        <v/>
      </c>
    </row>
    <row r="1211" spans="7:7" ht="16.5" customHeight="1">
      <c r="G1211" s="66">
        <f>IF($D1211="","",IF(COUNTIF('Config'!$N$8:$N$15,$D1211)&gt;0,"Entrada",IF(COUNTIF('Config'!$P$8:$P$23,$D1211)&gt;0,"Saída","Verificar")))</f>
        <v/>
      </c>
    </row>
    <row r="1212" spans="7:7" ht="16.5" customHeight="1">
      <c r="G1212" s="66">
        <f>IF($D1212="","",IF(COUNTIF('Config'!$N$8:$N$15,$D1212)&gt;0,"Entrada",IF(COUNTIF('Config'!$P$8:$P$23,$D1212)&gt;0,"Saída","Verificar")))</f>
        <v/>
      </c>
    </row>
    <row r="1213" spans="7:7" ht="16.5" customHeight="1">
      <c r="G1213" s="66">
        <f>IF($D1213="","",IF(COUNTIF('Config'!$N$8:$N$15,$D1213)&gt;0,"Entrada",IF(COUNTIF('Config'!$P$8:$P$23,$D1213)&gt;0,"Saída","Verificar")))</f>
        <v/>
      </c>
    </row>
    <row r="1214" spans="7:7" ht="16.5" customHeight="1">
      <c r="G1214" s="66">
        <f>IF($D1214="","",IF(COUNTIF('Config'!$N$8:$N$15,$D1214)&gt;0,"Entrada",IF(COUNTIF('Config'!$P$8:$P$23,$D1214)&gt;0,"Saída","Verificar")))</f>
        <v/>
      </c>
    </row>
    <row r="1215" spans="7:7" ht="16.5" customHeight="1">
      <c r="G1215" s="66">
        <f>IF($D1215="","",IF(COUNTIF('Config'!$N$8:$N$15,$D1215)&gt;0,"Entrada",IF(COUNTIF('Config'!$P$8:$P$23,$D1215)&gt;0,"Saída","Verificar")))</f>
        <v/>
      </c>
    </row>
    <row r="1216" spans="7:7" ht="16.5" customHeight="1">
      <c r="G1216" s="66">
        <f>IF($D1216="","",IF(COUNTIF('Config'!$N$8:$N$15,$D1216)&gt;0,"Entrada",IF(COUNTIF('Config'!$P$8:$P$23,$D1216)&gt;0,"Saída","Verificar")))</f>
        <v/>
      </c>
    </row>
    <row r="1217" spans="7:7" ht="16.5" customHeight="1">
      <c r="G1217" s="66">
        <f>IF($D1217="","",IF(COUNTIF('Config'!$N$8:$N$15,$D1217)&gt;0,"Entrada",IF(COUNTIF('Config'!$P$8:$P$23,$D1217)&gt;0,"Saída","Verificar")))</f>
        <v/>
      </c>
    </row>
    <row r="1218" spans="7:7" ht="16.5" customHeight="1">
      <c r="G1218" s="66">
        <f>IF($D1218="","",IF(COUNTIF('Config'!$N$8:$N$15,$D1218)&gt;0,"Entrada",IF(COUNTIF('Config'!$P$8:$P$23,$D1218)&gt;0,"Saída","Verificar")))</f>
        <v/>
      </c>
    </row>
    <row r="1219" spans="7:7" ht="16.5" customHeight="1">
      <c r="G1219" s="66">
        <f>IF($D1219="","",IF(COUNTIF('Config'!$N$8:$N$15,$D1219)&gt;0,"Entrada",IF(COUNTIF('Config'!$P$8:$P$23,$D1219)&gt;0,"Saída","Verificar")))</f>
        <v/>
      </c>
    </row>
    <row r="1220" spans="7:7" ht="16.5" customHeight="1">
      <c r="G1220" s="66">
        <f>IF($D1220="","",IF(COUNTIF('Config'!$N$8:$N$15,$D1220)&gt;0,"Entrada",IF(COUNTIF('Config'!$P$8:$P$23,$D1220)&gt;0,"Saída","Verificar")))</f>
        <v/>
      </c>
    </row>
    <row r="1221" spans="7:7" ht="16.5" customHeight="1">
      <c r="G1221" s="66">
        <f>IF($D1221="","",IF(COUNTIF('Config'!$N$8:$N$15,$D1221)&gt;0,"Entrada",IF(COUNTIF('Config'!$P$8:$P$23,$D1221)&gt;0,"Saída","Verificar")))</f>
        <v/>
      </c>
    </row>
    <row r="1222" spans="7:7" ht="16.5" customHeight="1">
      <c r="G1222" s="66">
        <f>IF($D1222="","",IF(COUNTIF('Config'!$N$8:$N$15,$D1222)&gt;0,"Entrada",IF(COUNTIF('Config'!$P$8:$P$23,$D1222)&gt;0,"Saída","Verificar")))</f>
        <v/>
      </c>
    </row>
    <row r="1223" spans="7:7" ht="16.5" customHeight="1">
      <c r="G1223" s="66">
        <f>IF($D1223="","",IF(COUNTIF('Config'!$N$8:$N$15,$D1223)&gt;0,"Entrada",IF(COUNTIF('Config'!$P$8:$P$23,$D1223)&gt;0,"Saída","Verificar")))</f>
        <v/>
      </c>
    </row>
    <row r="1224" spans="7:7" ht="16.5" customHeight="1">
      <c r="G1224" s="66">
        <f>IF($D1224="","",IF(COUNTIF('Config'!$N$8:$N$15,$D1224)&gt;0,"Entrada",IF(COUNTIF('Config'!$P$8:$P$23,$D1224)&gt;0,"Saída","Verificar")))</f>
        <v/>
      </c>
    </row>
    <row r="1225" spans="7:7" ht="16.5" customHeight="1">
      <c r="G1225" s="66">
        <f>IF($D1225="","",IF(COUNTIF('Config'!$N$8:$N$15,$D1225)&gt;0,"Entrada",IF(COUNTIF('Config'!$P$8:$P$23,$D1225)&gt;0,"Saída","Verificar")))</f>
        <v/>
      </c>
    </row>
    <row r="1226" spans="7:7" ht="16.5" customHeight="1">
      <c r="G1226" s="66">
        <f>IF($D1226="","",IF(COUNTIF('Config'!$N$8:$N$15,$D1226)&gt;0,"Entrada",IF(COUNTIF('Config'!$P$8:$P$23,$D1226)&gt;0,"Saída","Verificar")))</f>
        <v/>
      </c>
    </row>
    <row r="1227" spans="7:7" ht="16.5" customHeight="1">
      <c r="G1227" s="66">
        <f>IF($D1227="","",IF(COUNTIF('Config'!$N$8:$N$15,$D1227)&gt;0,"Entrada",IF(COUNTIF('Config'!$P$8:$P$23,$D1227)&gt;0,"Saída","Verificar")))</f>
        <v/>
      </c>
    </row>
    <row r="1228" spans="7:7" ht="16.5" customHeight="1">
      <c r="G1228" s="66">
        <f>IF($D1228="","",IF(COUNTIF('Config'!$N$8:$N$15,$D1228)&gt;0,"Entrada",IF(COUNTIF('Config'!$P$8:$P$23,$D1228)&gt;0,"Saída","Verificar")))</f>
        <v/>
      </c>
    </row>
    <row r="1229" spans="7:7" ht="16.5" customHeight="1">
      <c r="G1229" s="66">
        <f>IF($D1229="","",IF(COUNTIF('Config'!$N$8:$N$15,$D1229)&gt;0,"Entrada",IF(COUNTIF('Config'!$P$8:$P$23,$D1229)&gt;0,"Saída","Verificar")))</f>
        <v/>
      </c>
    </row>
    <row r="1230" spans="7:7" ht="16.5" customHeight="1">
      <c r="G1230" s="66">
        <f>IF($D1230="","",IF(COUNTIF('Config'!$N$8:$N$15,$D1230)&gt;0,"Entrada",IF(COUNTIF('Config'!$P$8:$P$23,$D1230)&gt;0,"Saída","Verificar")))</f>
        <v/>
      </c>
    </row>
    <row r="1231" spans="7:7" ht="16.5" customHeight="1">
      <c r="G1231" s="66">
        <f>IF($D1231="","",IF(COUNTIF('Config'!$N$8:$N$15,$D1231)&gt;0,"Entrada",IF(COUNTIF('Config'!$P$8:$P$23,$D1231)&gt;0,"Saída","Verificar")))</f>
        <v/>
      </c>
    </row>
    <row r="1232" spans="7:7" ht="16.5" customHeight="1">
      <c r="G1232" s="66">
        <f>IF($D1232="","",IF(COUNTIF('Config'!$N$8:$N$15,$D1232)&gt;0,"Entrada",IF(COUNTIF('Config'!$P$8:$P$23,$D1232)&gt;0,"Saída","Verificar")))</f>
        <v/>
      </c>
    </row>
    <row r="1233" spans="7:7" ht="16.5" customHeight="1">
      <c r="G1233" s="66">
        <f>IF($D1233="","",IF(COUNTIF('Config'!$N$8:$N$15,$D1233)&gt;0,"Entrada",IF(COUNTIF('Config'!$P$8:$P$23,$D1233)&gt;0,"Saída","Verificar")))</f>
        <v/>
      </c>
    </row>
    <row r="1234" spans="7:7" ht="16.5" customHeight="1">
      <c r="G1234" s="66">
        <f>IF($D1234="","",IF(COUNTIF('Config'!$N$8:$N$15,$D1234)&gt;0,"Entrada",IF(COUNTIF('Config'!$P$8:$P$23,$D1234)&gt;0,"Saída","Verificar")))</f>
        <v/>
      </c>
    </row>
    <row r="1235" spans="7:7" ht="16.5" customHeight="1">
      <c r="G1235" s="66">
        <f>IF($D1235="","",IF(COUNTIF('Config'!$N$8:$N$15,$D1235)&gt;0,"Entrada",IF(COUNTIF('Config'!$P$8:$P$23,$D1235)&gt;0,"Saída","Verificar")))</f>
        <v/>
      </c>
    </row>
    <row r="1236" spans="7:7" ht="16.5" customHeight="1">
      <c r="G1236" s="66">
        <f>IF($D1236="","",IF(COUNTIF('Config'!$N$8:$N$15,$D1236)&gt;0,"Entrada",IF(COUNTIF('Config'!$P$8:$P$23,$D1236)&gt;0,"Saída","Verificar")))</f>
        <v/>
      </c>
    </row>
    <row r="1237" spans="7:7" ht="16.5" customHeight="1">
      <c r="G1237" s="66">
        <f>IF($D1237="","",IF(COUNTIF('Config'!$N$8:$N$15,$D1237)&gt;0,"Entrada",IF(COUNTIF('Config'!$P$8:$P$23,$D1237)&gt;0,"Saída","Verificar")))</f>
        <v/>
      </c>
    </row>
    <row r="1238" spans="7:7" ht="16.5" customHeight="1">
      <c r="G1238" s="66">
        <f>IF($D1238="","",IF(COUNTIF('Config'!$N$8:$N$15,$D1238)&gt;0,"Entrada",IF(COUNTIF('Config'!$P$8:$P$23,$D1238)&gt;0,"Saída","Verificar")))</f>
        <v/>
      </c>
    </row>
    <row r="1239" spans="7:7" ht="16.5" customHeight="1">
      <c r="G1239" s="66">
        <f>IF($D1239="","",IF(COUNTIF('Config'!$N$8:$N$15,$D1239)&gt;0,"Entrada",IF(COUNTIF('Config'!$P$8:$P$23,$D1239)&gt;0,"Saída","Verificar")))</f>
        <v/>
      </c>
    </row>
    <row r="1240" spans="7:7" ht="16.5" customHeight="1">
      <c r="G1240" s="66">
        <f>IF($D1240="","",IF(COUNTIF('Config'!$N$8:$N$15,$D1240)&gt;0,"Entrada",IF(COUNTIF('Config'!$P$8:$P$23,$D1240)&gt;0,"Saída","Verificar")))</f>
        <v/>
      </c>
    </row>
    <row r="1241" spans="7:7" ht="16.5" customHeight="1">
      <c r="G1241" s="66">
        <f>IF($D1241="","",IF(COUNTIF('Config'!$N$8:$N$15,$D1241)&gt;0,"Entrada",IF(COUNTIF('Config'!$P$8:$P$23,$D1241)&gt;0,"Saída","Verificar")))</f>
        <v/>
      </c>
    </row>
    <row r="1242" spans="7:7" ht="16.5" customHeight="1">
      <c r="G1242" s="66">
        <f>IF($D1242="","",IF(COUNTIF('Config'!$N$8:$N$15,$D1242)&gt;0,"Entrada",IF(COUNTIF('Config'!$P$8:$P$23,$D1242)&gt;0,"Saída","Verificar")))</f>
        <v/>
      </c>
    </row>
    <row r="1243" spans="7:7" ht="16.5" customHeight="1">
      <c r="G1243" s="66">
        <f>IF($D1243="","",IF(COUNTIF('Config'!$N$8:$N$15,$D1243)&gt;0,"Entrada",IF(COUNTIF('Config'!$P$8:$P$23,$D1243)&gt;0,"Saída","Verificar")))</f>
        <v/>
      </c>
    </row>
    <row r="1244" spans="7:7" ht="16.5" customHeight="1">
      <c r="G1244" s="66">
        <f>IF($D1244="","",IF(COUNTIF('Config'!$N$8:$N$15,$D1244)&gt;0,"Entrada",IF(COUNTIF('Config'!$P$8:$P$23,$D1244)&gt;0,"Saída","Verificar")))</f>
        <v/>
      </c>
    </row>
    <row r="1245" spans="7:7" ht="16.5" customHeight="1">
      <c r="G1245" s="66">
        <f>IF($D1245="","",IF(COUNTIF('Config'!$N$8:$N$15,$D1245)&gt;0,"Entrada",IF(COUNTIF('Config'!$P$8:$P$23,$D1245)&gt;0,"Saída","Verificar")))</f>
        <v/>
      </c>
    </row>
    <row r="1246" spans="7:7" ht="16.5" customHeight="1">
      <c r="G1246" s="66">
        <f>IF($D1246="","",IF(COUNTIF('Config'!$N$8:$N$15,$D1246)&gt;0,"Entrada",IF(COUNTIF('Config'!$P$8:$P$23,$D1246)&gt;0,"Saída","Verificar")))</f>
        <v/>
      </c>
    </row>
    <row r="1247" spans="7:7" ht="16.5" customHeight="1">
      <c r="G1247" s="66">
        <f>IF($D1247="","",IF(COUNTIF('Config'!$N$8:$N$15,$D1247)&gt;0,"Entrada",IF(COUNTIF('Config'!$P$8:$P$23,$D1247)&gt;0,"Saída","Verificar")))</f>
        <v/>
      </c>
    </row>
    <row r="1248" spans="7:7" ht="16.5" customHeight="1">
      <c r="G1248" s="66">
        <f>IF($D1248="","",IF(COUNTIF('Config'!$N$8:$N$15,$D1248)&gt;0,"Entrada",IF(COUNTIF('Config'!$P$8:$P$23,$D1248)&gt;0,"Saída","Verificar")))</f>
        <v/>
      </c>
    </row>
    <row r="1249" spans="7:7" ht="16.5" customHeight="1">
      <c r="G1249" s="66">
        <f>IF($D1249="","",IF(COUNTIF('Config'!$N$8:$N$15,$D1249)&gt;0,"Entrada",IF(COUNTIF('Config'!$P$8:$P$23,$D1249)&gt;0,"Saída","Verificar")))</f>
        <v/>
      </c>
    </row>
    <row r="1250" spans="7:7" ht="16.5" customHeight="1">
      <c r="G1250" s="66">
        <f>IF($D1250="","",IF(COUNTIF('Config'!$N$8:$N$15,$D1250)&gt;0,"Entrada",IF(COUNTIF('Config'!$P$8:$P$23,$D1250)&gt;0,"Saída","Verificar")))</f>
        <v/>
      </c>
    </row>
    <row r="1251" spans="7:7" ht="16.5" customHeight="1">
      <c r="G1251" s="66">
        <f>IF($D1251="","",IF(COUNTIF('Config'!$N$8:$N$15,$D1251)&gt;0,"Entrada",IF(COUNTIF('Config'!$P$8:$P$23,$D1251)&gt;0,"Saída","Verificar")))</f>
        <v/>
      </c>
    </row>
    <row r="1252" spans="7:7" ht="16.5" customHeight="1">
      <c r="G1252" s="66">
        <f>IF($D1252="","",IF(COUNTIF('Config'!$N$8:$N$15,$D1252)&gt;0,"Entrada",IF(COUNTIF('Config'!$P$8:$P$23,$D1252)&gt;0,"Saída","Verificar")))</f>
        <v/>
      </c>
    </row>
    <row r="1253" spans="7:7" ht="16.5" customHeight="1">
      <c r="G1253" s="66">
        <f>IF($D1253="","",IF(COUNTIF('Config'!$N$8:$N$15,$D1253)&gt;0,"Entrada",IF(COUNTIF('Config'!$P$8:$P$23,$D1253)&gt;0,"Saída","Verificar")))</f>
        <v/>
      </c>
    </row>
    <row r="1254" spans="7:7" ht="16.5" customHeight="1">
      <c r="G1254" s="66">
        <f>IF($D1254="","",IF(COUNTIF('Config'!$N$8:$N$15,$D1254)&gt;0,"Entrada",IF(COUNTIF('Config'!$P$8:$P$23,$D1254)&gt;0,"Saída","Verificar")))</f>
        <v/>
      </c>
    </row>
    <row r="1255" spans="7:7" ht="16.5" customHeight="1">
      <c r="G1255" s="66">
        <f>IF($D1255="","",IF(COUNTIF('Config'!$N$8:$N$15,$D1255)&gt;0,"Entrada",IF(COUNTIF('Config'!$P$8:$P$23,$D1255)&gt;0,"Saída","Verificar")))</f>
        <v/>
      </c>
    </row>
    <row r="1256" spans="7:7" ht="16.5" customHeight="1">
      <c r="G1256" s="66">
        <f>IF($D1256="","",IF(COUNTIF('Config'!$N$8:$N$15,$D1256)&gt;0,"Entrada",IF(COUNTIF('Config'!$P$8:$P$23,$D1256)&gt;0,"Saída","Verificar")))</f>
        <v/>
      </c>
    </row>
    <row r="1257" spans="7:7" ht="16.5" customHeight="1">
      <c r="G1257" s="66">
        <f>IF($D1257="","",IF(COUNTIF('Config'!$N$8:$N$15,$D1257)&gt;0,"Entrada",IF(COUNTIF('Config'!$P$8:$P$23,$D1257)&gt;0,"Saída","Verificar")))</f>
        <v/>
      </c>
    </row>
    <row r="1258" spans="7:7" ht="16.5" customHeight="1">
      <c r="G1258" s="66">
        <f>IF($D1258="","",IF(COUNTIF('Config'!$N$8:$N$15,$D1258)&gt;0,"Entrada",IF(COUNTIF('Config'!$P$8:$P$23,$D1258)&gt;0,"Saída","Verificar")))</f>
        <v/>
      </c>
    </row>
    <row r="1259" spans="7:7" ht="16.5" customHeight="1">
      <c r="G1259" s="66">
        <f>IF($D1259="","",IF(COUNTIF('Config'!$N$8:$N$15,$D1259)&gt;0,"Entrada",IF(COUNTIF('Config'!$P$8:$P$23,$D1259)&gt;0,"Saída","Verificar")))</f>
        <v/>
      </c>
    </row>
    <row r="1260" spans="7:7" ht="16.5" customHeight="1">
      <c r="G1260" s="66">
        <f>IF($D1260="","",IF(COUNTIF('Config'!$N$8:$N$15,$D1260)&gt;0,"Entrada",IF(COUNTIF('Config'!$P$8:$P$23,$D1260)&gt;0,"Saída","Verificar")))</f>
        <v/>
      </c>
    </row>
    <row r="1261" spans="7:7" ht="16.5" customHeight="1">
      <c r="G1261" s="66">
        <f>IF($D1261="","",IF(COUNTIF('Config'!$N$8:$N$15,$D1261)&gt;0,"Entrada",IF(COUNTIF('Config'!$P$8:$P$23,$D1261)&gt;0,"Saída","Verificar")))</f>
        <v/>
      </c>
    </row>
    <row r="1262" spans="7:7" ht="16.5" customHeight="1">
      <c r="G1262" s="66">
        <f>IF($D1262="","",IF(COUNTIF('Config'!$N$8:$N$15,$D1262)&gt;0,"Entrada",IF(COUNTIF('Config'!$P$8:$P$23,$D1262)&gt;0,"Saída","Verificar")))</f>
        <v/>
      </c>
    </row>
    <row r="1263" spans="7:7" ht="16.5" customHeight="1">
      <c r="G1263" s="66">
        <f>IF($D1263="","",IF(COUNTIF('Config'!$N$8:$N$15,$D1263)&gt;0,"Entrada",IF(COUNTIF('Config'!$P$8:$P$23,$D1263)&gt;0,"Saída","Verificar")))</f>
        <v/>
      </c>
    </row>
    <row r="1264" spans="7:7" ht="16.5" customHeight="1">
      <c r="G1264" s="66">
        <f>IF($D1264="","",IF(COUNTIF('Config'!$N$8:$N$15,$D1264)&gt;0,"Entrada",IF(COUNTIF('Config'!$P$8:$P$23,$D1264)&gt;0,"Saída","Verificar")))</f>
        <v/>
      </c>
    </row>
    <row r="1265" spans="7:7" ht="16.5" customHeight="1">
      <c r="G1265" s="66">
        <f>IF($D1265="","",IF(COUNTIF('Config'!$N$8:$N$15,$D1265)&gt;0,"Entrada",IF(COUNTIF('Config'!$P$8:$P$23,$D1265)&gt;0,"Saída","Verificar")))</f>
        <v/>
      </c>
    </row>
    <row r="1266" spans="7:7" ht="16.5" customHeight="1">
      <c r="G1266" s="66">
        <f>IF($D1266="","",IF(COUNTIF('Config'!$N$8:$N$15,$D1266)&gt;0,"Entrada",IF(COUNTIF('Config'!$P$8:$P$23,$D1266)&gt;0,"Saída","Verificar")))</f>
        <v/>
      </c>
    </row>
    <row r="1267" spans="7:7" ht="16.5" customHeight="1">
      <c r="G1267" s="66">
        <f>IF($D1267="","",IF(COUNTIF('Config'!$N$8:$N$15,$D1267)&gt;0,"Entrada",IF(COUNTIF('Config'!$P$8:$P$23,$D1267)&gt;0,"Saída","Verificar")))</f>
        <v/>
      </c>
    </row>
    <row r="1268" spans="7:7" ht="16.5" customHeight="1">
      <c r="G1268" s="66">
        <f>IF($D1268="","",IF(COUNTIF('Config'!$N$8:$N$15,$D1268)&gt;0,"Entrada",IF(COUNTIF('Config'!$P$8:$P$23,$D1268)&gt;0,"Saída","Verificar")))</f>
        <v/>
      </c>
    </row>
    <row r="1269" spans="7:7" ht="16.5" customHeight="1">
      <c r="G1269" s="66">
        <f>IF($D1269="","",IF(COUNTIF('Config'!$N$8:$N$15,$D1269)&gt;0,"Entrada",IF(COUNTIF('Config'!$P$8:$P$23,$D1269)&gt;0,"Saída","Verificar")))</f>
        <v/>
      </c>
    </row>
    <row r="1270" spans="7:7" ht="16.5" customHeight="1">
      <c r="G1270" s="66">
        <f>IF($D1270="","",IF(COUNTIF('Config'!$N$8:$N$15,$D1270)&gt;0,"Entrada",IF(COUNTIF('Config'!$P$8:$P$23,$D1270)&gt;0,"Saída","Verificar")))</f>
        <v/>
      </c>
    </row>
    <row r="1271" spans="7:7" ht="16.5" customHeight="1">
      <c r="G1271" s="66">
        <f>IF($D1271="","",IF(COUNTIF('Config'!$N$8:$N$15,$D1271)&gt;0,"Entrada",IF(COUNTIF('Config'!$P$8:$P$23,$D1271)&gt;0,"Saída","Verificar")))</f>
        <v/>
      </c>
    </row>
    <row r="1272" spans="7:7" ht="16.5" customHeight="1">
      <c r="G1272" s="66">
        <f>IF($D1272="","",IF(COUNTIF('Config'!$N$8:$N$15,$D1272)&gt;0,"Entrada",IF(COUNTIF('Config'!$P$8:$P$23,$D1272)&gt;0,"Saída","Verificar")))</f>
        <v/>
      </c>
    </row>
    <row r="1273" spans="7:7" ht="16.5" customHeight="1">
      <c r="G1273" s="66">
        <f>IF($D1273="","",IF(COUNTIF('Config'!$N$8:$N$15,$D1273)&gt;0,"Entrada",IF(COUNTIF('Config'!$P$8:$P$23,$D1273)&gt;0,"Saída","Verificar")))</f>
        <v/>
      </c>
    </row>
    <row r="1274" spans="7:7" ht="16.5" customHeight="1">
      <c r="G1274" s="66">
        <f>IF($D1274="","",IF(COUNTIF('Config'!$N$8:$N$15,$D1274)&gt;0,"Entrada",IF(COUNTIF('Config'!$P$8:$P$23,$D1274)&gt;0,"Saída","Verificar")))</f>
        <v/>
      </c>
    </row>
    <row r="1275" spans="7:7" ht="16.5" customHeight="1">
      <c r="G1275" s="66">
        <f>IF($D1275="","",IF(COUNTIF('Config'!$N$8:$N$15,$D1275)&gt;0,"Entrada",IF(COUNTIF('Config'!$P$8:$P$23,$D1275)&gt;0,"Saída","Verificar")))</f>
        <v/>
      </c>
    </row>
    <row r="1276" spans="7:7" ht="16.5" customHeight="1">
      <c r="G1276" s="66">
        <f>IF($D1276="","",IF(COUNTIF('Config'!$N$8:$N$15,$D1276)&gt;0,"Entrada",IF(COUNTIF('Config'!$P$8:$P$23,$D1276)&gt;0,"Saída","Verificar")))</f>
        <v/>
      </c>
    </row>
    <row r="1277" spans="7:7" ht="16.5" customHeight="1">
      <c r="G1277" s="66">
        <f>IF($D1277="","",IF(COUNTIF('Config'!$N$8:$N$15,$D1277)&gt;0,"Entrada",IF(COUNTIF('Config'!$P$8:$P$23,$D1277)&gt;0,"Saída","Verificar")))</f>
        <v/>
      </c>
    </row>
    <row r="1278" spans="7:7" ht="16.5" customHeight="1">
      <c r="G1278" s="66">
        <f>IF($D1278="","",IF(COUNTIF('Config'!$N$8:$N$15,$D1278)&gt;0,"Entrada",IF(COUNTIF('Config'!$P$8:$P$23,$D1278)&gt;0,"Saída","Verificar")))</f>
        <v/>
      </c>
    </row>
    <row r="1279" spans="7:7" ht="16.5" customHeight="1">
      <c r="G1279" s="66">
        <f>IF($D1279="","",IF(COUNTIF('Config'!$N$8:$N$15,$D1279)&gt;0,"Entrada",IF(COUNTIF('Config'!$P$8:$P$23,$D1279)&gt;0,"Saída","Verificar")))</f>
        <v/>
      </c>
    </row>
    <row r="1280" spans="7:7" ht="16.5" customHeight="1">
      <c r="G1280" s="66">
        <f>IF($D1280="","",IF(COUNTIF('Config'!$N$8:$N$15,$D1280)&gt;0,"Entrada",IF(COUNTIF('Config'!$P$8:$P$23,$D1280)&gt;0,"Saída","Verificar")))</f>
        <v/>
      </c>
    </row>
    <row r="1281" spans="7:7" ht="16.5" customHeight="1">
      <c r="G1281" s="66">
        <f>IF($D1281="","",IF(COUNTIF('Config'!$N$8:$N$15,$D1281)&gt;0,"Entrada",IF(COUNTIF('Config'!$P$8:$P$23,$D1281)&gt;0,"Saída","Verificar")))</f>
        <v/>
      </c>
    </row>
    <row r="1282" spans="7:7" ht="16.5" customHeight="1">
      <c r="G1282" s="66">
        <f>IF($D1282="","",IF(COUNTIF('Config'!$N$8:$N$15,$D1282)&gt;0,"Entrada",IF(COUNTIF('Config'!$P$8:$P$23,$D1282)&gt;0,"Saída","Verificar")))</f>
        <v/>
      </c>
    </row>
    <row r="1283" spans="7:7" ht="16.5" customHeight="1">
      <c r="G1283" s="66">
        <f>IF($D1283="","",IF(COUNTIF('Config'!$N$8:$N$15,$D1283)&gt;0,"Entrada",IF(COUNTIF('Config'!$P$8:$P$23,$D1283)&gt;0,"Saída","Verificar")))</f>
        <v/>
      </c>
    </row>
    <row r="1284" spans="7:7" ht="16.5" customHeight="1">
      <c r="G1284" s="66">
        <f>IF($D1284="","",IF(COUNTIF('Config'!$N$8:$N$15,$D1284)&gt;0,"Entrada",IF(COUNTIF('Config'!$P$8:$P$23,$D1284)&gt;0,"Saída","Verificar")))</f>
        <v/>
      </c>
    </row>
    <row r="1285" spans="7:7" ht="16.5" customHeight="1">
      <c r="G1285" s="66">
        <f>IF($D1285="","",IF(COUNTIF('Config'!$N$8:$N$15,$D1285)&gt;0,"Entrada",IF(COUNTIF('Config'!$P$8:$P$23,$D1285)&gt;0,"Saída","Verificar")))</f>
        <v/>
      </c>
    </row>
    <row r="1286" spans="7:7" ht="16.5" customHeight="1">
      <c r="G1286" s="66">
        <f>IF($D1286="","",IF(COUNTIF('Config'!$N$8:$N$15,$D1286)&gt;0,"Entrada",IF(COUNTIF('Config'!$P$8:$P$23,$D1286)&gt;0,"Saída","Verificar")))</f>
        <v/>
      </c>
    </row>
    <row r="1287" spans="7:7" ht="16.5" customHeight="1">
      <c r="G1287" s="66">
        <f>IF($D1287="","",IF(COUNTIF('Config'!$N$8:$N$15,$D1287)&gt;0,"Entrada",IF(COUNTIF('Config'!$P$8:$P$23,$D1287)&gt;0,"Saída","Verificar")))</f>
        <v/>
      </c>
    </row>
    <row r="1288" spans="7:7" ht="16.5" customHeight="1">
      <c r="G1288" s="66">
        <f>IF($D1288="","",IF(COUNTIF('Config'!$N$8:$N$15,$D1288)&gt;0,"Entrada",IF(COUNTIF('Config'!$P$8:$P$23,$D1288)&gt;0,"Saída","Verificar")))</f>
        <v/>
      </c>
    </row>
    <row r="1289" spans="7:7" ht="16.5" customHeight="1">
      <c r="G1289" s="66">
        <f>IF($D1289="","",IF(COUNTIF('Config'!$N$8:$N$15,$D1289)&gt;0,"Entrada",IF(COUNTIF('Config'!$P$8:$P$23,$D1289)&gt;0,"Saída","Verificar")))</f>
        <v/>
      </c>
    </row>
    <row r="1290" spans="7:7" ht="16.5" customHeight="1">
      <c r="G1290" s="66">
        <f>IF($D1290="","",IF(COUNTIF('Config'!$N$8:$N$15,$D1290)&gt;0,"Entrada",IF(COUNTIF('Config'!$P$8:$P$23,$D1290)&gt;0,"Saída","Verificar")))</f>
        <v/>
      </c>
    </row>
    <row r="1291" spans="7:7" ht="16.5" customHeight="1">
      <c r="G1291" s="66">
        <f>IF($D1291="","",IF(COUNTIF('Config'!$N$8:$N$15,$D1291)&gt;0,"Entrada",IF(COUNTIF('Config'!$P$8:$P$23,$D1291)&gt;0,"Saída","Verificar")))</f>
        <v/>
      </c>
    </row>
    <row r="1292" spans="7:7" ht="16.5" customHeight="1">
      <c r="G1292" s="66">
        <f>IF($D1292="","",IF(COUNTIF('Config'!$N$8:$N$15,$D1292)&gt;0,"Entrada",IF(COUNTIF('Config'!$P$8:$P$23,$D1292)&gt;0,"Saída","Verificar")))</f>
        <v/>
      </c>
    </row>
    <row r="1293" spans="7:7" ht="16.5" customHeight="1">
      <c r="G1293" s="66">
        <f>IF($D1293="","",IF(COUNTIF('Config'!$N$8:$N$15,$D1293)&gt;0,"Entrada",IF(COUNTIF('Config'!$P$8:$P$23,$D1293)&gt;0,"Saída","Verificar")))</f>
        <v/>
      </c>
    </row>
    <row r="1294" spans="7:7" ht="16.5" customHeight="1">
      <c r="G1294" s="66">
        <f>IF($D1294="","",IF(COUNTIF('Config'!$N$8:$N$15,$D1294)&gt;0,"Entrada",IF(COUNTIF('Config'!$P$8:$P$23,$D1294)&gt;0,"Saída","Verificar")))</f>
        <v/>
      </c>
    </row>
    <row r="1295" spans="7:7" ht="16.5" customHeight="1">
      <c r="G1295" s="66">
        <f>IF($D1295="","",IF(COUNTIF('Config'!$N$8:$N$15,$D1295)&gt;0,"Entrada",IF(COUNTIF('Config'!$P$8:$P$23,$D1295)&gt;0,"Saída","Verificar")))</f>
        <v/>
      </c>
    </row>
    <row r="1296" spans="7:7" ht="16.5" customHeight="1">
      <c r="G1296" s="66">
        <f>IF($D1296="","",IF(COUNTIF('Config'!$N$8:$N$15,$D1296)&gt;0,"Entrada",IF(COUNTIF('Config'!$P$8:$P$23,$D1296)&gt;0,"Saída","Verificar")))</f>
        <v/>
      </c>
    </row>
    <row r="1297" spans="7:7" ht="16.5" customHeight="1">
      <c r="G1297" s="66">
        <f>IF($D1297="","",IF(COUNTIF('Config'!$N$8:$N$15,$D1297)&gt;0,"Entrada",IF(COUNTIF('Config'!$P$8:$P$23,$D1297)&gt;0,"Saída","Verificar")))</f>
        <v/>
      </c>
    </row>
    <row r="1298" spans="7:7" ht="16.5" customHeight="1">
      <c r="G1298" s="66">
        <f>IF($D1298="","",IF(COUNTIF('Config'!$N$8:$N$15,$D1298)&gt;0,"Entrada",IF(COUNTIF('Config'!$P$8:$P$23,$D1298)&gt;0,"Saída","Verificar")))</f>
        <v/>
      </c>
    </row>
    <row r="1299" spans="7:7" ht="16.5" customHeight="1">
      <c r="G1299" s="66">
        <f>IF($D1299="","",IF(COUNTIF('Config'!$N$8:$N$15,$D1299)&gt;0,"Entrada",IF(COUNTIF('Config'!$P$8:$P$23,$D1299)&gt;0,"Saída","Verificar")))</f>
        <v/>
      </c>
    </row>
    <row r="1300" spans="7:7" ht="16.5" customHeight="1">
      <c r="G1300" s="66">
        <f>IF($D1300="","",IF(COUNTIF('Config'!$N$8:$N$15,$D1300)&gt;0,"Entrada",IF(COUNTIF('Config'!$P$8:$P$23,$D1300)&gt;0,"Saída","Verificar")))</f>
        <v/>
      </c>
    </row>
    <row r="1301" spans="7:7" ht="16.5" customHeight="1">
      <c r="G1301" s="66">
        <f>IF($D1301="","",IF(COUNTIF('Config'!$N$8:$N$15,$D1301)&gt;0,"Entrada",IF(COUNTIF('Config'!$P$8:$P$23,$D1301)&gt;0,"Saída","Verificar")))</f>
        <v/>
      </c>
    </row>
    <row r="1302" spans="7:7" ht="16.5" customHeight="1">
      <c r="G1302" s="66">
        <f>IF($D1302="","",IF(COUNTIF('Config'!$N$8:$N$15,$D1302)&gt;0,"Entrada",IF(COUNTIF('Config'!$P$8:$P$23,$D1302)&gt;0,"Saída","Verificar")))</f>
        <v/>
      </c>
    </row>
    <row r="1303" spans="7:7" ht="16.5" customHeight="1">
      <c r="G1303" s="66">
        <f>IF($D1303="","",IF(COUNTIF('Config'!$N$8:$N$15,$D1303)&gt;0,"Entrada",IF(COUNTIF('Config'!$P$8:$P$23,$D1303)&gt;0,"Saída","Verificar")))</f>
        <v/>
      </c>
    </row>
    <row r="1304" spans="7:7" ht="16.5" customHeight="1">
      <c r="G1304" s="66">
        <f>IF($D1304="","",IF(COUNTIF('Config'!$N$8:$N$15,$D1304)&gt;0,"Entrada",IF(COUNTIF('Config'!$P$8:$P$23,$D1304)&gt;0,"Saída","Verificar")))</f>
        <v/>
      </c>
    </row>
    <row r="1305" spans="7:7" ht="16.5" customHeight="1">
      <c r="G1305" s="66">
        <f>IF($D1305="","",IF(COUNTIF('Config'!$N$8:$N$15,$D1305)&gt;0,"Entrada",IF(COUNTIF('Config'!$P$8:$P$23,$D1305)&gt;0,"Saída","Verificar")))</f>
        <v/>
      </c>
    </row>
    <row r="1306" spans="7:7" ht="16.5" customHeight="1">
      <c r="G1306" s="66">
        <f>IF($D1306="","",IF(COUNTIF('Config'!$N$8:$N$15,$D1306)&gt;0,"Entrada",IF(COUNTIF('Config'!$P$8:$P$23,$D1306)&gt;0,"Saída","Verificar")))</f>
        <v/>
      </c>
    </row>
    <row r="1307" spans="7:7" ht="16.5" customHeight="1">
      <c r="G1307" s="66">
        <f>IF($D1307="","",IF(COUNTIF('Config'!$N$8:$N$15,$D1307)&gt;0,"Entrada",IF(COUNTIF('Config'!$P$8:$P$23,$D1307)&gt;0,"Saída","Verificar")))</f>
        <v/>
      </c>
    </row>
    <row r="1308" spans="7:7" ht="16.5" customHeight="1">
      <c r="G1308" s="66">
        <f>IF($D1308="","",IF(COUNTIF('Config'!$N$8:$N$15,$D1308)&gt;0,"Entrada",IF(COUNTIF('Config'!$P$8:$P$23,$D1308)&gt;0,"Saída","Verificar")))</f>
        <v/>
      </c>
    </row>
    <row r="1309" spans="7:7" ht="16.5" customHeight="1">
      <c r="G1309" s="66">
        <f>IF($D1309="","",IF(COUNTIF('Config'!$N$8:$N$15,$D1309)&gt;0,"Entrada",IF(COUNTIF('Config'!$P$8:$P$23,$D1309)&gt;0,"Saída","Verificar")))</f>
        <v/>
      </c>
    </row>
    <row r="1310" spans="7:7" ht="16.5" customHeight="1">
      <c r="G1310" s="66">
        <f>IF($D1310="","",IF(COUNTIF('Config'!$N$8:$N$15,$D1310)&gt;0,"Entrada",IF(COUNTIF('Config'!$P$8:$P$23,$D1310)&gt;0,"Saída","Verificar")))</f>
        <v/>
      </c>
    </row>
    <row r="1311" spans="7:7" ht="16.5" customHeight="1">
      <c r="G1311" s="66">
        <f>IF($D1311="","",IF(COUNTIF('Config'!$N$8:$N$15,$D1311)&gt;0,"Entrada",IF(COUNTIF('Config'!$P$8:$P$23,$D1311)&gt;0,"Saída","Verificar")))</f>
        <v/>
      </c>
    </row>
    <row r="1312" spans="7:7" ht="16.5" customHeight="1">
      <c r="G1312" s="66">
        <f>IF($D1312="","",IF(COUNTIF('Config'!$N$8:$N$15,$D1312)&gt;0,"Entrada",IF(COUNTIF('Config'!$P$8:$P$23,$D1312)&gt;0,"Saída","Verificar")))</f>
        <v/>
      </c>
    </row>
    <row r="1313" spans="7:7" ht="16.5" customHeight="1">
      <c r="G1313" s="66">
        <f>IF($D1313="","",IF(COUNTIF('Config'!$N$8:$N$15,$D1313)&gt;0,"Entrada",IF(COUNTIF('Config'!$P$8:$P$23,$D1313)&gt;0,"Saída","Verificar")))</f>
        <v/>
      </c>
    </row>
    <row r="1314" spans="7:7" ht="16.5" customHeight="1">
      <c r="G1314" s="66">
        <f>IF($D1314="","",IF(COUNTIF('Config'!$N$8:$N$15,$D1314)&gt;0,"Entrada",IF(COUNTIF('Config'!$P$8:$P$23,$D1314)&gt;0,"Saída","Verificar")))</f>
        <v/>
      </c>
    </row>
    <row r="1315" spans="7:7" ht="16.5" customHeight="1">
      <c r="G1315" s="66">
        <f>IF($D1315="","",IF(COUNTIF('Config'!$N$8:$N$15,$D1315)&gt;0,"Entrada",IF(COUNTIF('Config'!$P$8:$P$23,$D1315)&gt;0,"Saída","Verificar")))</f>
        <v/>
      </c>
    </row>
    <row r="1316" spans="7:7" ht="16.5" customHeight="1">
      <c r="G1316" s="66">
        <f>IF($D1316="","",IF(COUNTIF('Config'!$N$8:$N$15,$D1316)&gt;0,"Entrada",IF(COUNTIF('Config'!$P$8:$P$23,$D1316)&gt;0,"Saída","Verificar")))</f>
        <v/>
      </c>
    </row>
    <row r="1317" spans="7:7" ht="16.5" customHeight="1">
      <c r="G1317" s="66">
        <f>IF($D1317="","",IF(COUNTIF('Config'!$N$8:$N$15,$D1317)&gt;0,"Entrada",IF(COUNTIF('Config'!$P$8:$P$23,$D1317)&gt;0,"Saída","Verificar")))</f>
        <v/>
      </c>
    </row>
    <row r="1318" spans="7:7" ht="16.5" customHeight="1">
      <c r="G1318" s="66">
        <f>IF($D1318="","",IF(COUNTIF('Config'!$N$8:$N$15,$D1318)&gt;0,"Entrada",IF(COUNTIF('Config'!$P$8:$P$23,$D1318)&gt;0,"Saída","Verificar")))</f>
        <v/>
      </c>
    </row>
    <row r="1319" spans="7:7" ht="16.5" customHeight="1">
      <c r="G1319" s="66">
        <f>IF($D1319="","",IF(COUNTIF('Config'!$N$8:$N$15,$D1319)&gt;0,"Entrada",IF(COUNTIF('Config'!$P$8:$P$23,$D1319)&gt;0,"Saída","Verificar")))</f>
        <v/>
      </c>
    </row>
    <row r="1320" spans="7:7" ht="16.5" customHeight="1">
      <c r="G1320" s="66">
        <f>IF($D1320="","",IF(COUNTIF('Config'!$N$8:$N$15,$D1320)&gt;0,"Entrada",IF(COUNTIF('Config'!$P$8:$P$23,$D1320)&gt;0,"Saída","Verificar")))</f>
        <v/>
      </c>
    </row>
    <row r="1321" spans="7:7" ht="16.5" customHeight="1">
      <c r="G1321" s="66">
        <f>IF($D1321="","",IF(COUNTIF('Config'!$N$8:$N$15,$D1321)&gt;0,"Entrada",IF(COUNTIF('Config'!$P$8:$P$23,$D1321)&gt;0,"Saída","Verificar")))</f>
        <v/>
      </c>
    </row>
    <row r="1322" spans="7:7" ht="16.5" customHeight="1">
      <c r="G1322" s="66">
        <f>IF($D1322="","",IF(COUNTIF('Config'!$N$8:$N$15,$D1322)&gt;0,"Entrada",IF(COUNTIF('Config'!$P$8:$P$23,$D1322)&gt;0,"Saída","Verificar")))</f>
        <v/>
      </c>
    </row>
    <row r="1323" spans="7:7" ht="16.5" customHeight="1">
      <c r="G1323" s="66">
        <f>IF($D1323="","",IF(COUNTIF('Config'!$N$8:$N$15,$D1323)&gt;0,"Entrada",IF(COUNTIF('Config'!$P$8:$P$23,$D1323)&gt;0,"Saída","Verificar")))</f>
        <v/>
      </c>
    </row>
    <row r="1324" spans="7:7" ht="16.5" customHeight="1">
      <c r="G1324" s="66">
        <f>IF($D1324="","",IF(COUNTIF('Config'!$N$8:$N$15,$D1324)&gt;0,"Entrada",IF(COUNTIF('Config'!$P$8:$P$23,$D1324)&gt;0,"Saída","Verificar")))</f>
        <v/>
      </c>
    </row>
    <row r="1325" spans="7:7" ht="16.5" customHeight="1">
      <c r="G1325" s="66">
        <f>IF($D1325="","",IF(COUNTIF('Config'!$N$8:$N$15,$D1325)&gt;0,"Entrada",IF(COUNTIF('Config'!$P$8:$P$23,$D1325)&gt;0,"Saída","Verificar")))</f>
        <v/>
      </c>
    </row>
    <row r="1326" spans="7:7" ht="16.5" customHeight="1">
      <c r="G1326" s="66">
        <f>IF($D1326="","",IF(COUNTIF('Config'!$N$8:$N$15,$D1326)&gt;0,"Entrada",IF(COUNTIF('Config'!$P$8:$P$23,$D1326)&gt;0,"Saída","Verificar")))</f>
        <v/>
      </c>
    </row>
    <row r="1327" spans="7:7" ht="16.5" customHeight="1">
      <c r="G1327" s="66">
        <f>IF($D1327="","",IF(COUNTIF('Config'!$N$8:$N$15,$D1327)&gt;0,"Entrada",IF(COUNTIF('Config'!$P$8:$P$23,$D1327)&gt;0,"Saída","Verificar")))</f>
        <v/>
      </c>
    </row>
    <row r="1328" spans="7:7" ht="16.5" customHeight="1">
      <c r="G1328" s="66">
        <f>IF($D1328="","",IF(COUNTIF('Config'!$N$8:$N$15,$D1328)&gt;0,"Entrada",IF(COUNTIF('Config'!$P$8:$P$23,$D1328)&gt;0,"Saída","Verificar")))</f>
        <v/>
      </c>
    </row>
    <row r="1329" spans="7:7" ht="16.5" customHeight="1">
      <c r="G1329" s="66">
        <f>IF($D1329="","",IF(COUNTIF('Config'!$N$8:$N$15,$D1329)&gt;0,"Entrada",IF(COUNTIF('Config'!$P$8:$P$23,$D1329)&gt;0,"Saída","Verificar")))</f>
        <v/>
      </c>
    </row>
    <row r="1330" spans="7:7" ht="16.5" customHeight="1">
      <c r="G1330" s="66">
        <f>IF($D1330="","",IF(COUNTIF('Config'!$N$8:$N$15,$D1330)&gt;0,"Entrada",IF(COUNTIF('Config'!$P$8:$P$23,$D1330)&gt;0,"Saída","Verificar")))</f>
        <v/>
      </c>
    </row>
    <row r="1331" spans="7:7" ht="16.5" customHeight="1">
      <c r="G1331" s="66">
        <f>IF($D1331="","",IF(COUNTIF('Config'!$N$8:$N$15,$D1331)&gt;0,"Entrada",IF(COUNTIF('Config'!$P$8:$P$23,$D1331)&gt;0,"Saída","Verificar")))</f>
        <v/>
      </c>
    </row>
    <row r="1332" spans="7:7" ht="16.5" customHeight="1">
      <c r="G1332" s="66">
        <f>IF($D1332="","",IF(COUNTIF('Config'!$N$8:$N$15,$D1332)&gt;0,"Entrada",IF(COUNTIF('Config'!$P$8:$P$23,$D1332)&gt;0,"Saída","Verificar")))</f>
        <v/>
      </c>
    </row>
    <row r="1333" spans="7:7" ht="16.5" customHeight="1">
      <c r="G1333" s="66">
        <f>IF($D1333="","",IF(COUNTIF('Config'!$N$8:$N$15,$D1333)&gt;0,"Entrada",IF(COUNTIF('Config'!$P$8:$P$23,$D1333)&gt;0,"Saída","Verificar")))</f>
        <v/>
      </c>
    </row>
    <row r="1334" spans="7:7" ht="16.5" customHeight="1">
      <c r="G1334" s="66">
        <f>IF($D1334="","",IF(COUNTIF('Config'!$N$8:$N$15,$D1334)&gt;0,"Entrada",IF(COUNTIF('Config'!$P$8:$P$23,$D1334)&gt;0,"Saída","Verificar")))</f>
        <v/>
      </c>
    </row>
    <row r="1335" spans="7:7" ht="16.5" customHeight="1">
      <c r="G1335" s="66">
        <f>IF($D1335="","",IF(COUNTIF('Config'!$N$8:$N$15,$D1335)&gt;0,"Entrada",IF(COUNTIF('Config'!$P$8:$P$23,$D1335)&gt;0,"Saída","Verificar")))</f>
        <v/>
      </c>
    </row>
    <row r="1336" spans="7:7" ht="16.5" customHeight="1">
      <c r="G1336" s="66">
        <f>IF($D1336="","",IF(COUNTIF('Config'!$N$8:$N$15,$D1336)&gt;0,"Entrada",IF(COUNTIF('Config'!$P$8:$P$23,$D1336)&gt;0,"Saída","Verificar")))</f>
        <v/>
      </c>
    </row>
    <row r="1337" spans="7:7" ht="16.5" customHeight="1">
      <c r="G1337" s="66">
        <f>IF($D1337="","",IF(COUNTIF('Config'!$N$8:$N$15,$D1337)&gt;0,"Entrada",IF(COUNTIF('Config'!$P$8:$P$23,$D1337)&gt;0,"Saída","Verificar")))</f>
        <v/>
      </c>
    </row>
    <row r="1338" spans="7:7" ht="16.5" customHeight="1">
      <c r="G1338" s="66">
        <f>IF($D1338="","",IF(COUNTIF('Config'!$N$8:$N$15,$D1338)&gt;0,"Entrada",IF(COUNTIF('Config'!$P$8:$P$23,$D1338)&gt;0,"Saída","Verificar")))</f>
        <v/>
      </c>
    </row>
    <row r="1339" spans="7:7" ht="16.5" customHeight="1">
      <c r="G1339" s="66">
        <f>IF($D1339="","",IF(COUNTIF('Config'!$N$8:$N$15,$D1339)&gt;0,"Entrada",IF(COUNTIF('Config'!$P$8:$P$23,$D1339)&gt;0,"Saída","Verificar")))</f>
        <v/>
      </c>
    </row>
    <row r="1340" spans="7:7" ht="16.5" customHeight="1">
      <c r="G1340" s="66">
        <f>IF($D1340="","",IF(COUNTIF('Config'!$N$8:$N$15,$D1340)&gt;0,"Entrada",IF(COUNTIF('Config'!$P$8:$P$23,$D1340)&gt;0,"Saída","Verificar")))</f>
        <v/>
      </c>
    </row>
    <row r="1341" spans="7:7" ht="16.5" customHeight="1">
      <c r="G1341" s="66">
        <f>IF($D1341="","",IF(COUNTIF('Config'!$N$8:$N$15,$D1341)&gt;0,"Entrada",IF(COUNTIF('Config'!$P$8:$P$23,$D1341)&gt;0,"Saída","Verificar")))</f>
        <v/>
      </c>
    </row>
    <row r="1342" spans="7:7" ht="16.5" customHeight="1">
      <c r="G1342" s="66">
        <f>IF($D1342="","",IF(COUNTIF('Config'!$N$8:$N$15,$D1342)&gt;0,"Entrada",IF(COUNTIF('Config'!$P$8:$P$23,$D1342)&gt;0,"Saída","Verificar")))</f>
        <v/>
      </c>
    </row>
    <row r="1343" spans="7:7" ht="16.5" customHeight="1">
      <c r="G1343" s="66">
        <f>IF($D1343="","",IF(COUNTIF('Config'!$N$8:$N$15,$D1343)&gt;0,"Entrada",IF(COUNTIF('Config'!$P$8:$P$23,$D1343)&gt;0,"Saída","Verificar")))</f>
        <v/>
      </c>
    </row>
    <row r="1344" spans="7:7" ht="16.5" customHeight="1">
      <c r="G1344" s="66">
        <f>IF($D1344="","",IF(COUNTIF('Config'!$N$8:$N$15,$D1344)&gt;0,"Entrada",IF(COUNTIF('Config'!$P$8:$P$23,$D1344)&gt;0,"Saída","Verificar")))</f>
        <v/>
      </c>
    </row>
    <row r="1345" spans="7:7" ht="16.5" customHeight="1">
      <c r="G1345" s="66">
        <f>IF($D1345="","",IF(COUNTIF('Config'!$N$8:$N$15,$D1345)&gt;0,"Entrada",IF(COUNTIF('Config'!$P$8:$P$23,$D1345)&gt;0,"Saída","Verificar")))</f>
        <v/>
      </c>
    </row>
    <row r="1346" spans="7:7" ht="16.5" customHeight="1">
      <c r="G1346" s="66">
        <f>IF($D1346="","",IF(COUNTIF('Config'!$N$8:$N$15,$D1346)&gt;0,"Entrada",IF(COUNTIF('Config'!$P$8:$P$23,$D1346)&gt;0,"Saída","Verificar")))</f>
        <v/>
      </c>
    </row>
    <row r="1347" spans="7:7" ht="16.5" customHeight="1">
      <c r="G1347" s="66">
        <f>IF($D1347="","",IF(COUNTIF('Config'!$N$8:$N$15,$D1347)&gt;0,"Entrada",IF(COUNTIF('Config'!$P$8:$P$23,$D1347)&gt;0,"Saída","Verificar")))</f>
        <v/>
      </c>
    </row>
    <row r="1348" spans="7:7" ht="16.5" customHeight="1">
      <c r="G1348" s="66">
        <f>IF($D1348="","",IF(COUNTIF('Config'!$N$8:$N$15,$D1348)&gt;0,"Entrada",IF(COUNTIF('Config'!$P$8:$P$23,$D1348)&gt;0,"Saída","Verificar")))</f>
        <v/>
      </c>
    </row>
    <row r="1349" spans="7:7" ht="16.5" customHeight="1">
      <c r="G1349" s="66">
        <f>IF($D1349="","",IF(COUNTIF('Config'!$N$8:$N$15,$D1349)&gt;0,"Entrada",IF(COUNTIF('Config'!$P$8:$P$23,$D1349)&gt;0,"Saída","Verificar")))</f>
        <v/>
      </c>
    </row>
    <row r="1350" spans="7:7" ht="16.5" customHeight="1">
      <c r="G1350" s="66">
        <f>IF($D1350="","",IF(COUNTIF('Config'!$N$8:$N$15,$D1350)&gt;0,"Entrada",IF(COUNTIF('Config'!$P$8:$P$23,$D1350)&gt;0,"Saída","Verificar")))</f>
        <v/>
      </c>
    </row>
    <row r="1351" spans="7:7" ht="16.5" customHeight="1">
      <c r="G1351" s="66">
        <f>IF($D1351="","",IF(COUNTIF('Config'!$N$8:$N$15,$D1351)&gt;0,"Entrada",IF(COUNTIF('Config'!$P$8:$P$23,$D1351)&gt;0,"Saída","Verificar")))</f>
        <v/>
      </c>
    </row>
    <row r="1352" spans="7:7" ht="16.5" customHeight="1">
      <c r="G1352" s="66">
        <f>IF($D1352="","",IF(COUNTIF('Config'!$N$8:$N$15,$D1352)&gt;0,"Entrada",IF(COUNTIF('Config'!$P$8:$P$23,$D1352)&gt;0,"Saída","Verificar")))</f>
        <v/>
      </c>
    </row>
    <row r="1353" spans="7:7" ht="16.5" customHeight="1">
      <c r="G1353" s="66">
        <f>IF($D1353="","",IF(COUNTIF('Config'!$N$8:$N$15,$D1353)&gt;0,"Entrada",IF(COUNTIF('Config'!$P$8:$P$23,$D1353)&gt;0,"Saída","Verificar")))</f>
        <v/>
      </c>
    </row>
    <row r="1354" spans="7:7" ht="16.5" customHeight="1">
      <c r="G1354" s="66">
        <f>IF($D1354="","",IF(COUNTIF('Config'!$N$8:$N$15,$D1354)&gt;0,"Entrada",IF(COUNTIF('Config'!$P$8:$P$23,$D1354)&gt;0,"Saída","Verificar")))</f>
        <v/>
      </c>
    </row>
    <row r="1355" spans="7:7" ht="16.5" customHeight="1">
      <c r="G1355" s="66">
        <f>IF($D1355="","",IF(COUNTIF('Config'!$N$8:$N$15,$D1355)&gt;0,"Entrada",IF(COUNTIF('Config'!$P$8:$P$23,$D1355)&gt;0,"Saída","Verificar")))</f>
        <v/>
      </c>
    </row>
    <row r="1356" spans="7:7" ht="16.5" customHeight="1">
      <c r="G1356" s="66">
        <f>IF($D1356="","",IF(COUNTIF('Config'!$N$8:$N$15,$D1356)&gt;0,"Entrada",IF(COUNTIF('Config'!$P$8:$P$23,$D1356)&gt;0,"Saída","Verificar")))</f>
        <v/>
      </c>
    </row>
    <row r="1357" spans="7:7" ht="16.5" customHeight="1">
      <c r="G1357" s="66">
        <f>IF($D1357="","",IF(COUNTIF('Config'!$N$8:$N$15,$D1357)&gt;0,"Entrada",IF(COUNTIF('Config'!$P$8:$P$23,$D1357)&gt;0,"Saída","Verificar")))</f>
        <v/>
      </c>
    </row>
    <row r="1358" spans="7:7" ht="16.5" customHeight="1">
      <c r="G1358" s="66">
        <f>IF($D1358="","",IF(COUNTIF('Config'!$N$8:$N$15,$D1358)&gt;0,"Entrada",IF(COUNTIF('Config'!$P$8:$P$23,$D1358)&gt;0,"Saída","Verificar")))</f>
        <v/>
      </c>
    </row>
    <row r="1359" spans="7:7" ht="16.5" customHeight="1">
      <c r="G1359" s="66">
        <f>IF($D1359="","",IF(COUNTIF('Config'!$N$8:$N$15,$D1359)&gt;0,"Entrada",IF(COUNTIF('Config'!$P$8:$P$23,$D1359)&gt;0,"Saída","Verificar")))</f>
        <v/>
      </c>
    </row>
    <row r="1360" spans="7:7" ht="16.5" customHeight="1">
      <c r="G1360" s="66">
        <f>IF($D1360="","",IF(COUNTIF('Config'!$N$8:$N$15,$D1360)&gt;0,"Entrada",IF(COUNTIF('Config'!$P$8:$P$23,$D1360)&gt;0,"Saída","Verificar")))</f>
        <v/>
      </c>
    </row>
    <row r="1361" spans="7:7" ht="16.5" customHeight="1">
      <c r="G1361" s="66">
        <f>IF($D1361="","",IF(COUNTIF('Config'!$N$8:$N$15,$D1361)&gt;0,"Entrada",IF(COUNTIF('Config'!$P$8:$P$23,$D1361)&gt;0,"Saída","Verificar")))</f>
        <v/>
      </c>
    </row>
    <row r="1362" spans="7:7" ht="16.5" customHeight="1">
      <c r="G1362" s="66">
        <f>IF($D1362="","",IF(COUNTIF('Config'!$N$8:$N$15,$D1362)&gt;0,"Entrada",IF(COUNTIF('Config'!$P$8:$P$23,$D1362)&gt;0,"Saída","Verificar")))</f>
        <v/>
      </c>
    </row>
    <row r="1363" spans="7:7" ht="16.5" customHeight="1">
      <c r="G1363" s="66">
        <f>IF($D1363="","",IF(COUNTIF('Config'!$N$8:$N$15,$D1363)&gt;0,"Entrada",IF(COUNTIF('Config'!$P$8:$P$23,$D1363)&gt;0,"Saída","Verificar")))</f>
        <v/>
      </c>
    </row>
    <row r="1364" spans="7:7" ht="16.5" customHeight="1">
      <c r="G1364" s="66">
        <f>IF($D1364="","",IF(COUNTIF('Config'!$N$8:$N$15,$D1364)&gt;0,"Entrada",IF(COUNTIF('Config'!$P$8:$P$23,$D1364)&gt;0,"Saída","Verificar")))</f>
        <v/>
      </c>
    </row>
    <row r="1365" spans="7:7" ht="16.5" customHeight="1">
      <c r="G1365" s="66">
        <f>IF($D1365="","",IF(COUNTIF('Config'!$N$8:$N$15,$D1365)&gt;0,"Entrada",IF(COUNTIF('Config'!$P$8:$P$23,$D1365)&gt;0,"Saída","Verificar")))</f>
        <v/>
      </c>
    </row>
    <row r="1366" spans="7:7" ht="16.5" customHeight="1">
      <c r="G1366" s="66">
        <f>IF($D1366="","",IF(COUNTIF('Config'!$N$8:$N$15,$D1366)&gt;0,"Entrada",IF(COUNTIF('Config'!$P$8:$P$23,$D1366)&gt;0,"Saída","Verificar")))</f>
        <v/>
      </c>
    </row>
    <row r="1367" spans="7:7" ht="16.5" customHeight="1">
      <c r="G1367" s="66">
        <f>IF($D1367="","",IF(COUNTIF('Config'!$N$8:$N$15,$D1367)&gt;0,"Entrada",IF(COUNTIF('Config'!$P$8:$P$23,$D1367)&gt;0,"Saída","Verificar")))</f>
        <v/>
      </c>
    </row>
    <row r="1368" spans="7:7" ht="16.5" customHeight="1">
      <c r="G1368" s="66">
        <f>IF($D1368="","",IF(COUNTIF('Config'!$N$8:$N$15,$D1368)&gt;0,"Entrada",IF(COUNTIF('Config'!$P$8:$P$23,$D1368)&gt;0,"Saída","Verificar")))</f>
        <v/>
      </c>
    </row>
    <row r="1369" spans="7:7" ht="16.5" customHeight="1">
      <c r="G1369" s="66">
        <f>IF($D1369="","",IF(COUNTIF('Config'!$N$8:$N$15,$D1369)&gt;0,"Entrada",IF(COUNTIF('Config'!$P$8:$P$23,$D1369)&gt;0,"Saída","Verificar")))</f>
        <v/>
      </c>
    </row>
    <row r="1370" spans="7:7" ht="16.5" customHeight="1">
      <c r="G1370" s="66">
        <f>IF($D1370="","",IF(COUNTIF('Config'!$N$8:$N$15,$D1370)&gt;0,"Entrada",IF(COUNTIF('Config'!$P$8:$P$23,$D1370)&gt;0,"Saída","Verificar")))</f>
        <v/>
      </c>
    </row>
    <row r="1371" spans="7:7" ht="16.5" customHeight="1">
      <c r="G1371" s="66">
        <f>IF($D1371="","",IF(COUNTIF('Config'!$N$8:$N$15,$D1371)&gt;0,"Entrada",IF(COUNTIF('Config'!$P$8:$P$23,$D1371)&gt;0,"Saída","Verificar")))</f>
        <v/>
      </c>
    </row>
    <row r="1372" spans="7:7" ht="16.5" customHeight="1">
      <c r="G1372" s="66">
        <f>IF($D1372="","",IF(COUNTIF('Config'!$N$8:$N$15,$D1372)&gt;0,"Entrada",IF(COUNTIF('Config'!$P$8:$P$23,$D1372)&gt;0,"Saída","Verificar")))</f>
        <v/>
      </c>
    </row>
    <row r="1373" spans="7:7" ht="16.5" customHeight="1">
      <c r="G1373" s="66">
        <f>IF($D1373="","",IF(COUNTIF('Config'!$N$8:$N$15,$D1373)&gt;0,"Entrada",IF(COUNTIF('Config'!$P$8:$P$23,$D1373)&gt;0,"Saída","Verificar")))</f>
        <v/>
      </c>
    </row>
    <row r="1374" spans="7:7" ht="16.5" customHeight="1">
      <c r="G1374" s="66">
        <f>IF($D1374="","",IF(COUNTIF('Config'!$N$8:$N$15,$D1374)&gt;0,"Entrada",IF(COUNTIF('Config'!$P$8:$P$23,$D1374)&gt;0,"Saída","Verificar")))</f>
        <v/>
      </c>
    </row>
    <row r="1375" spans="7:7" ht="16.5" customHeight="1">
      <c r="G1375" s="66">
        <f>IF($D1375="","",IF(COUNTIF('Config'!$N$8:$N$15,$D1375)&gt;0,"Entrada",IF(COUNTIF('Config'!$P$8:$P$23,$D1375)&gt;0,"Saída","Verificar")))</f>
        <v/>
      </c>
    </row>
    <row r="1376" spans="7:7" ht="16.5" customHeight="1">
      <c r="G1376" s="66">
        <f>IF($D1376="","",IF(COUNTIF('Config'!$N$8:$N$15,$D1376)&gt;0,"Entrada",IF(COUNTIF('Config'!$P$8:$P$23,$D1376)&gt;0,"Saída","Verificar")))</f>
        <v/>
      </c>
    </row>
    <row r="1377" spans="7:7" ht="16.5" customHeight="1">
      <c r="G1377" s="66">
        <f>IF($D1377="","",IF(COUNTIF('Config'!$N$8:$N$15,$D1377)&gt;0,"Entrada",IF(COUNTIF('Config'!$P$8:$P$23,$D1377)&gt;0,"Saída","Verificar")))</f>
        <v/>
      </c>
    </row>
    <row r="1378" spans="7:7" ht="16.5" customHeight="1">
      <c r="G1378" s="66">
        <f>IF($D1378="","",IF(COUNTIF('Config'!$N$8:$N$15,$D1378)&gt;0,"Entrada",IF(COUNTIF('Config'!$P$8:$P$23,$D1378)&gt;0,"Saída","Verificar")))</f>
        <v/>
      </c>
    </row>
    <row r="1379" spans="7:7" ht="16.5" customHeight="1">
      <c r="G1379" s="66">
        <f>IF($D1379="","",IF(COUNTIF('Config'!$N$8:$N$15,$D1379)&gt;0,"Entrada",IF(COUNTIF('Config'!$P$8:$P$23,$D1379)&gt;0,"Saída","Verificar")))</f>
        <v/>
      </c>
    </row>
    <row r="1380" spans="7:7" ht="16.5" customHeight="1">
      <c r="G1380" s="66">
        <f>IF($D1380="","",IF(COUNTIF('Config'!$N$8:$N$15,$D1380)&gt;0,"Entrada",IF(COUNTIF('Config'!$P$8:$P$23,$D1380)&gt;0,"Saída","Verificar")))</f>
        <v/>
      </c>
    </row>
    <row r="1381" spans="7:7" ht="16.5" customHeight="1">
      <c r="G1381" s="66">
        <f>IF($D1381="","",IF(COUNTIF('Config'!$N$8:$N$15,$D1381)&gt;0,"Entrada",IF(COUNTIF('Config'!$P$8:$P$23,$D1381)&gt;0,"Saída","Verificar")))</f>
        <v/>
      </c>
    </row>
    <row r="1382" spans="7:7" ht="16.5" customHeight="1">
      <c r="G1382" s="66">
        <f>IF($D1382="","",IF(COUNTIF('Config'!$N$8:$N$15,$D1382)&gt;0,"Entrada",IF(COUNTIF('Config'!$P$8:$P$23,$D1382)&gt;0,"Saída","Verificar")))</f>
        <v/>
      </c>
    </row>
    <row r="1383" spans="7:7" ht="16.5" customHeight="1">
      <c r="G1383" s="66">
        <f>IF($D1383="","",IF(COUNTIF('Config'!$N$8:$N$15,$D1383)&gt;0,"Entrada",IF(COUNTIF('Config'!$P$8:$P$23,$D1383)&gt;0,"Saída","Verificar")))</f>
        <v/>
      </c>
    </row>
    <row r="1384" spans="7:7" ht="16.5" customHeight="1">
      <c r="G1384" s="66">
        <f>IF($D1384="","",IF(COUNTIF('Config'!$N$8:$N$15,$D1384)&gt;0,"Entrada",IF(COUNTIF('Config'!$P$8:$P$23,$D1384)&gt;0,"Saída","Verificar")))</f>
        <v/>
      </c>
    </row>
    <row r="1385" spans="7:7" ht="16.5" customHeight="1">
      <c r="G1385" s="66">
        <f>IF($D1385="","",IF(COUNTIF('Config'!$N$8:$N$15,$D1385)&gt;0,"Entrada",IF(COUNTIF('Config'!$P$8:$P$23,$D1385)&gt;0,"Saída","Verificar")))</f>
        <v/>
      </c>
    </row>
    <row r="1386" spans="7:7" ht="16.5" customHeight="1">
      <c r="G1386" s="66">
        <f>IF($D1386="","",IF(COUNTIF('Config'!$N$8:$N$15,$D1386)&gt;0,"Entrada",IF(COUNTIF('Config'!$P$8:$P$23,$D1386)&gt;0,"Saída","Verificar")))</f>
        <v/>
      </c>
    </row>
    <row r="1387" spans="7:7" ht="16.5" customHeight="1">
      <c r="G1387" s="66">
        <f>IF($D1387="","",IF(COUNTIF('Config'!$N$8:$N$15,$D1387)&gt;0,"Entrada",IF(COUNTIF('Config'!$P$8:$P$23,$D1387)&gt;0,"Saída","Verificar")))</f>
        <v/>
      </c>
    </row>
    <row r="1388" spans="7:7" ht="16.5" customHeight="1">
      <c r="G1388" s="66">
        <f>IF($D1388="","",IF(COUNTIF('Config'!$N$8:$N$15,$D1388)&gt;0,"Entrada",IF(COUNTIF('Config'!$P$8:$P$23,$D1388)&gt;0,"Saída","Verificar")))</f>
        <v/>
      </c>
    </row>
    <row r="1389" spans="7:7" ht="16.5" customHeight="1">
      <c r="G1389" s="66">
        <f>IF($D1389="","",IF(COUNTIF('Config'!$N$8:$N$15,$D1389)&gt;0,"Entrada",IF(COUNTIF('Config'!$P$8:$P$23,$D1389)&gt;0,"Saída","Verificar")))</f>
        <v/>
      </c>
    </row>
    <row r="1390" spans="7:7" ht="16.5" customHeight="1">
      <c r="G1390" s="66">
        <f>IF($D1390="","",IF(COUNTIF('Config'!$N$8:$N$15,$D1390)&gt;0,"Entrada",IF(COUNTIF('Config'!$P$8:$P$23,$D1390)&gt;0,"Saída","Verificar")))</f>
        <v/>
      </c>
    </row>
    <row r="1391" spans="7:7" ht="16.5" customHeight="1">
      <c r="G1391" s="66">
        <f>IF($D1391="","",IF(COUNTIF('Config'!$N$8:$N$15,$D1391)&gt;0,"Entrada",IF(COUNTIF('Config'!$P$8:$P$23,$D1391)&gt;0,"Saída","Verificar")))</f>
        <v/>
      </c>
    </row>
    <row r="1392" spans="7:7" ht="16.5" customHeight="1">
      <c r="G1392" s="66">
        <f>IF($D1392="","",IF(COUNTIF('Config'!$N$8:$N$15,$D1392)&gt;0,"Entrada",IF(COUNTIF('Config'!$P$8:$P$23,$D1392)&gt;0,"Saída","Verificar")))</f>
        <v/>
      </c>
    </row>
    <row r="1393" spans="7:7" ht="16.5" customHeight="1">
      <c r="G1393" s="66">
        <f>IF($D1393="","",IF(COUNTIF('Config'!$N$8:$N$15,$D1393)&gt;0,"Entrada",IF(COUNTIF('Config'!$P$8:$P$23,$D1393)&gt;0,"Saída","Verificar")))</f>
        <v/>
      </c>
    </row>
    <row r="1394" spans="7:7" ht="16.5" customHeight="1">
      <c r="G1394" s="66">
        <f>IF($D1394="","",IF(COUNTIF('Config'!$N$8:$N$15,$D1394)&gt;0,"Entrada",IF(COUNTIF('Config'!$P$8:$P$23,$D1394)&gt;0,"Saída","Verificar")))</f>
        <v/>
      </c>
    </row>
    <row r="1395" spans="7:7" ht="16.5" customHeight="1">
      <c r="G1395" s="66">
        <f>IF($D1395="","",IF(COUNTIF('Config'!$N$8:$N$15,$D1395)&gt;0,"Entrada",IF(COUNTIF('Config'!$P$8:$P$23,$D1395)&gt;0,"Saída","Verificar")))</f>
        <v/>
      </c>
    </row>
    <row r="1396" spans="7:7" ht="16.5" customHeight="1">
      <c r="G1396" s="66">
        <f>IF($D1396="","",IF(COUNTIF('Config'!$N$8:$N$15,$D1396)&gt;0,"Entrada",IF(COUNTIF('Config'!$P$8:$P$23,$D1396)&gt;0,"Saída","Verificar")))</f>
        <v/>
      </c>
    </row>
    <row r="1397" spans="7:7" ht="16.5" customHeight="1">
      <c r="G1397" s="66">
        <f>IF($D1397="","",IF(COUNTIF('Config'!$N$8:$N$15,$D1397)&gt;0,"Entrada",IF(COUNTIF('Config'!$P$8:$P$23,$D1397)&gt;0,"Saída","Verificar")))</f>
        <v/>
      </c>
    </row>
    <row r="1398" spans="7:7" ht="16.5" customHeight="1">
      <c r="G1398" s="66">
        <f>IF($D1398="","",IF(COUNTIF('Config'!$N$8:$N$15,$D1398)&gt;0,"Entrada",IF(COUNTIF('Config'!$P$8:$P$23,$D1398)&gt;0,"Saída","Verificar")))</f>
        <v/>
      </c>
    </row>
    <row r="1399" spans="7:7" ht="16.5" customHeight="1">
      <c r="G1399" s="66">
        <f>IF($D1399="","",IF(COUNTIF('Config'!$N$8:$N$15,$D1399)&gt;0,"Entrada",IF(COUNTIF('Config'!$P$8:$P$23,$D1399)&gt;0,"Saída","Verificar")))</f>
        <v/>
      </c>
    </row>
    <row r="1400" spans="7:7" ht="16.5" customHeight="1">
      <c r="G1400" s="66">
        <f>IF($D1400="","",IF(COUNTIF('Config'!$N$8:$N$15,$D1400)&gt;0,"Entrada",IF(COUNTIF('Config'!$P$8:$P$23,$D1400)&gt;0,"Saída","Verificar")))</f>
        <v/>
      </c>
    </row>
    <row r="1401" spans="7:7" ht="16.5" customHeight="1">
      <c r="G1401" s="66">
        <f>IF($D1401="","",IF(COUNTIF('Config'!$N$8:$N$15,$D1401)&gt;0,"Entrada",IF(COUNTIF('Config'!$P$8:$P$23,$D1401)&gt;0,"Saída","Verificar")))</f>
        <v/>
      </c>
    </row>
    <row r="1402" spans="7:7" ht="16.5" customHeight="1">
      <c r="G1402" s="66">
        <f>IF($D1402="","",IF(COUNTIF('Config'!$N$8:$N$15,$D1402)&gt;0,"Entrada",IF(COUNTIF('Config'!$P$8:$P$23,$D1402)&gt;0,"Saída","Verificar")))</f>
        <v/>
      </c>
    </row>
    <row r="1403" spans="7:7" ht="16.5" customHeight="1">
      <c r="G1403" s="66">
        <f>IF($D1403="","",IF(COUNTIF('Config'!$N$8:$N$15,$D1403)&gt;0,"Entrada",IF(COUNTIF('Config'!$P$8:$P$23,$D1403)&gt;0,"Saída","Verificar")))</f>
        <v/>
      </c>
    </row>
    <row r="1404" spans="7:7" ht="16.5" customHeight="1">
      <c r="G1404" s="66">
        <f>IF($D1404="","",IF(COUNTIF('Config'!$N$8:$N$15,$D1404)&gt;0,"Entrada",IF(COUNTIF('Config'!$P$8:$P$23,$D1404)&gt;0,"Saída","Verificar")))</f>
        <v/>
      </c>
    </row>
    <row r="1405" spans="7:7" ht="16.5" customHeight="1">
      <c r="G1405" s="66">
        <f>IF($D1405="","",IF(COUNTIF('Config'!$N$8:$N$15,$D1405)&gt;0,"Entrada",IF(COUNTIF('Config'!$P$8:$P$23,$D1405)&gt;0,"Saída","Verificar")))</f>
        <v/>
      </c>
    </row>
    <row r="1406" spans="7:7" ht="16.5" customHeight="1">
      <c r="G1406" s="66">
        <f>IF($D1406="","",IF(COUNTIF('Config'!$N$8:$N$15,$D1406)&gt;0,"Entrada",IF(COUNTIF('Config'!$P$8:$P$23,$D1406)&gt;0,"Saída","Verificar")))</f>
        <v/>
      </c>
    </row>
    <row r="1407" spans="7:7" ht="16.5" customHeight="1">
      <c r="G1407" s="66">
        <f>IF($D1407="","",IF(COUNTIF('Config'!$N$8:$N$15,$D1407)&gt;0,"Entrada",IF(COUNTIF('Config'!$P$8:$P$23,$D1407)&gt;0,"Saída","Verificar")))</f>
        <v/>
      </c>
    </row>
    <row r="1408" spans="7:7" ht="16.5" customHeight="1">
      <c r="G1408" s="66">
        <f>IF($D1408="","",IF(COUNTIF('Config'!$N$8:$N$15,$D1408)&gt;0,"Entrada",IF(COUNTIF('Config'!$P$8:$P$23,$D1408)&gt;0,"Saída","Verificar")))</f>
        <v/>
      </c>
    </row>
    <row r="1409" spans="7:7" ht="16.5" customHeight="1">
      <c r="G1409" s="66">
        <f>IF($D1409="","",IF(COUNTIF('Config'!$N$8:$N$15,$D1409)&gt;0,"Entrada",IF(COUNTIF('Config'!$P$8:$P$23,$D1409)&gt;0,"Saída","Verificar")))</f>
        <v/>
      </c>
    </row>
    <row r="1410" spans="7:7" ht="16.5" customHeight="1">
      <c r="G1410" s="66">
        <f>IF($D1410="","",IF(COUNTIF('Config'!$N$8:$N$15,$D1410)&gt;0,"Entrada",IF(COUNTIF('Config'!$P$8:$P$23,$D1410)&gt;0,"Saída","Verificar")))</f>
        <v/>
      </c>
    </row>
    <row r="1411" spans="7:7" ht="16.5" customHeight="1">
      <c r="G1411" s="66">
        <f>IF($D1411="","",IF(COUNTIF('Config'!$N$8:$N$15,$D1411)&gt;0,"Entrada",IF(COUNTIF('Config'!$P$8:$P$23,$D1411)&gt;0,"Saída","Verificar")))</f>
        <v/>
      </c>
    </row>
    <row r="1412" spans="7:7" ht="16.5" customHeight="1">
      <c r="G1412" s="66">
        <f>IF($D1412="","",IF(COUNTIF('Config'!$N$8:$N$15,$D1412)&gt;0,"Entrada",IF(COUNTIF('Config'!$P$8:$P$23,$D1412)&gt;0,"Saída","Verificar")))</f>
        <v/>
      </c>
    </row>
    <row r="1413" spans="7:7" ht="16.5" customHeight="1">
      <c r="G1413" s="66">
        <f>IF($D1413="","",IF(COUNTIF('Config'!$N$8:$N$15,$D1413)&gt;0,"Entrada",IF(COUNTIF('Config'!$P$8:$P$23,$D1413)&gt;0,"Saída","Verificar")))</f>
        <v/>
      </c>
    </row>
    <row r="1414" spans="7:7" ht="16.5" customHeight="1">
      <c r="G1414" s="66">
        <f>IF($D1414="","",IF(COUNTIF('Config'!$N$8:$N$15,$D1414)&gt;0,"Entrada",IF(COUNTIF('Config'!$P$8:$P$23,$D1414)&gt;0,"Saída","Verificar")))</f>
        <v/>
      </c>
    </row>
    <row r="1415" spans="7:7" ht="16.5" customHeight="1">
      <c r="G1415" s="66">
        <f>IF($D1415="","",IF(COUNTIF('Config'!$N$8:$N$15,$D1415)&gt;0,"Entrada",IF(COUNTIF('Config'!$P$8:$P$23,$D1415)&gt;0,"Saída","Verificar")))</f>
        <v/>
      </c>
    </row>
    <row r="1416" spans="7:7" ht="16.5" customHeight="1">
      <c r="G1416" s="66">
        <f>IF($D1416="","",IF(COUNTIF('Config'!$N$8:$N$15,$D1416)&gt;0,"Entrada",IF(COUNTIF('Config'!$P$8:$P$23,$D1416)&gt;0,"Saída","Verificar")))</f>
        <v/>
      </c>
    </row>
    <row r="1417" spans="7:7" ht="16.5" customHeight="1">
      <c r="G1417" s="66">
        <f>IF($D1417="","",IF(COUNTIF('Config'!$N$8:$N$15,$D1417)&gt;0,"Entrada",IF(COUNTIF('Config'!$P$8:$P$23,$D1417)&gt;0,"Saída","Verificar")))</f>
        <v/>
      </c>
    </row>
    <row r="1418" spans="7:7" ht="16.5" customHeight="1">
      <c r="G1418" s="66">
        <f>IF($D1418="","",IF(COUNTIF('Config'!$N$8:$N$15,$D1418)&gt;0,"Entrada",IF(COUNTIF('Config'!$P$8:$P$23,$D1418)&gt;0,"Saída","Verificar")))</f>
        <v/>
      </c>
    </row>
    <row r="1419" spans="7:7" ht="16.5" customHeight="1">
      <c r="G1419" s="66">
        <f>IF($D1419="","",IF(COUNTIF('Config'!$N$8:$N$15,$D1419)&gt;0,"Entrada",IF(COUNTIF('Config'!$P$8:$P$23,$D1419)&gt;0,"Saída","Verificar")))</f>
        <v/>
      </c>
    </row>
    <row r="1420" spans="7:7" ht="16.5" customHeight="1">
      <c r="G1420" s="66">
        <f>IF($D1420="","",IF(COUNTIF('Config'!$N$8:$N$15,$D1420)&gt;0,"Entrada",IF(COUNTIF('Config'!$P$8:$P$23,$D1420)&gt;0,"Saída","Verificar")))</f>
        <v/>
      </c>
    </row>
    <row r="1421" spans="7:7" ht="16.5" customHeight="1">
      <c r="G1421" s="66">
        <f>IF($D1421="","",IF(COUNTIF('Config'!$N$8:$N$15,$D1421)&gt;0,"Entrada",IF(COUNTIF('Config'!$P$8:$P$23,$D1421)&gt;0,"Saída","Verificar")))</f>
        <v/>
      </c>
    </row>
    <row r="1422" spans="7:7" ht="16.5" customHeight="1">
      <c r="G1422" s="66">
        <f>IF($D1422="","",IF(COUNTIF('Config'!$N$8:$N$15,$D1422)&gt;0,"Entrada",IF(COUNTIF('Config'!$P$8:$P$23,$D1422)&gt;0,"Saída","Verificar")))</f>
        <v/>
      </c>
    </row>
    <row r="1423" spans="7:7" ht="16.5" customHeight="1">
      <c r="G1423" s="66">
        <f>IF($D1423="","",IF(COUNTIF('Config'!$N$8:$N$15,$D1423)&gt;0,"Entrada",IF(COUNTIF('Config'!$P$8:$P$23,$D1423)&gt;0,"Saída","Verificar")))</f>
        <v/>
      </c>
    </row>
    <row r="1424" spans="7:7" ht="16.5" customHeight="1">
      <c r="G1424" s="66">
        <f>IF($D1424="","",IF(COUNTIF('Config'!$N$8:$N$15,$D1424)&gt;0,"Entrada",IF(COUNTIF('Config'!$P$8:$P$23,$D1424)&gt;0,"Saída","Verificar")))</f>
        <v/>
      </c>
    </row>
    <row r="1425" spans="7:7" ht="16.5" customHeight="1">
      <c r="G1425" s="66">
        <f>IF($D1425="","",IF(COUNTIF('Config'!$N$8:$N$15,$D1425)&gt;0,"Entrada",IF(COUNTIF('Config'!$P$8:$P$23,$D1425)&gt;0,"Saída","Verificar")))</f>
        <v/>
      </c>
    </row>
    <row r="1426" spans="7:7" ht="16.5" customHeight="1">
      <c r="G1426" s="66">
        <f>IF($D1426="","",IF(COUNTIF('Config'!$N$8:$N$15,$D1426)&gt;0,"Entrada",IF(COUNTIF('Config'!$P$8:$P$23,$D1426)&gt;0,"Saída","Verificar")))</f>
        <v/>
      </c>
    </row>
    <row r="1427" spans="7:7" ht="16.5" customHeight="1">
      <c r="G1427" s="66">
        <f>IF($D1427="","",IF(COUNTIF('Config'!$N$8:$N$15,$D1427)&gt;0,"Entrada",IF(COUNTIF('Config'!$P$8:$P$23,$D1427)&gt;0,"Saída","Verificar")))</f>
        <v/>
      </c>
    </row>
    <row r="1428" spans="7:7" ht="16.5" customHeight="1">
      <c r="G1428" s="66">
        <f>IF($D1428="","",IF(COUNTIF('Config'!$N$8:$N$15,$D1428)&gt;0,"Entrada",IF(COUNTIF('Config'!$P$8:$P$23,$D1428)&gt;0,"Saída","Verificar")))</f>
        <v/>
      </c>
    </row>
    <row r="1429" spans="7:7" ht="16.5" customHeight="1">
      <c r="G1429" s="66">
        <f>IF($D1429="","",IF(COUNTIF('Config'!$N$8:$N$15,$D1429)&gt;0,"Entrada",IF(COUNTIF('Config'!$P$8:$P$23,$D1429)&gt;0,"Saída","Verificar")))</f>
        <v/>
      </c>
    </row>
    <row r="1430" spans="7:7" ht="16.5" customHeight="1">
      <c r="G1430" s="66">
        <f>IF($D1430="","",IF(COUNTIF('Config'!$N$8:$N$15,$D1430)&gt;0,"Entrada",IF(COUNTIF('Config'!$P$8:$P$23,$D1430)&gt;0,"Saída","Verificar")))</f>
        <v/>
      </c>
    </row>
    <row r="1431" spans="7:7" ht="16.5" customHeight="1">
      <c r="G1431" s="66">
        <f>IF($D1431="","",IF(COUNTIF('Config'!$N$8:$N$15,$D1431)&gt;0,"Entrada",IF(COUNTIF('Config'!$P$8:$P$23,$D1431)&gt;0,"Saída","Verificar")))</f>
        <v/>
      </c>
    </row>
    <row r="1432" spans="7:7" ht="16.5" customHeight="1">
      <c r="G1432" s="66">
        <f>IF($D1432="","",IF(COUNTIF('Config'!$N$8:$N$15,$D1432)&gt;0,"Entrada",IF(COUNTIF('Config'!$P$8:$P$23,$D1432)&gt;0,"Saída","Verificar")))</f>
        <v/>
      </c>
    </row>
    <row r="1433" spans="7:7" ht="16.5" customHeight="1">
      <c r="G1433" s="66">
        <f>IF($D1433="","",IF(COUNTIF('Config'!$N$8:$N$15,$D1433)&gt;0,"Entrada",IF(COUNTIF('Config'!$P$8:$P$23,$D1433)&gt;0,"Saída","Verificar")))</f>
        <v/>
      </c>
    </row>
    <row r="1434" spans="7:7" ht="16.5" customHeight="1">
      <c r="G1434" s="66">
        <f>IF($D1434="","",IF(COUNTIF('Config'!$N$8:$N$15,$D1434)&gt;0,"Entrada",IF(COUNTIF('Config'!$P$8:$P$23,$D1434)&gt;0,"Saída","Verificar")))</f>
        <v/>
      </c>
    </row>
    <row r="1435" spans="7:7" ht="16.5" customHeight="1">
      <c r="G1435" s="66">
        <f>IF($D1435="","",IF(COUNTIF('Config'!$N$8:$N$15,$D1435)&gt;0,"Entrada",IF(COUNTIF('Config'!$P$8:$P$23,$D1435)&gt;0,"Saída","Verificar")))</f>
        <v/>
      </c>
    </row>
    <row r="1436" spans="7:7" ht="16.5" customHeight="1">
      <c r="G1436" s="66">
        <f>IF($D1436="","",IF(COUNTIF('Config'!$N$8:$N$15,$D1436)&gt;0,"Entrada",IF(COUNTIF('Config'!$P$8:$P$23,$D1436)&gt;0,"Saída","Verificar")))</f>
        <v/>
      </c>
    </row>
    <row r="1437" spans="7:7" ht="16.5" customHeight="1">
      <c r="G1437" s="66">
        <f>IF($D1437="","",IF(COUNTIF('Config'!$N$8:$N$15,$D1437)&gt;0,"Entrada",IF(COUNTIF('Config'!$P$8:$P$23,$D1437)&gt;0,"Saída","Verificar")))</f>
        <v/>
      </c>
    </row>
    <row r="1438" spans="7:7" ht="16.5" customHeight="1">
      <c r="G1438" s="66">
        <f>IF($D1438="","",IF(COUNTIF('Config'!$N$8:$N$15,$D1438)&gt;0,"Entrada",IF(COUNTIF('Config'!$P$8:$P$23,$D1438)&gt;0,"Saída","Verificar")))</f>
        <v/>
      </c>
    </row>
    <row r="1439" spans="7:7" ht="16.5" customHeight="1">
      <c r="G1439" s="66">
        <f>IF($D1439="","",IF(COUNTIF('Config'!$N$8:$N$15,$D1439)&gt;0,"Entrada",IF(COUNTIF('Config'!$P$8:$P$23,$D1439)&gt;0,"Saída","Verificar")))</f>
        <v/>
      </c>
    </row>
    <row r="1440" spans="7:7" ht="16.5" customHeight="1">
      <c r="G1440" s="66">
        <f>IF($D1440="","",IF(COUNTIF('Config'!$N$8:$N$15,$D1440)&gt;0,"Entrada",IF(COUNTIF('Config'!$P$8:$P$23,$D1440)&gt;0,"Saída","Verificar")))</f>
        <v/>
      </c>
    </row>
    <row r="1441" spans="7:7" ht="16.5" customHeight="1">
      <c r="G1441" s="66">
        <f>IF($D1441="","",IF(COUNTIF('Config'!$N$8:$N$15,$D1441)&gt;0,"Entrada",IF(COUNTIF('Config'!$P$8:$P$23,$D1441)&gt;0,"Saída","Verificar")))</f>
        <v/>
      </c>
    </row>
    <row r="1442" spans="7:7" ht="16.5" customHeight="1">
      <c r="G1442" s="66">
        <f>IF($D1442="","",IF(COUNTIF('Config'!$N$8:$N$15,$D1442)&gt;0,"Entrada",IF(COUNTIF('Config'!$P$8:$P$23,$D1442)&gt;0,"Saída","Verificar")))</f>
        <v/>
      </c>
    </row>
    <row r="1443" spans="7:7" ht="16.5" customHeight="1">
      <c r="G1443" s="66">
        <f>IF($D1443="","",IF(COUNTIF('Config'!$N$8:$N$15,$D1443)&gt;0,"Entrada",IF(COUNTIF('Config'!$P$8:$P$23,$D1443)&gt;0,"Saída","Verificar")))</f>
        <v/>
      </c>
    </row>
    <row r="1444" spans="7:7" ht="16.5" customHeight="1">
      <c r="G1444" s="66">
        <f>IF($D1444="","",IF(COUNTIF('Config'!$N$8:$N$15,$D1444)&gt;0,"Entrada",IF(COUNTIF('Config'!$P$8:$P$23,$D1444)&gt;0,"Saída","Verificar")))</f>
        <v/>
      </c>
    </row>
    <row r="1445" spans="7:7" ht="16.5" customHeight="1">
      <c r="G1445" s="66">
        <f>IF($D1445="","",IF(COUNTIF('Config'!$N$8:$N$15,$D1445)&gt;0,"Entrada",IF(COUNTIF('Config'!$P$8:$P$23,$D1445)&gt;0,"Saída","Verificar")))</f>
        <v/>
      </c>
    </row>
    <row r="1446" spans="7:7" ht="16.5" customHeight="1">
      <c r="G1446" s="66">
        <f>IF($D1446="","",IF(COUNTIF('Config'!$N$8:$N$15,$D1446)&gt;0,"Entrada",IF(COUNTIF('Config'!$P$8:$P$23,$D1446)&gt;0,"Saída","Verificar")))</f>
        <v/>
      </c>
    </row>
    <row r="1447" spans="7:7" ht="16.5" customHeight="1">
      <c r="G1447" s="66">
        <f>IF($D1447="","",IF(COUNTIF('Config'!$N$8:$N$15,$D1447)&gt;0,"Entrada",IF(COUNTIF('Config'!$P$8:$P$23,$D1447)&gt;0,"Saída","Verificar")))</f>
        <v/>
      </c>
    </row>
    <row r="1448" spans="7:7" ht="16.5" customHeight="1">
      <c r="G1448" s="66">
        <f>IF($D1448="","",IF(COUNTIF('Config'!$N$8:$N$15,$D1448)&gt;0,"Entrada",IF(COUNTIF('Config'!$P$8:$P$23,$D1448)&gt;0,"Saída","Verificar")))</f>
        <v/>
      </c>
    </row>
    <row r="1449" spans="7:7" ht="16.5" customHeight="1">
      <c r="G1449" s="66">
        <f>IF($D1449="","",IF(COUNTIF('Config'!$N$8:$N$15,$D1449)&gt;0,"Entrada",IF(COUNTIF('Config'!$P$8:$P$23,$D1449)&gt;0,"Saída","Verificar")))</f>
        <v/>
      </c>
    </row>
    <row r="1450" spans="7:7" ht="16.5" customHeight="1">
      <c r="G1450" s="66">
        <f>IF($D1450="","",IF(COUNTIF('Config'!$N$8:$N$15,$D1450)&gt;0,"Entrada",IF(COUNTIF('Config'!$P$8:$P$23,$D1450)&gt;0,"Saída","Verificar")))</f>
        <v/>
      </c>
    </row>
    <row r="1451" spans="7:7" ht="16.5" customHeight="1">
      <c r="G1451" s="66">
        <f>IF($D1451="","",IF(COUNTIF('Config'!$N$8:$N$15,$D1451)&gt;0,"Entrada",IF(COUNTIF('Config'!$P$8:$P$23,$D1451)&gt;0,"Saída","Verificar")))</f>
        <v/>
      </c>
    </row>
    <row r="1452" spans="7:7" ht="16.5" customHeight="1">
      <c r="G1452" s="66">
        <f>IF($D1452="","",IF(COUNTIF('Config'!$N$8:$N$15,$D1452)&gt;0,"Entrada",IF(COUNTIF('Config'!$P$8:$P$23,$D1452)&gt;0,"Saída","Verificar")))</f>
        <v/>
      </c>
    </row>
    <row r="1453" spans="7:7" ht="16.5" customHeight="1">
      <c r="G1453" s="66">
        <f>IF($D1453="","",IF(COUNTIF('Config'!$N$8:$N$15,$D1453)&gt;0,"Entrada",IF(COUNTIF('Config'!$P$8:$P$23,$D1453)&gt;0,"Saída","Verificar")))</f>
        <v/>
      </c>
    </row>
    <row r="1454" spans="7:7" ht="16.5" customHeight="1">
      <c r="G1454" s="66">
        <f>IF($D1454="","",IF(COUNTIF('Config'!$N$8:$N$15,$D1454)&gt;0,"Entrada",IF(COUNTIF('Config'!$P$8:$P$23,$D1454)&gt;0,"Saída","Verificar")))</f>
        <v/>
      </c>
    </row>
    <row r="1455" spans="7:7" ht="16.5" customHeight="1">
      <c r="G1455" s="66">
        <f>IF($D1455="","",IF(COUNTIF('Config'!$N$8:$N$15,$D1455)&gt;0,"Entrada",IF(COUNTIF('Config'!$P$8:$P$23,$D1455)&gt;0,"Saída","Verificar")))</f>
        <v/>
      </c>
    </row>
    <row r="1456" spans="7:7" ht="16.5" customHeight="1">
      <c r="G1456" s="66">
        <f>IF($D1456="","",IF(COUNTIF('Config'!$N$8:$N$15,$D1456)&gt;0,"Entrada",IF(COUNTIF('Config'!$P$8:$P$23,$D1456)&gt;0,"Saída","Verificar")))</f>
        <v/>
      </c>
    </row>
    <row r="1457" spans="7:7" ht="16.5" customHeight="1">
      <c r="G1457" s="66">
        <f>IF($D1457="","",IF(COUNTIF('Config'!$N$8:$N$15,$D1457)&gt;0,"Entrada",IF(COUNTIF('Config'!$P$8:$P$23,$D1457)&gt;0,"Saída","Verificar")))</f>
        <v/>
      </c>
    </row>
    <row r="1458" spans="7:7" ht="16.5" customHeight="1">
      <c r="G1458" s="66">
        <f>IF($D1458="","",IF(COUNTIF('Config'!$N$8:$N$15,$D1458)&gt;0,"Entrada",IF(COUNTIF('Config'!$P$8:$P$23,$D1458)&gt;0,"Saída","Verificar")))</f>
        <v/>
      </c>
    </row>
    <row r="1459" spans="7:7" ht="16.5" customHeight="1">
      <c r="G1459" s="66">
        <f>IF($D1459="","",IF(COUNTIF('Config'!$N$8:$N$15,$D1459)&gt;0,"Entrada",IF(COUNTIF('Config'!$P$8:$P$23,$D1459)&gt;0,"Saída","Verificar")))</f>
        <v/>
      </c>
    </row>
    <row r="1460" spans="7:7" ht="16.5" customHeight="1">
      <c r="G1460" s="66">
        <f>IF($D1460="","",IF(COUNTIF('Config'!$N$8:$N$15,$D1460)&gt;0,"Entrada",IF(COUNTIF('Config'!$P$8:$P$23,$D1460)&gt;0,"Saída","Verificar")))</f>
        <v/>
      </c>
    </row>
    <row r="1461" spans="7:7" ht="16.5" customHeight="1">
      <c r="G1461" s="66">
        <f>IF($D1461="","",IF(COUNTIF('Config'!$N$8:$N$15,$D1461)&gt;0,"Entrada",IF(COUNTIF('Config'!$P$8:$P$23,$D1461)&gt;0,"Saída","Verificar")))</f>
        <v/>
      </c>
    </row>
    <row r="1462" spans="7:7" ht="16.5" customHeight="1">
      <c r="G1462" s="66">
        <f>IF($D1462="","",IF(COUNTIF('Config'!$N$8:$N$15,$D1462)&gt;0,"Entrada",IF(COUNTIF('Config'!$P$8:$P$23,$D1462)&gt;0,"Saída","Verificar")))</f>
        <v/>
      </c>
    </row>
    <row r="1463" spans="7:7" ht="16.5" customHeight="1">
      <c r="G1463" s="66">
        <f>IF($D1463="","",IF(COUNTIF('Config'!$N$8:$N$15,$D1463)&gt;0,"Entrada",IF(COUNTIF('Config'!$P$8:$P$23,$D1463)&gt;0,"Saída","Verificar")))</f>
        <v/>
      </c>
    </row>
    <row r="1464" spans="7:7" ht="16.5" customHeight="1">
      <c r="G1464" s="66">
        <f>IF($D1464="","",IF(COUNTIF('Config'!$N$8:$N$15,$D1464)&gt;0,"Entrada",IF(COUNTIF('Config'!$P$8:$P$23,$D1464)&gt;0,"Saída","Verificar")))</f>
        <v/>
      </c>
    </row>
    <row r="1465" spans="7:7" ht="16.5" customHeight="1">
      <c r="G1465" s="66">
        <f>IF($D1465="","",IF(COUNTIF('Config'!$N$8:$N$15,$D1465)&gt;0,"Entrada",IF(COUNTIF('Config'!$P$8:$P$23,$D1465)&gt;0,"Saída","Verificar")))</f>
        <v/>
      </c>
    </row>
    <row r="1466" spans="7:7" ht="16.5" customHeight="1">
      <c r="G1466" s="66">
        <f>IF($D1466="","",IF(COUNTIF('Config'!$N$8:$N$15,$D1466)&gt;0,"Entrada",IF(COUNTIF('Config'!$P$8:$P$23,$D1466)&gt;0,"Saída","Verificar")))</f>
        <v/>
      </c>
    </row>
    <row r="1467" spans="7:7" ht="16.5" customHeight="1">
      <c r="G1467" s="66">
        <f>IF($D1467="","",IF(COUNTIF('Config'!$N$8:$N$15,$D1467)&gt;0,"Entrada",IF(COUNTIF('Config'!$P$8:$P$23,$D1467)&gt;0,"Saída","Verificar")))</f>
        <v/>
      </c>
    </row>
    <row r="1468" spans="7:7" ht="16.5" customHeight="1">
      <c r="G1468" s="66">
        <f>IF($D1468="","",IF(COUNTIF('Config'!$N$8:$N$15,$D1468)&gt;0,"Entrada",IF(COUNTIF('Config'!$P$8:$P$23,$D1468)&gt;0,"Saída","Verificar")))</f>
        <v/>
      </c>
    </row>
    <row r="1469" spans="7:7" ht="16.5" customHeight="1">
      <c r="G1469" s="66">
        <f>IF($D1469="","",IF(COUNTIF('Config'!$N$8:$N$15,$D1469)&gt;0,"Entrada",IF(COUNTIF('Config'!$P$8:$P$23,$D1469)&gt;0,"Saída","Verificar")))</f>
        <v/>
      </c>
    </row>
    <row r="1470" spans="7:7" ht="16.5" customHeight="1">
      <c r="G1470" s="66">
        <f>IF($D1470="","",IF(COUNTIF('Config'!$N$8:$N$15,$D1470)&gt;0,"Entrada",IF(COUNTIF('Config'!$P$8:$P$23,$D1470)&gt;0,"Saída","Verificar")))</f>
        <v/>
      </c>
    </row>
    <row r="1471" spans="7:7" ht="16.5" customHeight="1">
      <c r="G1471" s="66">
        <f>IF($D1471="","",IF(COUNTIF('Config'!$N$8:$N$15,$D1471)&gt;0,"Entrada",IF(COUNTIF('Config'!$P$8:$P$23,$D1471)&gt;0,"Saída","Verificar")))</f>
        <v/>
      </c>
    </row>
    <row r="1472" spans="7:7" ht="16.5" customHeight="1">
      <c r="G1472" s="66">
        <f>IF($D1472="","",IF(COUNTIF('Config'!$N$8:$N$15,$D1472)&gt;0,"Entrada",IF(COUNTIF('Config'!$P$8:$P$23,$D1472)&gt;0,"Saída","Verificar")))</f>
        <v/>
      </c>
    </row>
    <row r="1473" spans="7:7" ht="16.5" customHeight="1">
      <c r="G1473" s="66">
        <f>IF($D1473="","",IF(COUNTIF('Config'!$N$8:$N$15,$D1473)&gt;0,"Entrada",IF(COUNTIF('Config'!$P$8:$P$23,$D1473)&gt;0,"Saída","Verificar")))</f>
        <v/>
      </c>
    </row>
    <row r="1474" spans="7:7" ht="16.5" customHeight="1">
      <c r="G1474" s="66">
        <f>IF($D1474="","",IF(COUNTIF('Config'!$N$8:$N$15,$D1474)&gt;0,"Entrada",IF(COUNTIF('Config'!$P$8:$P$23,$D1474)&gt;0,"Saída","Verificar")))</f>
        <v/>
      </c>
    </row>
    <row r="1475" spans="7:7" ht="16.5" customHeight="1">
      <c r="G1475" s="66">
        <f>IF($D1475="","",IF(COUNTIF('Config'!$N$8:$N$15,$D1475)&gt;0,"Entrada",IF(COUNTIF('Config'!$P$8:$P$23,$D1475)&gt;0,"Saída","Verificar")))</f>
        <v/>
      </c>
    </row>
    <row r="1476" spans="7:7" ht="16.5" customHeight="1">
      <c r="G1476" s="66">
        <f>IF($D1476="","",IF(COUNTIF('Config'!$N$8:$N$15,$D1476)&gt;0,"Entrada",IF(COUNTIF('Config'!$P$8:$P$23,$D1476)&gt;0,"Saída","Verificar")))</f>
        <v/>
      </c>
    </row>
    <row r="1477" spans="7:7" ht="16.5" customHeight="1">
      <c r="G1477" s="66">
        <f>IF($D1477="","",IF(COUNTIF('Config'!$N$8:$N$15,$D1477)&gt;0,"Entrada",IF(COUNTIF('Config'!$P$8:$P$23,$D1477)&gt;0,"Saída","Verificar")))</f>
        <v/>
      </c>
    </row>
    <row r="1478" spans="7:7" ht="16.5" customHeight="1">
      <c r="G1478" s="66">
        <f>IF($D1478="","",IF(COUNTIF('Config'!$N$8:$N$15,$D1478)&gt;0,"Entrada",IF(COUNTIF('Config'!$P$8:$P$23,$D1478)&gt;0,"Saída","Verificar")))</f>
        <v/>
      </c>
    </row>
    <row r="1479" spans="7:7" ht="16.5" customHeight="1">
      <c r="G1479" s="66">
        <f>IF($D1479="","",IF(COUNTIF('Config'!$N$8:$N$15,$D1479)&gt;0,"Entrada",IF(COUNTIF('Config'!$P$8:$P$23,$D1479)&gt;0,"Saída","Verificar")))</f>
        <v/>
      </c>
    </row>
    <row r="1480" spans="7:7" ht="16.5" customHeight="1">
      <c r="G1480" s="66">
        <f>IF($D1480="","",IF(COUNTIF('Config'!$N$8:$N$15,$D1480)&gt;0,"Entrada",IF(COUNTIF('Config'!$P$8:$P$23,$D1480)&gt;0,"Saída","Verificar")))</f>
        <v/>
      </c>
    </row>
    <row r="1481" spans="7:7" ht="16.5" customHeight="1">
      <c r="G1481" s="66">
        <f>IF($D1481="","",IF(COUNTIF('Config'!$N$8:$N$15,$D1481)&gt;0,"Entrada",IF(COUNTIF('Config'!$P$8:$P$23,$D1481)&gt;0,"Saída","Verificar")))</f>
        <v/>
      </c>
    </row>
    <row r="1482" spans="7:7" ht="16.5" customHeight="1">
      <c r="G1482" s="66">
        <f>IF($D1482="","",IF(COUNTIF('Config'!$N$8:$N$15,$D1482)&gt;0,"Entrada",IF(COUNTIF('Config'!$P$8:$P$23,$D1482)&gt;0,"Saída","Verificar")))</f>
        <v/>
      </c>
    </row>
    <row r="1483" spans="7:7" ht="16.5" customHeight="1">
      <c r="G1483" s="66">
        <f>IF($D1483="","",IF(COUNTIF('Config'!$N$8:$N$15,$D1483)&gt;0,"Entrada",IF(COUNTIF('Config'!$P$8:$P$23,$D1483)&gt;0,"Saída","Verificar")))</f>
        <v/>
      </c>
    </row>
    <row r="1484" spans="7:7" ht="16.5" customHeight="1">
      <c r="G1484" s="66">
        <f>IF($D1484="","",IF(COUNTIF('Config'!$N$8:$N$15,$D1484)&gt;0,"Entrada",IF(COUNTIF('Config'!$P$8:$P$23,$D1484)&gt;0,"Saída","Verificar")))</f>
        <v/>
      </c>
    </row>
    <row r="1485" spans="7:7" ht="16.5" customHeight="1">
      <c r="G1485" s="66">
        <f>IF($D1485="","",IF(COUNTIF('Config'!$N$8:$N$15,$D1485)&gt;0,"Entrada",IF(COUNTIF('Config'!$P$8:$P$23,$D1485)&gt;0,"Saída","Verificar")))</f>
        <v/>
      </c>
    </row>
    <row r="1486" spans="7:7" ht="16.5" customHeight="1">
      <c r="G1486" s="66">
        <f>IF($D1486="","",IF(COUNTIF('Config'!$N$8:$N$15,$D1486)&gt;0,"Entrada",IF(COUNTIF('Config'!$P$8:$P$23,$D1486)&gt;0,"Saída","Verificar")))</f>
        <v/>
      </c>
    </row>
    <row r="1487" spans="7:7" ht="16.5" customHeight="1">
      <c r="G1487" s="66">
        <f>IF($D1487="","",IF(COUNTIF('Config'!$N$8:$N$15,$D1487)&gt;0,"Entrada",IF(COUNTIF('Config'!$P$8:$P$23,$D1487)&gt;0,"Saída","Verificar")))</f>
        <v/>
      </c>
    </row>
    <row r="1488" spans="7:7" ht="16.5" customHeight="1">
      <c r="G1488" s="66">
        <f>IF($D1488="","",IF(COUNTIF('Config'!$N$8:$N$15,$D1488)&gt;0,"Entrada",IF(COUNTIF('Config'!$P$8:$P$23,$D1488)&gt;0,"Saída","Verificar")))</f>
        <v/>
      </c>
    </row>
    <row r="1489" spans="7:7" ht="16.5" customHeight="1">
      <c r="G1489" s="66">
        <f>IF($D1489="","",IF(COUNTIF('Config'!$N$8:$N$15,$D1489)&gt;0,"Entrada",IF(COUNTIF('Config'!$P$8:$P$23,$D1489)&gt;0,"Saída","Verificar")))</f>
        <v/>
      </c>
    </row>
    <row r="1490" spans="7:7" ht="16.5" customHeight="1">
      <c r="G1490" s="66">
        <f>IF($D1490="","",IF(COUNTIF('Config'!$N$8:$N$15,$D1490)&gt;0,"Entrada",IF(COUNTIF('Config'!$P$8:$P$23,$D1490)&gt;0,"Saída","Verificar")))</f>
        <v/>
      </c>
    </row>
    <row r="1491" spans="7:7" ht="16.5" customHeight="1">
      <c r="G1491" s="66">
        <f>IF($D1491="","",IF(COUNTIF('Config'!$N$8:$N$15,$D1491)&gt;0,"Entrada",IF(COUNTIF('Config'!$P$8:$P$23,$D1491)&gt;0,"Saída","Verificar")))</f>
        <v/>
      </c>
    </row>
    <row r="1492" spans="7:7" ht="16.5" customHeight="1">
      <c r="G1492" s="66">
        <f>IF($D1492="","",IF(COUNTIF('Config'!$N$8:$N$15,$D1492)&gt;0,"Entrada",IF(COUNTIF('Config'!$P$8:$P$23,$D1492)&gt;0,"Saída","Verificar")))</f>
        <v/>
      </c>
    </row>
    <row r="1493" spans="7:7" ht="16.5" customHeight="1">
      <c r="G1493" s="66">
        <f>IF($D1493="","",IF(COUNTIF('Config'!$N$8:$N$15,$D1493)&gt;0,"Entrada",IF(COUNTIF('Config'!$P$8:$P$23,$D1493)&gt;0,"Saída","Verificar")))</f>
        <v/>
      </c>
    </row>
    <row r="1494" spans="7:7" ht="16.5" customHeight="1">
      <c r="G1494" s="66">
        <f>IF($D1494="","",IF(COUNTIF('Config'!$N$8:$N$15,$D1494)&gt;0,"Entrada",IF(COUNTIF('Config'!$P$8:$P$23,$D1494)&gt;0,"Saída","Verificar")))</f>
        <v/>
      </c>
    </row>
    <row r="1495" spans="7:7" ht="16.5" customHeight="1">
      <c r="G1495" s="66">
        <f>IF($D1495="","",IF(COUNTIF('Config'!$N$8:$N$15,$D1495)&gt;0,"Entrada",IF(COUNTIF('Config'!$P$8:$P$23,$D1495)&gt;0,"Saída","Verificar")))</f>
        <v/>
      </c>
    </row>
    <row r="1496" spans="7:7" ht="16.5" customHeight="1">
      <c r="G1496" s="66">
        <f>IF($D1496="","",IF(COUNTIF('Config'!$N$8:$N$15,$D1496)&gt;0,"Entrada",IF(COUNTIF('Config'!$P$8:$P$23,$D1496)&gt;0,"Saída","Verificar")))</f>
        <v/>
      </c>
    </row>
    <row r="1497" spans="7:7" ht="16.5" customHeight="1">
      <c r="G1497" s="66">
        <f>IF($D1497="","",IF(COUNTIF('Config'!$N$8:$N$15,$D1497)&gt;0,"Entrada",IF(COUNTIF('Config'!$P$8:$P$23,$D1497)&gt;0,"Saída","Verificar")))</f>
        <v/>
      </c>
    </row>
    <row r="1498" spans="7:7" ht="16.5" customHeight="1">
      <c r="G1498" s="66">
        <f>IF($D1498="","",IF(COUNTIF('Config'!$N$8:$N$15,$D1498)&gt;0,"Entrada",IF(COUNTIF('Config'!$P$8:$P$23,$D1498)&gt;0,"Saída","Verificar")))</f>
        <v/>
      </c>
    </row>
    <row r="1499" spans="7:7" ht="16.5" customHeight="1">
      <c r="G1499" s="66">
        <f>IF($D1499="","",IF(COUNTIF('Config'!$N$8:$N$15,$D1499)&gt;0,"Entrada",IF(COUNTIF('Config'!$P$8:$P$23,$D1499)&gt;0,"Saída","Verificar")))</f>
        <v/>
      </c>
    </row>
    <row r="1500" spans="7:7" ht="16.5" customHeight="1">
      <c r="G1500" s="66">
        <f>IF($D1500="","",IF(COUNTIF('Config'!$N$8:$N$15,$D1500)&gt;0,"Entrada",IF(COUNTIF('Config'!$P$8:$P$23,$D1500)&gt;0,"Saída","Verificar")))</f>
        <v/>
      </c>
    </row>
    <row r="1501" spans="7:7" ht="16.5" customHeight="1">
      <c r="G1501" s="66">
        <f>IF($D1501="","",IF(COUNTIF('Config'!$N$8:$N$15,$D1501)&gt;0,"Entrada",IF(COUNTIF('Config'!$P$8:$P$23,$D1501)&gt;0,"Saída","Verificar")))</f>
        <v/>
      </c>
    </row>
    <row r="1502" spans="7:7" ht="16.5" customHeight="1">
      <c r="G1502" s="66">
        <f>IF($D1502="","",IF(COUNTIF('Config'!$N$8:$N$15,$D1502)&gt;0,"Entrada",IF(COUNTIF('Config'!$P$8:$P$23,$D1502)&gt;0,"Saída","Verificar")))</f>
        <v/>
      </c>
    </row>
    <row r="1503" spans="7:7" ht="16.5" customHeight="1">
      <c r="G1503" s="66">
        <f>IF($D1503="","",IF(COUNTIF('Config'!$N$8:$N$15,$D1503)&gt;0,"Entrada",IF(COUNTIF('Config'!$P$8:$P$23,$D1503)&gt;0,"Saída","Verificar")))</f>
        <v/>
      </c>
    </row>
    <row r="1504" spans="7:7" ht="16.5" customHeight="1">
      <c r="G1504" s="66">
        <f>IF($D1504="","",IF(COUNTIF('Config'!$N$8:$N$15,$D1504)&gt;0,"Entrada",IF(COUNTIF('Config'!$P$8:$P$23,$D1504)&gt;0,"Saída","Verificar")))</f>
        <v/>
      </c>
    </row>
    <row r="1505" spans="7:7" ht="16.5" customHeight="1">
      <c r="G1505" s="66">
        <f>IF($D1505="","",IF(COUNTIF('Config'!$N$8:$N$15,$D1505)&gt;0,"Entrada",IF(COUNTIF('Config'!$P$8:$P$23,$D1505)&gt;0,"Saída","Verificar")))</f>
        <v/>
      </c>
    </row>
    <row r="1506" spans="7:7" ht="16.5" customHeight="1">
      <c r="G1506" s="66">
        <f>IF($D1506="","",IF(COUNTIF('Config'!$N$8:$N$15,$D1506)&gt;0,"Entrada",IF(COUNTIF('Config'!$P$8:$P$23,$D1506)&gt;0,"Saída","Verificar")))</f>
        <v/>
      </c>
    </row>
    <row r="1507" spans="7:7" ht="16.5" customHeight="1">
      <c r="G1507" s="66">
        <f>IF($D1507="","",IF(COUNTIF('Config'!$N$8:$N$15,$D1507)&gt;0,"Entrada",IF(COUNTIF('Config'!$P$8:$P$23,$D1507)&gt;0,"Saída","Verificar")))</f>
        <v/>
      </c>
    </row>
    <row r="1508" spans="7:7" ht="16.5" customHeight="1">
      <c r="G1508" s="66">
        <f>IF($D1508="","",IF(COUNTIF('Config'!$N$8:$N$15,$D1508)&gt;0,"Entrada",IF(COUNTIF('Config'!$P$8:$P$23,$D1508)&gt;0,"Saída","Verificar")))</f>
        <v/>
      </c>
    </row>
    <row r="1509" spans="7:7" ht="16.5" customHeight="1">
      <c r="G1509" s="66">
        <f>IF($D1509="","",IF(COUNTIF('Config'!$N$8:$N$15,$D1509)&gt;0,"Entrada",IF(COUNTIF('Config'!$P$8:$P$23,$D1509)&gt;0,"Saída","Verificar")))</f>
        <v/>
      </c>
    </row>
    <row r="1510" spans="7:7" ht="16.5" customHeight="1">
      <c r="G1510" s="66">
        <f>IF($D1510="","",IF(COUNTIF('Config'!$N$8:$N$15,$D1510)&gt;0,"Entrada",IF(COUNTIF('Config'!$P$8:$P$23,$D1510)&gt;0,"Saída","Verificar")))</f>
        <v/>
      </c>
    </row>
  </sheetData>
  <autoFilter ref="B10:I1510"/>
  <mergeCells count="16">
    <mergeCell ref="B1:C1"/>
    <mergeCell ref="E1:F1"/>
    <mergeCell ref="G1:H1"/>
    <mergeCell ref="B2:C2"/>
    <mergeCell ref="E2:F2"/>
    <mergeCell ref="G2:H2"/>
    <mergeCell ref="E3:F3"/>
    <mergeCell ref="G3:H3"/>
    <mergeCell ref="B5:I5"/>
    <mergeCell ref="B6:I6"/>
    <mergeCell ref="B7:C7"/>
    <mergeCell ref="B8:C8"/>
    <mergeCell ref="E7:F7"/>
    <mergeCell ref="E8:F8"/>
    <mergeCell ref="G7:I7"/>
    <mergeCell ref="G8:I8"/>
  </mergeCells>
  <conditionalFormatting sqref="B11:I1510">
    <cfRule type="expression" dxfId="7" priority="7">
      <formula>MOD(ROW(),2)=0</formula>
    </cfRule>
    <cfRule type="expression" dxfId="8" priority="8">
      <formula>MOD(ROW(),2)=1</formula>
    </cfRule>
  </conditionalFormatting>
  <conditionalFormatting sqref="F11:F1510">
    <cfRule type="expression" dxfId="2" priority="2">
      <formula>$G11="Entrada"</formula>
    </cfRule>
    <cfRule type="expression" dxfId="3" priority="3">
      <formula>$G11="Saída"</formula>
    </cfRule>
  </conditionalFormatting>
  <conditionalFormatting sqref="G11:G1510">
    <cfRule type="cellIs" dxfId="4" priority="4" operator="equal">
      <formula>"Entrada"</formula>
    </cfRule>
    <cfRule type="cellIs" dxfId="5" priority="5" operator="equal">
      <formula>"Saída"</formula>
    </cfRule>
    <cfRule type="cellIs" dxfId="6" priority="6" operator="equal">
      <formula>"Verificar"</formula>
    </cfRule>
  </conditionalFormatting>
  <conditionalFormatting sqref="G8:I8">
    <cfRule type="beginsWith" dxfId="1" priority="1" operator="beginsWith" text="⚠">
      <formula>LEFT(G8,1)="⚠"</formula>
    </cfRule>
  </conditionalFormatting>
  <dataValidations count="5">
    <dataValidation type="date" allowBlank="1" showInputMessage="1" showErrorMessage="1" errorTitle="Data inválida" error="Use uma data válida, ex.: 05/03/2026." promptTitle="Data" prompt="Digite no formato dd/mm/aaaa." sqref="B11:B1510">
      <formula1>36526</formula1>
      <formula2>73415</formula2>
    </dataValidation>
    <dataValidation type="list" allowBlank="1" showInputMessage="1" showErrorMessage="1" errorTitle="Categoria inválida" error="Escolha uma categoria da lista." promptTitle="Categoria" prompt="Escolha no menu suspenso (edite a lista na aba Config)." sqref="D11:D1510">
      <formula1>'Dados'!$S$8:$S$31</formula1>
    </dataValidation>
    <dataValidation type="list" allowBlank="1" showInputMessage="1" showErrorMessage="1" errorTitle="Forma inválida" error="Escolha uma forma da lista." sqref="E11:E1510">
      <formula1>'Config'!$I$8:$I$15</formula1>
    </dataValidation>
    <dataValidation type="decimal" operator="greaterThan" allowBlank="1" showInputMessage="1" showErrorMessage="1" errorTitle="Valor inválido" error="Digite um número maior que zero." promptTitle="Valor" prompt="Sempre positivo. Entrada/Saída é definido pela categoria." sqref="F11:F1510">
      <formula1>0</formula1>
    </dataValidation>
    <dataValidation type="list" allowBlank="1" showInputMessage="1" showErrorMessage="1" errorTitle="Valor inválido" error="Escolha um item da lista." sqref="H11:H1510">
      <formula1>'Clientes'!$B$8:$B$37</formula1>
    </dataValidation>
  </dataValidations>
  <hyperlinks>
    <hyperlink ref="B1" location="'Início'!A1" display="🏠 Início"/>
    <hyperlink ref="D1" location="'Painel Geral'!A1" display="📊 Painel Geral"/>
    <hyperlink ref="E1" location="'Painel Pessoal'!A1" display="👤 Painel Pessoal"/>
    <hyperlink ref="G1" location="'Painel Negócio'!A1" display="💼 Painel Negócio"/>
    <hyperlink ref="I1" location="'Config'!A1" display="⚙ Config"/>
    <hyperlink ref="D2" location="'Lanç. Pessoal'!A1" display="📝 Lançamentos"/>
    <hyperlink ref="E2" location="'Orçamento Pessoal'!A1" display="💳 Orçamento"/>
    <hyperlink ref="G2" location="'Resumo Pessoal'!A1" display="📅 Resumo anual"/>
    <hyperlink ref="I2" location="'Metas'!A1" display="🎯 Metas"/>
    <hyperlink ref="C3" location="'Lanç. Negócio'!A1" display="📝 Lançamentos"/>
    <hyperlink ref="D3" location="'Clientes'!A1" display="🤝 Clientes"/>
    <hyperlink ref="E3" location="'Recebimentos'!A1" display="💰 Recebimentos"/>
    <hyperlink ref="G3" location="'Impostos'!A1" display="🧾 Impostos"/>
    <hyperlink ref="I3" location="'Fluxo de Caixa'!A1" display="📈 Fluxo de Caixa"/>
  </hyperlinks>
  <pageMargins left="0.4" right="0.4" top="0.5" bottom="0.5" header="0.3" footer="0.3"/>
  <pageSetup paperSize="9"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M40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6.5" customHeight="1"/>
  <cols>
    <col min="1" max="1" width="2.7109375" customWidth="1"/>
    <col min="2" max="2" width="28.7109375" customWidth="1"/>
    <col min="3" max="3" width="22.7109375" customWidth="1"/>
    <col min="4" max="4" width="30.7109375" customWidth="1"/>
    <col min="5" max="5" width="16.7109375" customWidth="1"/>
    <col min="6" max="6" width="11.7109375" customWidth="1"/>
    <col min="7" max="8" width="15.7109375" customWidth="1"/>
    <col min="9" max="10" width="14.7109375" customWidth="1"/>
    <col min="11" max="11" width="11.7109375" customWidth="1"/>
    <col min="12" max="12" width="14.7109375" customWidth="1"/>
    <col min="13" max="13" width="15.7109375" customWidth="1"/>
  </cols>
  <sheetData>
    <row r="1" spans="2:13" ht="22" customHeight="1">
      <c r="B1" s="3" t="s">
        <v>0</v>
      </c>
      <c r="C1" s="3"/>
      <c r="D1" s="3" t="s">
        <v>1</v>
      </c>
      <c r="E1" s="3" t="s">
        <v>2</v>
      </c>
      <c r="F1" s="3"/>
      <c r="G1" s="3"/>
      <c r="H1" s="3" t="s">
        <v>3</v>
      </c>
      <c r="I1" s="3"/>
      <c r="J1" s="3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 t="s">
        <v>7</v>
      </c>
      <c r="F2" s="5"/>
      <c r="G2" s="5"/>
      <c r="H2" s="5" t="s">
        <v>8</v>
      </c>
      <c r="I2" s="5"/>
      <c r="J2" s="5"/>
      <c r="K2" s="5" t="s">
        <v>9</v>
      </c>
      <c r="L2" s="5"/>
      <c r="M2" s="5"/>
    </row>
    <row r="3" spans="2:13" ht="22" customHeight="1">
      <c r="B3" s="6" t="s">
        <v>10</v>
      </c>
      <c r="C3" s="7" t="s">
        <v>6</v>
      </c>
      <c r="D3" s="118" t="s">
        <v>11</v>
      </c>
      <c r="E3" s="7" t="s">
        <v>12</v>
      </c>
      <c r="F3" s="7"/>
      <c r="G3" s="7"/>
      <c r="H3" s="7" t="s">
        <v>13</v>
      </c>
      <c r="I3" s="7"/>
      <c r="J3" s="7"/>
      <c r="K3" s="7" t="s">
        <v>14</v>
      </c>
      <c r="L3" s="7"/>
      <c r="M3" s="7"/>
    </row>
    <row r="4" spans="2:13" ht="6" customHeight="1"/>
    <row r="5" spans="2:13" ht="38" customHeight="1">
      <c r="B5" s="54" t="s">
        <v>273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2:13" ht="20" customHeight="1">
      <c r="B6" s="68" t="s">
        <v>274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2:13" ht="30" customHeight="1">
      <c r="B7" s="121" t="s">
        <v>275</v>
      </c>
      <c r="C7" s="120" t="s">
        <v>276</v>
      </c>
      <c r="D7" s="120" t="s">
        <v>277</v>
      </c>
      <c r="E7" s="120" t="s">
        <v>278</v>
      </c>
      <c r="F7" s="120" t="s">
        <v>279</v>
      </c>
      <c r="G7" s="120" t="s">
        <v>280</v>
      </c>
      <c r="H7" s="120" t="s">
        <v>281</v>
      </c>
      <c r="I7" s="120" t="s">
        <v>282</v>
      </c>
      <c r="J7" s="120" t="s">
        <v>283</v>
      </c>
      <c r="K7" s="120" t="s">
        <v>284</v>
      </c>
      <c r="L7" s="120" t="s">
        <v>285</v>
      </c>
      <c r="M7" s="120" t="s">
        <v>212</v>
      </c>
    </row>
    <row r="8" spans="2:13" ht="16.5" customHeight="1">
      <c r="B8" s="110" t="s">
        <v>286</v>
      </c>
      <c r="C8" s="110" t="s">
        <v>287</v>
      </c>
      <c r="D8" s="110" t="s">
        <v>288</v>
      </c>
      <c r="E8" s="110" t="s">
        <v>289</v>
      </c>
      <c r="F8" s="114">
        <f>IF($B8="","",COUNTIFS('Recebimentos'!$C$11:$C$1010,$B8,'Recebimentos'!$B$11:$B$1010,"&gt;="&amp;DATE('Config'!$C$8,1,1),'Recebimentos'!$B$11:$B$1010,"&lt;"&amp;DATE('Config'!$C$8+1,1,1)))</f>
        <v>9</v>
      </c>
      <c r="G8" s="95">
        <f>IF($B8="","",SUMIFS('Recebimentos'!$E$11:$E$1010,'Recebimentos'!$C$11:$C$1010,$B8,'Recebimentos'!$B$11:$B$1010,"&gt;="&amp;DATE('Config'!$C$8,1,1),'Recebimentos'!$B$11:$B$1010,"&lt;"&amp;DATE('Config'!$C$8+1,1,1)))</f>
        <v>16200</v>
      </c>
      <c r="H8" s="96">
        <f>IF($B8="","",SUMIFS('Recebimentos'!$E$11:$E$1010,'Recebimentos'!$C$11:$C$1010,$B8,'Recebimentos'!$G$11:$G$1010,"&gt;="&amp;DATE('Config'!$C$8,1,1),'Recebimentos'!$G$11:$G$1010,"&lt;"&amp;DATE('Config'!$C$8+1,1,1)))</f>
        <v>14400</v>
      </c>
      <c r="I8" s="95">
        <f>IF($B8="","",SUMIFS('Recebimentos'!$K$11:$K$1010,'Recebimentos'!$C$11:$C$1010,$B8))</f>
        <v>1800</v>
      </c>
      <c r="J8" s="95">
        <f>IF($B8="","",SUMIFS('Recebimentos'!$L$11:$L$1010,'Recebimentos'!$C$11:$C$1010,$B8))</f>
        <v>1800</v>
      </c>
      <c r="K8" s="82">
        <f>IF($B8="","",IF($H$38=0,0,H8/$H$38))</f>
        <v>0.259319286871961</v>
      </c>
      <c r="L8" s="95">
        <f>IF(OR($B8="",N(F8)=0),"",G8/F8)</f>
        <v>1800</v>
      </c>
      <c r="M8" s="84" t="str">
        <f>IF($B8="","",IF(J8&gt;0,"✖ Em atraso",IF(I8&gt;0,"● A receber",IF(H8&gt;0,"✓ Em dia","—"))))</f>
        <v>✖ Em atraso</v>
      </c>
    </row>
    <row r="9" spans="2:13" ht="16.5" customHeight="1">
      <c r="B9" s="110" t="s">
        <v>290</v>
      </c>
      <c r="C9" s="110" t="s">
        <v>291</v>
      </c>
      <c r="D9" s="110" t="s">
        <v>292</v>
      </c>
      <c r="E9" s="110" t="s">
        <v>293</v>
      </c>
      <c r="F9" s="114">
        <f>IF($B9="","",COUNTIFS('Recebimentos'!$C$11:$C$1010,$B9,'Recebimentos'!$B$11:$B$1010,"&gt;="&amp;DATE('Config'!$C$8,1,1),'Recebimentos'!$B$11:$B$1010,"&lt;"&amp;DATE('Config'!$C$8+1,1,1)))</f>
        <v>9</v>
      </c>
      <c r="G9" s="95">
        <f>IF($B9="","",SUMIFS('Recebimentos'!$E$11:$E$1010,'Recebimentos'!$C$11:$C$1010,$B9,'Recebimentos'!$B$11:$B$1010,"&gt;="&amp;DATE('Config'!$C$8,1,1),'Recebimentos'!$B$11:$B$1010,"&lt;"&amp;DATE('Config'!$C$8+1,1,1)))</f>
        <v>13500</v>
      </c>
      <c r="H9" s="96">
        <f>IF($B9="","",SUMIFS('Recebimentos'!$E$11:$E$1010,'Recebimentos'!$C$11:$C$1010,$B9,'Recebimentos'!$G$11:$G$1010,"&gt;="&amp;DATE('Config'!$C$8,1,1),'Recebimentos'!$G$11:$G$1010,"&lt;"&amp;DATE('Config'!$C$8+1,1,1)))</f>
        <v>12000</v>
      </c>
      <c r="I9" s="95">
        <f>IF($B9="","",SUMIFS('Recebimentos'!$K$11:$K$1010,'Recebimentos'!$C$11:$C$1010,$B9))</f>
        <v>1500</v>
      </c>
      <c r="J9" s="95">
        <f>IF($B9="","",SUMIFS('Recebimentos'!$L$11:$L$1010,'Recebimentos'!$C$11:$C$1010,$B9))</f>
        <v>1500</v>
      </c>
      <c r="K9" s="82">
        <f>IF($B9="","",IF($H$38=0,0,H9/$H$38))</f>
        <v>0.216099405726634</v>
      </c>
      <c r="L9" s="95">
        <f>IF(OR($B9="",N(F9)=0),"",G9/F9)</f>
        <v>1500</v>
      </c>
      <c r="M9" s="84" t="str">
        <f>IF($B9="","",IF(J9&gt;0,"✖ Em atraso",IF(I9&gt;0,"● A receber",IF(H9&gt;0,"✓ Em dia","—"))))</f>
        <v>✖ Em atraso</v>
      </c>
    </row>
    <row r="10" spans="2:13" ht="16.5" customHeight="1">
      <c r="B10" s="110" t="s">
        <v>294</v>
      </c>
      <c r="C10" s="110" t="s">
        <v>295</v>
      </c>
      <c r="D10" s="110" t="s">
        <v>296</v>
      </c>
      <c r="E10" s="110" t="s">
        <v>289</v>
      </c>
      <c r="F10" s="114">
        <f>IF($B10="","",COUNTIFS('Recebimentos'!$C$11:$C$1010,$B10,'Recebimentos'!$B$11:$B$1010,"&gt;="&amp;DATE('Config'!$C$8,1,1),'Recebimentos'!$B$11:$B$1010,"&lt;"&amp;DATE('Config'!$C$8+1,1,1)))</f>
        <v>7</v>
      </c>
      <c r="G10" s="95">
        <f>IF($B10="","",SUMIFS('Recebimentos'!$E$11:$E$1010,'Recebimentos'!$C$11:$C$1010,$B10,'Recebimentos'!$B$11:$B$1010,"&gt;="&amp;DATE('Config'!$C$8,1,1),'Recebimentos'!$B$11:$B$1010,"&lt;"&amp;DATE('Config'!$C$8+1,1,1)))</f>
        <v>4550</v>
      </c>
      <c r="H10" s="96">
        <f>IF($B10="","",SUMIFS('Recebimentos'!$E$11:$E$1010,'Recebimentos'!$C$11:$C$1010,$B10,'Recebimentos'!$G$11:$G$1010,"&gt;="&amp;DATE('Config'!$C$8,1,1),'Recebimentos'!$G$11:$G$1010,"&lt;"&amp;DATE('Config'!$C$8+1,1,1)))</f>
        <v>3900</v>
      </c>
      <c r="I10" s="95">
        <f>IF($B10="","",SUMIFS('Recebimentos'!$K$11:$K$1010,'Recebimentos'!$C$11:$C$1010,$B10))</f>
        <v>650</v>
      </c>
      <c r="J10" s="95">
        <f>IF($B10="","",SUMIFS('Recebimentos'!$L$11:$L$1010,'Recebimentos'!$C$11:$C$1010,$B10))</f>
        <v>650</v>
      </c>
      <c r="K10" s="82">
        <f>IF($B10="","",IF($H$38=0,0,H10/$H$38))</f>
        <v>0.0702323068611561</v>
      </c>
      <c r="L10" s="95">
        <f>IF(OR($B10="",N(F10)=0),"",G10/F10)</f>
        <v>650</v>
      </c>
      <c r="M10" s="84" t="str">
        <f>IF($B10="","",IF(J10&gt;0,"✖ Em atraso",IF(I10&gt;0,"● A receber",IF(H10&gt;0,"✓ Em dia","—"))))</f>
        <v>✖ Em atraso</v>
      </c>
    </row>
    <row r="11" spans="2:13" ht="16.5" customHeight="1">
      <c r="B11" s="110" t="s">
        <v>297</v>
      </c>
      <c r="C11" s="110" t="s">
        <v>298</v>
      </c>
      <c r="D11" s="110" t="s">
        <v>299</v>
      </c>
      <c r="E11" s="110" t="s">
        <v>300</v>
      </c>
      <c r="F11" s="114">
        <f>IF($B11="","",COUNTIFS('Recebimentos'!$C$11:$C$1010,$B11,'Recebimentos'!$B$11:$B$1010,"&gt;="&amp;DATE('Config'!$C$8,1,1),'Recebimentos'!$B$11:$B$1010,"&lt;"&amp;DATE('Config'!$C$8+1,1,1)))</f>
        <v>4</v>
      </c>
      <c r="G11" s="95">
        <f>IF($B11="","",SUMIFS('Recebimentos'!$E$11:$E$1010,'Recebimentos'!$C$11:$C$1010,$B11,'Recebimentos'!$B$11:$B$1010,"&gt;="&amp;DATE('Config'!$C$8,1,1),'Recebimentos'!$B$11:$B$1010,"&lt;"&amp;DATE('Config'!$C$8+1,1,1)))</f>
        <v>8400</v>
      </c>
      <c r="H11" s="96">
        <f>IF($B11="","",SUMIFS('Recebimentos'!$E$11:$E$1010,'Recebimentos'!$C$11:$C$1010,$B11,'Recebimentos'!$G$11:$G$1010,"&gt;="&amp;DATE('Config'!$C$8,1,1),'Recebimentos'!$G$11:$G$1010,"&lt;"&amp;DATE('Config'!$C$8+1,1,1)))</f>
        <v>7500</v>
      </c>
      <c r="I11" s="95">
        <f>IF($B11="","",SUMIFS('Recebimentos'!$K$11:$K$1010,'Recebimentos'!$C$11:$C$1010,$B11))</f>
        <v>900</v>
      </c>
      <c r="J11" s="95">
        <f>IF($B11="","",SUMIFS('Recebimentos'!$L$11:$L$1010,'Recebimentos'!$C$11:$C$1010,$B11))</f>
        <v>0</v>
      </c>
      <c r="K11" s="82">
        <f>IF($B11="","",IF($H$38=0,0,H11/$H$38))</f>
        <v>0.135062128579146</v>
      </c>
      <c r="L11" s="95">
        <f>IF(OR($B11="",N(F11)=0),"",G11/F11)</f>
        <v>2100</v>
      </c>
      <c r="M11" s="84" t="str">
        <f>IF($B11="","",IF(J11&gt;0,"✖ Em atraso",IF(I11&gt;0,"● A receber",IF(H11&gt;0,"✓ Em dia","—"))))</f>
        <v>● A receber</v>
      </c>
    </row>
    <row r="12" spans="2:13" ht="16.5" customHeight="1">
      <c r="B12" s="110" t="s">
        <v>301</v>
      </c>
      <c r="C12" s="110" t="s">
        <v>302</v>
      </c>
      <c r="D12" s="110" t="s">
        <v>303</v>
      </c>
      <c r="E12" s="110" t="s">
        <v>304</v>
      </c>
      <c r="F12" s="114">
        <f>IF($B12="","",COUNTIFS('Recebimentos'!$C$11:$C$1010,$B12,'Recebimentos'!$B$11:$B$1010,"&gt;="&amp;DATE('Config'!$C$8,1,1),'Recebimentos'!$B$11:$B$1010,"&lt;"&amp;DATE('Config'!$C$8+1,1,1)))</f>
        <v>4</v>
      </c>
      <c r="G12" s="95">
        <f>IF($B12="","",SUMIFS('Recebimentos'!$E$11:$E$1010,'Recebimentos'!$C$11:$C$1010,$B12,'Recebimentos'!$B$11:$B$1010,"&gt;="&amp;DATE('Config'!$C$8,1,1),'Recebimentos'!$B$11:$B$1010,"&lt;"&amp;DATE('Config'!$C$8+1,1,1)))</f>
        <v>8000</v>
      </c>
      <c r="H12" s="96">
        <f>IF($B12="","",SUMIFS('Recebimentos'!$E$11:$E$1010,'Recebimentos'!$C$11:$C$1010,$B12,'Recebimentos'!$G$11:$G$1010,"&gt;="&amp;DATE('Config'!$C$8,1,1),'Recebimentos'!$G$11:$G$1010,"&lt;"&amp;DATE('Config'!$C$8+1,1,1)))</f>
        <v>8000</v>
      </c>
      <c r="I12" s="95">
        <f>IF($B12="","",SUMIFS('Recebimentos'!$K$11:$K$1010,'Recebimentos'!$C$11:$C$1010,$B12))</f>
        <v>0</v>
      </c>
      <c r="J12" s="95">
        <f>IF($B12="","",SUMIFS('Recebimentos'!$L$11:$L$1010,'Recebimentos'!$C$11:$C$1010,$B12))</f>
        <v>0</v>
      </c>
      <c r="K12" s="82">
        <f>IF($B12="","",IF($H$38=0,0,H12/$H$38))</f>
        <v>0.144066270484423</v>
      </c>
      <c r="L12" s="95">
        <f>IF(OR($B12="",N(F12)=0),"",G12/F12)</f>
        <v>2000</v>
      </c>
      <c r="M12" s="84" t="str">
        <f>IF($B12="","",IF(J12&gt;0,"✖ Em atraso",IF(I12&gt;0,"● A receber",IF(H12&gt;0,"✓ Em dia","—"))))</f>
        <v>✓ Em dia</v>
      </c>
    </row>
    <row r="13" spans="2:13" ht="16.5" customHeight="1">
      <c r="B13" s="110" t="s">
        <v>305</v>
      </c>
      <c r="C13" s="110" t="s">
        <v>306</v>
      </c>
      <c r="D13" s="110" t="s">
        <v>307</v>
      </c>
      <c r="E13" s="110" t="s">
        <v>293</v>
      </c>
      <c r="F13" s="114">
        <f>IF($B13="","",COUNTIFS('Recebimentos'!$C$11:$C$1010,$B13,'Recebimentos'!$B$11:$B$1010,"&gt;="&amp;DATE('Config'!$C$8,1,1),'Recebimentos'!$B$11:$B$1010,"&lt;"&amp;DATE('Config'!$C$8+1,1,1)))</f>
        <v>4</v>
      </c>
      <c r="G13" s="95">
        <f>IF($B13="","",SUMIFS('Recebimentos'!$E$11:$E$1010,'Recebimentos'!$C$11:$C$1010,$B13,'Recebimentos'!$B$11:$B$1010,"&gt;="&amp;DATE('Config'!$C$8,1,1),'Recebimentos'!$B$11:$B$1010,"&lt;"&amp;DATE('Config'!$C$8+1,1,1)))</f>
        <v>6800</v>
      </c>
      <c r="H13" s="96">
        <f>IF($B13="","",SUMIFS('Recebimentos'!$E$11:$E$1010,'Recebimentos'!$C$11:$C$1010,$B13,'Recebimentos'!$G$11:$G$1010,"&gt;="&amp;DATE('Config'!$C$8,1,1),'Recebimentos'!$G$11:$G$1010,"&lt;"&amp;DATE('Config'!$C$8+1,1,1)))</f>
        <v>5400</v>
      </c>
      <c r="I13" s="95">
        <f>IF($B13="","",SUMIFS('Recebimentos'!$K$11:$K$1010,'Recebimentos'!$C$11:$C$1010,$B13))</f>
        <v>1400</v>
      </c>
      <c r="J13" s="95">
        <f>IF($B13="","",SUMIFS('Recebimentos'!$L$11:$L$1010,'Recebimentos'!$C$11:$C$1010,$B13))</f>
        <v>0</v>
      </c>
      <c r="K13" s="82">
        <f>IF($B13="","",IF($H$38=0,0,H13/$H$38))</f>
        <v>0.0972447325769854</v>
      </c>
      <c r="L13" s="95">
        <f>IF(OR($B13="",N(F13)=0),"",G13/F13)</f>
        <v>1700</v>
      </c>
      <c r="M13" s="84" t="str">
        <f>IF($B13="","",IF(J13&gt;0,"✖ Em atraso",IF(I13&gt;0,"● A receber",IF(H13&gt;0,"✓ Em dia","—"))))</f>
        <v>● A receber</v>
      </c>
    </row>
    <row r="14" spans="2:13" ht="16.5" customHeight="1">
      <c r="B14" s="110" t="s">
        <v>308</v>
      </c>
      <c r="C14" s="110" t="s">
        <v>309</v>
      </c>
      <c r="D14" s="110" t="s">
        <v>310</v>
      </c>
      <c r="E14" s="110" t="s">
        <v>289</v>
      </c>
      <c r="F14" s="114">
        <f>IF($B14="","",COUNTIFS('Recebimentos'!$C$11:$C$1010,$B14,'Recebimentos'!$B$11:$B$1010,"&gt;="&amp;DATE('Config'!$C$8,1,1),'Recebimentos'!$B$11:$B$1010,"&lt;"&amp;DATE('Config'!$C$8+1,1,1)))</f>
        <v>3</v>
      </c>
      <c r="G14" s="95">
        <f>IF($B14="","",SUMIFS('Recebimentos'!$E$11:$E$1010,'Recebimentos'!$C$11:$C$1010,$B14,'Recebimentos'!$B$11:$B$1010,"&gt;="&amp;DATE('Config'!$C$8,1,1),'Recebimentos'!$B$11:$B$1010,"&lt;"&amp;DATE('Config'!$C$8+1,1,1)))</f>
        <v>2530</v>
      </c>
      <c r="H14" s="96">
        <f>IF($B14="","",SUMIFS('Recebimentos'!$E$11:$E$1010,'Recebimentos'!$C$11:$C$1010,$B14,'Recebimentos'!$G$11:$G$1010,"&gt;="&amp;DATE('Config'!$C$8,1,1),'Recebimentos'!$G$11:$G$1010,"&lt;"&amp;DATE('Config'!$C$8+1,1,1)))</f>
        <v>2050</v>
      </c>
      <c r="I14" s="95">
        <f>IF($B14="","",SUMIFS('Recebimentos'!$K$11:$K$1010,'Recebimentos'!$C$11:$C$1010,$B14))</f>
        <v>480</v>
      </c>
      <c r="J14" s="95">
        <f>IF($B14="","",SUMIFS('Recebimentos'!$L$11:$L$1010,'Recebimentos'!$C$11:$C$1010,$B14))</f>
        <v>480</v>
      </c>
      <c r="K14" s="82">
        <f>IF($B14="","",IF($H$38=0,0,H14/$H$38))</f>
        <v>0.0369169818116334</v>
      </c>
      <c r="L14" s="95">
        <f>IF(OR($B14="",N(F14)=0),"",G14/F14)</f>
        <v>843.333333333333</v>
      </c>
      <c r="M14" s="84" t="str">
        <f>IF($B14="","",IF(J14&gt;0,"✖ Em atraso",IF(I14&gt;0,"● A receber",IF(H14&gt;0,"✓ Em dia","—"))))</f>
        <v>✖ Em atraso</v>
      </c>
    </row>
    <row r="15" spans="2:13" ht="16.5" customHeight="1">
      <c r="B15" s="110" t="s">
        <v>311</v>
      </c>
      <c r="C15" s="110" t="s">
        <v>312</v>
      </c>
      <c r="D15" s="110" t="s">
        <v>313</v>
      </c>
      <c r="E15" s="110" t="s">
        <v>289</v>
      </c>
      <c r="F15" s="114">
        <f>IF($B15="","",COUNTIFS('Recebimentos'!$C$11:$C$1010,$B15,'Recebimentos'!$B$11:$B$1010,"&gt;="&amp;DATE('Config'!$C$8,1,1),'Recebimentos'!$B$11:$B$1010,"&lt;"&amp;DATE('Config'!$C$8+1,1,1)))</f>
        <v>2</v>
      </c>
      <c r="G15" s="95">
        <f>IF($B15="","",SUMIFS('Recebimentos'!$E$11:$E$1010,'Recebimentos'!$C$11:$C$1010,$B15,'Recebimentos'!$B$11:$B$1010,"&gt;="&amp;DATE('Config'!$C$8,1,1),'Recebimentos'!$B$11:$B$1010,"&lt;"&amp;DATE('Config'!$C$8+1,1,1)))</f>
        <v>2280</v>
      </c>
      <c r="H15" s="96">
        <f>IF($B15="","",SUMIFS('Recebimentos'!$E$11:$E$1010,'Recebimentos'!$C$11:$C$1010,$B15,'Recebimentos'!$G$11:$G$1010,"&gt;="&amp;DATE('Config'!$C$8,1,1),'Recebimentos'!$G$11:$G$1010,"&lt;"&amp;DATE('Config'!$C$8+1,1,1)))</f>
        <v>2280</v>
      </c>
      <c r="I15" s="95">
        <f>IF($B15="","",SUMIFS('Recebimentos'!$K$11:$K$1010,'Recebimentos'!$C$11:$C$1010,$B15))</f>
        <v>0</v>
      </c>
      <c r="J15" s="95">
        <f>IF($B15="","",SUMIFS('Recebimentos'!$L$11:$L$1010,'Recebimentos'!$C$11:$C$1010,$B15))</f>
        <v>0</v>
      </c>
      <c r="K15" s="82">
        <f>IF($B15="","",IF($H$38=0,0,H15/$H$38))</f>
        <v>0.0410588870880605</v>
      </c>
      <c r="L15" s="95">
        <f>IF(OR($B15="",N(F15)=0),"",G15/F15)</f>
        <v>1140</v>
      </c>
      <c r="M15" s="84" t="str">
        <f>IF($B15="","",IF(J15&gt;0,"✖ Em atraso",IF(I15&gt;0,"● A receber",IF(H15&gt;0,"✓ Em dia","—"))))</f>
        <v>✓ Em dia</v>
      </c>
    </row>
    <row r="16" spans="2:13" ht="16.5" customHeight="1">
      <c r="B16" s="110"/>
      <c r="C16" s="110"/>
      <c r="D16" s="110"/>
      <c r="E16" s="110"/>
      <c r="F16" s="114">
        <f>IF($B16="","",COUNTIFS('Recebimentos'!$C$11:$C$1010,$B16,'Recebimentos'!$B$11:$B$1010,"&gt;="&amp;DATE('Config'!$C$8,1,1),'Recebimentos'!$B$11:$B$1010,"&lt;"&amp;DATE('Config'!$C$8+1,1,1)))</f>
        <v/>
      </c>
      <c r="G16" s="95">
        <f>IF($B16="","",SUMIFS('Recebimentos'!$E$11:$E$1010,'Recebimentos'!$C$11:$C$1010,$B16,'Recebimentos'!$B$11:$B$1010,"&gt;="&amp;DATE('Config'!$C$8,1,1),'Recebimentos'!$B$11:$B$1010,"&lt;"&amp;DATE('Config'!$C$8+1,1,1)))</f>
        <v/>
      </c>
      <c r="H16" s="96">
        <f>IF($B16="","",SUMIFS('Recebimentos'!$E$11:$E$1010,'Recebimentos'!$C$11:$C$1010,$B16,'Recebimentos'!$G$11:$G$1010,"&gt;="&amp;DATE('Config'!$C$8,1,1),'Recebimentos'!$G$11:$G$1010,"&lt;"&amp;DATE('Config'!$C$8+1,1,1)))</f>
        <v/>
      </c>
      <c r="I16" s="95">
        <f>IF($B16="","",SUMIFS('Recebimentos'!$K$11:$K$1010,'Recebimentos'!$C$11:$C$1010,$B16))</f>
        <v/>
      </c>
      <c r="J16" s="95">
        <f>IF($B16="","",SUMIFS('Recebimentos'!$L$11:$L$1010,'Recebimentos'!$C$11:$C$1010,$B16))</f>
        <v/>
      </c>
      <c r="K16" s="82">
        <f>IF($B16="","",IF($H$38=0,0,H16/$H$38))</f>
        <v/>
      </c>
      <c r="L16" s="95">
        <f>IF(OR($B16="",N(F16)=0),"",G16/F16)</f>
        <v/>
      </c>
      <c r="M16" s="84">
        <f>IF($B16="","",IF(J16&gt;0,"✖ Em atraso",IF(I16&gt;0,"● A receber",IF(H16&gt;0,"✓ Em dia","—"))))</f>
        <v/>
      </c>
    </row>
    <row r="17" spans="2:13" ht="16.5" customHeight="1">
      <c r="B17" s="110"/>
      <c r="C17" s="110"/>
      <c r="D17" s="110"/>
      <c r="E17" s="110"/>
      <c r="F17" s="114">
        <f>IF($B17="","",COUNTIFS('Recebimentos'!$C$11:$C$1010,$B17,'Recebimentos'!$B$11:$B$1010,"&gt;="&amp;DATE('Config'!$C$8,1,1),'Recebimentos'!$B$11:$B$1010,"&lt;"&amp;DATE('Config'!$C$8+1,1,1)))</f>
        <v/>
      </c>
      <c r="G17" s="95">
        <f>IF($B17="","",SUMIFS('Recebimentos'!$E$11:$E$1010,'Recebimentos'!$C$11:$C$1010,$B17,'Recebimentos'!$B$11:$B$1010,"&gt;="&amp;DATE('Config'!$C$8,1,1),'Recebimentos'!$B$11:$B$1010,"&lt;"&amp;DATE('Config'!$C$8+1,1,1)))</f>
        <v/>
      </c>
      <c r="H17" s="96">
        <f>IF($B17="","",SUMIFS('Recebimentos'!$E$11:$E$1010,'Recebimentos'!$C$11:$C$1010,$B17,'Recebimentos'!$G$11:$G$1010,"&gt;="&amp;DATE('Config'!$C$8,1,1),'Recebimentos'!$G$11:$G$1010,"&lt;"&amp;DATE('Config'!$C$8+1,1,1)))</f>
        <v/>
      </c>
      <c r="I17" s="95">
        <f>IF($B17="","",SUMIFS('Recebimentos'!$K$11:$K$1010,'Recebimentos'!$C$11:$C$1010,$B17))</f>
        <v/>
      </c>
      <c r="J17" s="95">
        <f>IF($B17="","",SUMIFS('Recebimentos'!$L$11:$L$1010,'Recebimentos'!$C$11:$C$1010,$B17))</f>
        <v/>
      </c>
      <c r="K17" s="82">
        <f>IF($B17="","",IF($H$38=0,0,H17/$H$38))</f>
        <v/>
      </c>
      <c r="L17" s="95">
        <f>IF(OR($B17="",N(F17)=0),"",G17/F17)</f>
        <v/>
      </c>
      <c r="M17" s="84">
        <f>IF($B17="","",IF(J17&gt;0,"✖ Em atraso",IF(I17&gt;0,"● A receber",IF(H17&gt;0,"✓ Em dia","—"))))</f>
        <v/>
      </c>
    </row>
    <row r="18" spans="2:13" ht="16.5" customHeight="1">
      <c r="B18" s="110"/>
      <c r="C18" s="110"/>
      <c r="D18" s="110"/>
      <c r="E18" s="110"/>
      <c r="F18" s="114">
        <f>IF($B18="","",COUNTIFS('Recebimentos'!$C$11:$C$1010,$B18,'Recebimentos'!$B$11:$B$1010,"&gt;="&amp;DATE('Config'!$C$8,1,1),'Recebimentos'!$B$11:$B$1010,"&lt;"&amp;DATE('Config'!$C$8+1,1,1)))</f>
        <v/>
      </c>
      <c r="G18" s="95">
        <f>IF($B18="","",SUMIFS('Recebimentos'!$E$11:$E$1010,'Recebimentos'!$C$11:$C$1010,$B18,'Recebimentos'!$B$11:$B$1010,"&gt;="&amp;DATE('Config'!$C$8,1,1),'Recebimentos'!$B$11:$B$1010,"&lt;"&amp;DATE('Config'!$C$8+1,1,1)))</f>
        <v/>
      </c>
      <c r="H18" s="96">
        <f>IF($B18="","",SUMIFS('Recebimentos'!$E$11:$E$1010,'Recebimentos'!$C$11:$C$1010,$B18,'Recebimentos'!$G$11:$G$1010,"&gt;="&amp;DATE('Config'!$C$8,1,1),'Recebimentos'!$G$11:$G$1010,"&lt;"&amp;DATE('Config'!$C$8+1,1,1)))</f>
        <v/>
      </c>
      <c r="I18" s="95">
        <f>IF($B18="","",SUMIFS('Recebimentos'!$K$11:$K$1010,'Recebimentos'!$C$11:$C$1010,$B18))</f>
        <v/>
      </c>
      <c r="J18" s="95">
        <f>IF($B18="","",SUMIFS('Recebimentos'!$L$11:$L$1010,'Recebimentos'!$C$11:$C$1010,$B18))</f>
        <v/>
      </c>
      <c r="K18" s="82">
        <f>IF($B18="","",IF($H$38=0,0,H18/$H$38))</f>
        <v/>
      </c>
      <c r="L18" s="95">
        <f>IF(OR($B18="",N(F18)=0),"",G18/F18)</f>
        <v/>
      </c>
      <c r="M18" s="84">
        <f>IF($B18="","",IF(J18&gt;0,"✖ Em atraso",IF(I18&gt;0,"● A receber",IF(H18&gt;0,"✓ Em dia","—"))))</f>
        <v/>
      </c>
    </row>
    <row r="19" spans="2:13" ht="16.5" customHeight="1">
      <c r="B19" s="110"/>
      <c r="C19" s="110"/>
      <c r="D19" s="110"/>
      <c r="E19" s="110"/>
      <c r="F19" s="114">
        <f>IF($B19="","",COUNTIFS('Recebimentos'!$C$11:$C$1010,$B19,'Recebimentos'!$B$11:$B$1010,"&gt;="&amp;DATE('Config'!$C$8,1,1),'Recebimentos'!$B$11:$B$1010,"&lt;"&amp;DATE('Config'!$C$8+1,1,1)))</f>
        <v/>
      </c>
      <c r="G19" s="95">
        <f>IF($B19="","",SUMIFS('Recebimentos'!$E$11:$E$1010,'Recebimentos'!$C$11:$C$1010,$B19,'Recebimentos'!$B$11:$B$1010,"&gt;="&amp;DATE('Config'!$C$8,1,1),'Recebimentos'!$B$11:$B$1010,"&lt;"&amp;DATE('Config'!$C$8+1,1,1)))</f>
        <v/>
      </c>
      <c r="H19" s="96">
        <f>IF($B19="","",SUMIFS('Recebimentos'!$E$11:$E$1010,'Recebimentos'!$C$11:$C$1010,$B19,'Recebimentos'!$G$11:$G$1010,"&gt;="&amp;DATE('Config'!$C$8,1,1),'Recebimentos'!$G$11:$G$1010,"&lt;"&amp;DATE('Config'!$C$8+1,1,1)))</f>
        <v/>
      </c>
      <c r="I19" s="95">
        <f>IF($B19="","",SUMIFS('Recebimentos'!$K$11:$K$1010,'Recebimentos'!$C$11:$C$1010,$B19))</f>
        <v/>
      </c>
      <c r="J19" s="95">
        <f>IF($B19="","",SUMIFS('Recebimentos'!$L$11:$L$1010,'Recebimentos'!$C$11:$C$1010,$B19))</f>
        <v/>
      </c>
      <c r="K19" s="82">
        <f>IF($B19="","",IF($H$38=0,0,H19/$H$38))</f>
        <v/>
      </c>
      <c r="L19" s="95">
        <f>IF(OR($B19="",N(F19)=0),"",G19/F19)</f>
        <v/>
      </c>
      <c r="M19" s="84">
        <f>IF($B19="","",IF(J19&gt;0,"✖ Em atraso",IF(I19&gt;0,"● A receber",IF(H19&gt;0,"✓ Em dia","—"))))</f>
        <v/>
      </c>
    </row>
    <row r="20" spans="2:13" ht="16.5" customHeight="1">
      <c r="B20" s="110"/>
      <c r="C20" s="110"/>
      <c r="D20" s="110"/>
      <c r="E20" s="110"/>
      <c r="F20" s="114">
        <f>IF($B20="","",COUNTIFS('Recebimentos'!$C$11:$C$1010,$B20,'Recebimentos'!$B$11:$B$1010,"&gt;="&amp;DATE('Config'!$C$8,1,1),'Recebimentos'!$B$11:$B$1010,"&lt;"&amp;DATE('Config'!$C$8+1,1,1)))</f>
        <v/>
      </c>
      <c r="G20" s="95">
        <f>IF($B20="","",SUMIFS('Recebimentos'!$E$11:$E$1010,'Recebimentos'!$C$11:$C$1010,$B20,'Recebimentos'!$B$11:$B$1010,"&gt;="&amp;DATE('Config'!$C$8,1,1),'Recebimentos'!$B$11:$B$1010,"&lt;"&amp;DATE('Config'!$C$8+1,1,1)))</f>
        <v/>
      </c>
      <c r="H20" s="96">
        <f>IF($B20="","",SUMIFS('Recebimentos'!$E$11:$E$1010,'Recebimentos'!$C$11:$C$1010,$B20,'Recebimentos'!$G$11:$G$1010,"&gt;="&amp;DATE('Config'!$C$8,1,1),'Recebimentos'!$G$11:$G$1010,"&lt;"&amp;DATE('Config'!$C$8+1,1,1)))</f>
        <v/>
      </c>
      <c r="I20" s="95">
        <f>IF($B20="","",SUMIFS('Recebimentos'!$K$11:$K$1010,'Recebimentos'!$C$11:$C$1010,$B20))</f>
        <v/>
      </c>
      <c r="J20" s="95">
        <f>IF($B20="","",SUMIFS('Recebimentos'!$L$11:$L$1010,'Recebimentos'!$C$11:$C$1010,$B20))</f>
        <v/>
      </c>
      <c r="K20" s="82">
        <f>IF($B20="","",IF($H$38=0,0,H20/$H$38))</f>
        <v/>
      </c>
      <c r="L20" s="95">
        <f>IF(OR($B20="",N(F20)=0),"",G20/F20)</f>
        <v/>
      </c>
      <c r="M20" s="84">
        <f>IF($B20="","",IF(J20&gt;0,"✖ Em atraso",IF(I20&gt;0,"● A receber",IF(H20&gt;0,"✓ Em dia","—"))))</f>
        <v/>
      </c>
    </row>
    <row r="21" spans="2:13" ht="16.5" customHeight="1">
      <c r="B21" s="110"/>
      <c r="C21" s="110"/>
      <c r="D21" s="110"/>
      <c r="E21" s="110"/>
      <c r="F21" s="114">
        <f>IF($B21="","",COUNTIFS('Recebimentos'!$C$11:$C$1010,$B21,'Recebimentos'!$B$11:$B$1010,"&gt;="&amp;DATE('Config'!$C$8,1,1),'Recebimentos'!$B$11:$B$1010,"&lt;"&amp;DATE('Config'!$C$8+1,1,1)))</f>
        <v/>
      </c>
      <c r="G21" s="95">
        <f>IF($B21="","",SUMIFS('Recebimentos'!$E$11:$E$1010,'Recebimentos'!$C$11:$C$1010,$B21,'Recebimentos'!$B$11:$B$1010,"&gt;="&amp;DATE('Config'!$C$8,1,1),'Recebimentos'!$B$11:$B$1010,"&lt;"&amp;DATE('Config'!$C$8+1,1,1)))</f>
        <v/>
      </c>
      <c r="H21" s="96">
        <f>IF($B21="","",SUMIFS('Recebimentos'!$E$11:$E$1010,'Recebimentos'!$C$11:$C$1010,$B21,'Recebimentos'!$G$11:$G$1010,"&gt;="&amp;DATE('Config'!$C$8,1,1),'Recebimentos'!$G$11:$G$1010,"&lt;"&amp;DATE('Config'!$C$8+1,1,1)))</f>
        <v/>
      </c>
      <c r="I21" s="95">
        <f>IF($B21="","",SUMIFS('Recebimentos'!$K$11:$K$1010,'Recebimentos'!$C$11:$C$1010,$B21))</f>
        <v/>
      </c>
      <c r="J21" s="95">
        <f>IF($B21="","",SUMIFS('Recebimentos'!$L$11:$L$1010,'Recebimentos'!$C$11:$C$1010,$B21))</f>
        <v/>
      </c>
      <c r="K21" s="82">
        <f>IF($B21="","",IF($H$38=0,0,H21/$H$38))</f>
        <v/>
      </c>
      <c r="L21" s="95">
        <f>IF(OR($B21="",N(F21)=0),"",G21/F21)</f>
        <v/>
      </c>
      <c r="M21" s="84">
        <f>IF($B21="","",IF(J21&gt;0,"✖ Em atraso",IF(I21&gt;0,"● A receber",IF(H21&gt;0,"✓ Em dia","—"))))</f>
        <v/>
      </c>
    </row>
    <row r="22" spans="2:13" ht="16.5" customHeight="1">
      <c r="B22" s="110"/>
      <c r="C22" s="110"/>
      <c r="D22" s="110"/>
      <c r="E22" s="110"/>
      <c r="F22" s="114">
        <f>IF($B22="","",COUNTIFS('Recebimentos'!$C$11:$C$1010,$B22,'Recebimentos'!$B$11:$B$1010,"&gt;="&amp;DATE('Config'!$C$8,1,1),'Recebimentos'!$B$11:$B$1010,"&lt;"&amp;DATE('Config'!$C$8+1,1,1)))</f>
        <v/>
      </c>
      <c r="G22" s="95">
        <f>IF($B22="","",SUMIFS('Recebimentos'!$E$11:$E$1010,'Recebimentos'!$C$11:$C$1010,$B22,'Recebimentos'!$B$11:$B$1010,"&gt;="&amp;DATE('Config'!$C$8,1,1),'Recebimentos'!$B$11:$B$1010,"&lt;"&amp;DATE('Config'!$C$8+1,1,1)))</f>
        <v/>
      </c>
      <c r="H22" s="96">
        <f>IF($B22="","",SUMIFS('Recebimentos'!$E$11:$E$1010,'Recebimentos'!$C$11:$C$1010,$B22,'Recebimentos'!$G$11:$G$1010,"&gt;="&amp;DATE('Config'!$C$8,1,1),'Recebimentos'!$G$11:$G$1010,"&lt;"&amp;DATE('Config'!$C$8+1,1,1)))</f>
        <v/>
      </c>
      <c r="I22" s="95">
        <f>IF($B22="","",SUMIFS('Recebimentos'!$K$11:$K$1010,'Recebimentos'!$C$11:$C$1010,$B22))</f>
        <v/>
      </c>
      <c r="J22" s="95">
        <f>IF($B22="","",SUMIFS('Recebimentos'!$L$11:$L$1010,'Recebimentos'!$C$11:$C$1010,$B22))</f>
        <v/>
      </c>
      <c r="K22" s="82">
        <f>IF($B22="","",IF($H$38=0,0,H22/$H$38))</f>
        <v/>
      </c>
      <c r="L22" s="95">
        <f>IF(OR($B22="",N(F22)=0),"",G22/F22)</f>
        <v/>
      </c>
      <c r="M22" s="84">
        <f>IF($B22="","",IF(J22&gt;0,"✖ Em atraso",IF(I22&gt;0,"● A receber",IF(H22&gt;0,"✓ Em dia","—"))))</f>
        <v/>
      </c>
    </row>
    <row r="23" spans="2:13" ht="16.5" customHeight="1">
      <c r="B23" s="110"/>
      <c r="C23" s="110"/>
      <c r="D23" s="110"/>
      <c r="E23" s="110"/>
      <c r="F23" s="114">
        <f>IF($B23="","",COUNTIFS('Recebimentos'!$C$11:$C$1010,$B23,'Recebimentos'!$B$11:$B$1010,"&gt;="&amp;DATE('Config'!$C$8,1,1),'Recebimentos'!$B$11:$B$1010,"&lt;"&amp;DATE('Config'!$C$8+1,1,1)))</f>
        <v/>
      </c>
      <c r="G23" s="95">
        <f>IF($B23="","",SUMIFS('Recebimentos'!$E$11:$E$1010,'Recebimentos'!$C$11:$C$1010,$B23,'Recebimentos'!$B$11:$B$1010,"&gt;="&amp;DATE('Config'!$C$8,1,1),'Recebimentos'!$B$11:$B$1010,"&lt;"&amp;DATE('Config'!$C$8+1,1,1)))</f>
        <v/>
      </c>
      <c r="H23" s="96">
        <f>IF($B23="","",SUMIFS('Recebimentos'!$E$11:$E$1010,'Recebimentos'!$C$11:$C$1010,$B23,'Recebimentos'!$G$11:$G$1010,"&gt;="&amp;DATE('Config'!$C$8,1,1),'Recebimentos'!$G$11:$G$1010,"&lt;"&amp;DATE('Config'!$C$8+1,1,1)))</f>
        <v/>
      </c>
      <c r="I23" s="95">
        <f>IF($B23="","",SUMIFS('Recebimentos'!$K$11:$K$1010,'Recebimentos'!$C$11:$C$1010,$B23))</f>
        <v/>
      </c>
      <c r="J23" s="95">
        <f>IF($B23="","",SUMIFS('Recebimentos'!$L$11:$L$1010,'Recebimentos'!$C$11:$C$1010,$B23))</f>
        <v/>
      </c>
      <c r="K23" s="82">
        <f>IF($B23="","",IF($H$38=0,0,H23/$H$38))</f>
        <v/>
      </c>
      <c r="L23" s="95">
        <f>IF(OR($B23="",N(F23)=0),"",G23/F23)</f>
        <v/>
      </c>
      <c r="M23" s="84">
        <f>IF($B23="","",IF(J23&gt;0,"✖ Em atraso",IF(I23&gt;0,"● A receber",IF(H23&gt;0,"✓ Em dia","—"))))</f>
        <v/>
      </c>
    </row>
    <row r="24" spans="2:13" ht="16.5" customHeight="1">
      <c r="B24" s="110"/>
      <c r="C24" s="110"/>
      <c r="D24" s="110"/>
      <c r="E24" s="110"/>
      <c r="F24" s="114">
        <f>IF($B24="","",COUNTIFS('Recebimentos'!$C$11:$C$1010,$B24,'Recebimentos'!$B$11:$B$1010,"&gt;="&amp;DATE('Config'!$C$8,1,1),'Recebimentos'!$B$11:$B$1010,"&lt;"&amp;DATE('Config'!$C$8+1,1,1)))</f>
        <v/>
      </c>
      <c r="G24" s="95">
        <f>IF($B24="","",SUMIFS('Recebimentos'!$E$11:$E$1010,'Recebimentos'!$C$11:$C$1010,$B24,'Recebimentos'!$B$11:$B$1010,"&gt;="&amp;DATE('Config'!$C$8,1,1),'Recebimentos'!$B$11:$B$1010,"&lt;"&amp;DATE('Config'!$C$8+1,1,1)))</f>
        <v/>
      </c>
      <c r="H24" s="96">
        <f>IF($B24="","",SUMIFS('Recebimentos'!$E$11:$E$1010,'Recebimentos'!$C$11:$C$1010,$B24,'Recebimentos'!$G$11:$G$1010,"&gt;="&amp;DATE('Config'!$C$8,1,1),'Recebimentos'!$G$11:$G$1010,"&lt;"&amp;DATE('Config'!$C$8+1,1,1)))</f>
        <v/>
      </c>
      <c r="I24" s="95">
        <f>IF($B24="","",SUMIFS('Recebimentos'!$K$11:$K$1010,'Recebimentos'!$C$11:$C$1010,$B24))</f>
        <v/>
      </c>
      <c r="J24" s="95">
        <f>IF($B24="","",SUMIFS('Recebimentos'!$L$11:$L$1010,'Recebimentos'!$C$11:$C$1010,$B24))</f>
        <v/>
      </c>
      <c r="K24" s="82">
        <f>IF($B24="","",IF($H$38=0,0,H24/$H$38))</f>
        <v/>
      </c>
      <c r="L24" s="95">
        <f>IF(OR($B24="",N(F24)=0),"",G24/F24)</f>
        <v/>
      </c>
      <c r="M24" s="84">
        <f>IF($B24="","",IF(J24&gt;0,"✖ Em atraso",IF(I24&gt;0,"● A receber",IF(H24&gt;0,"✓ Em dia","—"))))</f>
        <v/>
      </c>
    </row>
    <row r="25" spans="2:13" ht="16.5" customHeight="1">
      <c r="B25" s="110"/>
      <c r="C25" s="110"/>
      <c r="D25" s="110"/>
      <c r="E25" s="110"/>
      <c r="F25" s="114">
        <f>IF($B25="","",COUNTIFS('Recebimentos'!$C$11:$C$1010,$B25,'Recebimentos'!$B$11:$B$1010,"&gt;="&amp;DATE('Config'!$C$8,1,1),'Recebimentos'!$B$11:$B$1010,"&lt;"&amp;DATE('Config'!$C$8+1,1,1)))</f>
        <v/>
      </c>
      <c r="G25" s="95">
        <f>IF($B25="","",SUMIFS('Recebimentos'!$E$11:$E$1010,'Recebimentos'!$C$11:$C$1010,$B25,'Recebimentos'!$B$11:$B$1010,"&gt;="&amp;DATE('Config'!$C$8,1,1),'Recebimentos'!$B$11:$B$1010,"&lt;"&amp;DATE('Config'!$C$8+1,1,1)))</f>
        <v/>
      </c>
      <c r="H25" s="96">
        <f>IF($B25="","",SUMIFS('Recebimentos'!$E$11:$E$1010,'Recebimentos'!$C$11:$C$1010,$B25,'Recebimentos'!$G$11:$G$1010,"&gt;="&amp;DATE('Config'!$C$8,1,1),'Recebimentos'!$G$11:$G$1010,"&lt;"&amp;DATE('Config'!$C$8+1,1,1)))</f>
        <v/>
      </c>
      <c r="I25" s="95">
        <f>IF($B25="","",SUMIFS('Recebimentos'!$K$11:$K$1010,'Recebimentos'!$C$11:$C$1010,$B25))</f>
        <v/>
      </c>
      <c r="J25" s="95">
        <f>IF($B25="","",SUMIFS('Recebimentos'!$L$11:$L$1010,'Recebimentos'!$C$11:$C$1010,$B25))</f>
        <v/>
      </c>
      <c r="K25" s="82">
        <f>IF($B25="","",IF($H$38=0,0,H25/$H$38))</f>
        <v/>
      </c>
      <c r="L25" s="95">
        <f>IF(OR($B25="",N(F25)=0),"",G25/F25)</f>
        <v/>
      </c>
      <c r="M25" s="84">
        <f>IF($B25="","",IF(J25&gt;0,"✖ Em atraso",IF(I25&gt;0,"● A receber",IF(H25&gt;0,"✓ Em dia","—"))))</f>
        <v/>
      </c>
    </row>
    <row r="26" spans="2:13" ht="16.5" customHeight="1">
      <c r="B26" s="110"/>
      <c r="C26" s="110"/>
      <c r="D26" s="110"/>
      <c r="E26" s="110"/>
      <c r="F26" s="114">
        <f>IF($B26="","",COUNTIFS('Recebimentos'!$C$11:$C$1010,$B26,'Recebimentos'!$B$11:$B$1010,"&gt;="&amp;DATE('Config'!$C$8,1,1),'Recebimentos'!$B$11:$B$1010,"&lt;"&amp;DATE('Config'!$C$8+1,1,1)))</f>
        <v/>
      </c>
      <c r="G26" s="95">
        <f>IF($B26="","",SUMIFS('Recebimentos'!$E$11:$E$1010,'Recebimentos'!$C$11:$C$1010,$B26,'Recebimentos'!$B$11:$B$1010,"&gt;="&amp;DATE('Config'!$C$8,1,1),'Recebimentos'!$B$11:$B$1010,"&lt;"&amp;DATE('Config'!$C$8+1,1,1)))</f>
        <v/>
      </c>
      <c r="H26" s="96">
        <f>IF($B26="","",SUMIFS('Recebimentos'!$E$11:$E$1010,'Recebimentos'!$C$11:$C$1010,$B26,'Recebimentos'!$G$11:$G$1010,"&gt;="&amp;DATE('Config'!$C$8,1,1),'Recebimentos'!$G$11:$G$1010,"&lt;"&amp;DATE('Config'!$C$8+1,1,1)))</f>
        <v/>
      </c>
      <c r="I26" s="95">
        <f>IF($B26="","",SUMIFS('Recebimentos'!$K$11:$K$1010,'Recebimentos'!$C$11:$C$1010,$B26))</f>
        <v/>
      </c>
      <c r="J26" s="95">
        <f>IF($B26="","",SUMIFS('Recebimentos'!$L$11:$L$1010,'Recebimentos'!$C$11:$C$1010,$B26))</f>
        <v/>
      </c>
      <c r="K26" s="82">
        <f>IF($B26="","",IF($H$38=0,0,H26/$H$38))</f>
        <v/>
      </c>
      <c r="L26" s="95">
        <f>IF(OR($B26="",N(F26)=0),"",G26/F26)</f>
        <v/>
      </c>
      <c r="M26" s="84">
        <f>IF($B26="","",IF(J26&gt;0,"✖ Em atraso",IF(I26&gt;0,"● A receber",IF(H26&gt;0,"✓ Em dia","—"))))</f>
        <v/>
      </c>
    </row>
    <row r="27" spans="2:13" ht="16.5" customHeight="1">
      <c r="B27" s="110"/>
      <c r="C27" s="110"/>
      <c r="D27" s="110"/>
      <c r="E27" s="110"/>
      <c r="F27" s="114">
        <f>IF($B27="","",COUNTIFS('Recebimentos'!$C$11:$C$1010,$B27,'Recebimentos'!$B$11:$B$1010,"&gt;="&amp;DATE('Config'!$C$8,1,1),'Recebimentos'!$B$11:$B$1010,"&lt;"&amp;DATE('Config'!$C$8+1,1,1)))</f>
        <v/>
      </c>
      <c r="G27" s="95">
        <f>IF($B27="","",SUMIFS('Recebimentos'!$E$11:$E$1010,'Recebimentos'!$C$11:$C$1010,$B27,'Recebimentos'!$B$11:$B$1010,"&gt;="&amp;DATE('Config'!$C$8,1,1),'Recebimentos'!$B$11:$B$1010,"&lt;"&amp;DATE('Config'!$C$8+1,1,1)))</f>
        <v/>
      </c>
      <c r="H27" s="96">
        <f>IF($B27="","",SUMIFS('Recebimentos'!$E$11:$E$1010,'Recebimentos'!$C$11:$C$1010,$B27,'Recebimentos'!$G$11:$G$1010,"&gt;="&amp;DATE('Config'!$C$8,1,1),'Recebimentos'!$G$11:$G$1010,"&lt;"&amp;DATE('Config'!$C$8+1,1,1)))</f>
        <v/>
      </c>
      <c r="I27" s="95">
        <f>IF($B27="","",SUMIFS('Recebimentos'!$K$11:$K$1010,'Recebimentos'!$C$11:$C$1010,$B27))</f>
        <v/>
      </c>
      <c r="J27" s="95">
        <f>IF($B27="","",SUMIFS('Recebimentos'!$L$11:$L$1010,'Recebimentos'!$C$11:$C$1010,$B27))</f>
        <v/>
      </c>
      <c r="K27" s="82">
        <f>IF($B27="","",IF($H$38=0,0,H27/$H$38))</f>
        <v/>
      </c>
      <c r="L27" s="95">
        <f>IF(OR($B27="",N(F27)=0),"",G27/F27)</f>
        <v/>
      </c>
      <c r="M27" s="84">
        <f>IF($B27="","",IF(J27&gt;0,"✖ Em atraso",IF(I27&gt;0,"● A receber",IF(H27&gt;0,"✓ Em dia","—"))))</f>
        <v/>
      </c>
    </row>
    <row r="28" spans="2:13" ht="16.5" customHeight="1">
      <c r="B28" s="110"/>
      <c r="C28" s="110"/>
      <c r="D28" s="110"/>
      <c r="E28" s="110"/>
      <c r="F28" s="114">
        <f>IF($B28="","",COUNTIFS('Recebimentos'!$C$11:$C$1010,$B28,'Recebimentos'!$B$11:$B$1010,"&gt;="&amp;DATE('Config'!$C$8,1,1),'Recebimentos'!$B$11:$B$1010,"&lt;"&amp;DATE('Config'!$C$8+1,1,1)))</f>
        <v/>
      </c>
      <c r="G28" s="95">
        <f>IF($B28="","",SUMIFS('Recebimentos'!$E$11:$E$1010,'Recebimentos'!$C$11:$C$1010,$B28,'Recebimentos'!$B$11:$B$1010,"&gt;="&amp;DATE('Config'!$C$8,1,1),'Recebimentos'!$B$11:$B$1010,"&lt;"&amp;DATE('Config'!$C$8+1,1,1)))</f>
        <v/>
      </c>
      <c r="H28" s="96">
        <f>IF($B28="","",SUMIFS('Recebimentos'!$E$11:$E$1010,'Recebimentos'!$C$11:$C$1010,$B28,'Recebimentos'!$G$11:$G$1010,"&gt;="&amp;DATE('Config'!$C$8,1,1),'Recebimentos'!$G$11:$G$1010,"&lt;"&amp;DATE('Config'!$C$8+1,1,1)))</f>
        <v/>
      </c>
      <c r="I28" s="95">
        <f>IF($B28="","",SUMIFS('Recebimentos'!$K$11:$K$1010,'Recebimentos'!$C$11:$C$1010,$B28))</f>
        <v/>
      </c>
      <c r="J28" s="95">
        <f>IF($B28="","",SUMIFS('Recebimentos'!$L$11:$L$1010,'Recebimentos'!$C$11:$C$1010,$B28))</f>
        <v/>
      </c>
      <c r="K28" s="82">
        <f>IF($B28="","",IF($H$38=0,0,H28/$H$38))</f>
        <v/>
      </c>
      <c r="L28" s="95">
        <f>IF(OR($B28="",N(F28)=0),"",G28/F28)</f>
        <v/>
      </c>
      <c r="M28" s="84">
        <f>IF($B28="","",IF(J28&gt;0,"✖ Em atraso",IF(I28&gt;0,"● A receber",IF(H28&gt;0,"✓ Em dia","—"))))</f>
        <v/>
      </c>
    </row>
    <row r="29" spans="2:13" ht="16.5" customHeight="1">
      <c r="B29" s="110"/>
      <c r="C29" s="110"/>
      <c r="D29" s="110"/>
      <c r="E29" s="110"/>
      <c r="F29" s="114">
        <f>IF($B29="","",COUNTIFS('Recebimentos'!$C$11:$C$1010,$B29,'Recebimentos'!$B$11:$B$1010,"&gt;="&amp;DATE('Config'!$C$8,1,1),'Recebimentos'!$B$11:$B$1010,"&lt;"&amp;DATE('Config'!$C$8+1,1,1)))</f>
        <v/>
      </c>
      <c r="G29" s="95">
        <f>IF($B29="","",SUMIFS('Recebimentos'!$E$11:$E$1010,'Recebimentos'!$C$11:$C$1010,$B29,'Recebimentos'!$B$11:$B$1010,"&gt;="&amp;DATE('Config'!$C$8,1,1),'Recebimentos'!$B$11:$B$1010,"&lt;"&amp;DATE('Config'!$C$8+1,1,1)))</f>
        <v/>
      </c>
      <c r="H29" s="96">
        <f>IF($B29="","",SUMIFS('Recebimentos'!$E$11:$E$1010,'Recebimentos'!$C$11:$C$1010,$B29,'Recebimentos'!$G$11:$G$1010,"&gt;="&amp;DATE('Config'!$C$8,1,1),'Recebimentos'!$G$11:$G$1010,"&lt;"&amp;DATE('Config'!$C$8+1,1,1)))</f>
        <v/>
      </c>
      <c r="I29" s="95">
        <f>IF($B29="","",SUMIFS('Recebimentos'!$K$11:$K$1010,'Recebimentos'!$C$11:$C$1010,$B29))</f>
        <v/>
      </c>
      <c r="J29" s="95">
        <f>IF($B29="","",SUMIFS('Recebimentos'!$L$11:$L$1010,'Recebimentos'!$C$11:$C$1010,$B29))</f>
        <v/>
      </c>
      <c r="K29" s="82">
        <f>IF($B29="","",IF($H$38=0,0,H29/$H$38))</f>
        <v/>
      </c>
      <c r="L29" s="95">
        <f>IF(OR($B29="",N(F29)=0),"",G29/F29)</f>
        <v/>
      </c>
      <c r="M29" s="84">
        <f>IF($B29="","",IF(J29&gt;0,"✖ Em atraso",IF(I29&gt;0,"● A receber",IF(H29&gt;0,"✓ Em dia","—"))))</f>
        <v/>
      </c>
    </row>
    <row r="30" spans="2:13" ht="16.5" customHeight="1">
      <c r="B30" s="110"/>
      <c r="C30" s="110"/>
      <c r="D30" s="110"/>
      <c r="E30" s="110"/>
      <c r="F30" s="114">
        <f>IF($B30="","",COUNTIFS('Recebimentos'!$C$11:$C$1010,$B30,'Recebimentos'!$B$11:$B$1010,"&gt;="&amp;DATE('Config'!$C$8,1,1),'Recebimentos'!$B$11:$B$1010,"&lt;"&amp;DATE('Config'!$C$8+1,1,1)))</f>
        <v/>
      </c>
      <c r="G30" s="95">
        <f>IF($B30="","",SUMIFS('Recebimentos'!$E$11:$E$1010,'Recebimentos'!$C$11:$C$1010,$B30,'Recebimentos'!$B$11:$B$1010,"&gt;="&amp;DATE('Config'!$C$8,1,1),'Recebimentos'!$B$11:$B$1010,"&lt;"&amp;DATE('Config'!$C$8+1,1,1)))</f>
        <v/>
      </c>
      <c r="H30" s="96">
        <f>IF($B30="","",SUMIFS('Recebimentos'!$E$11:$E$1010,'Recebimentos'!$C$11:$C$1010,$B30,'Recebimentos'!$G$11:$G$1010,"&gt;="&amp;DATE('Config'!$C$8,1,1),'Recebimentos'!$G$11:$G$1010,"&lt;"&amp;DATE('Config'!$C$8+1,1,1)))</f>
        <v/>
      </c>
      <c r="I30" s="95">
        <f>IF($B30="","",SUMIFS('Recebimentos'!$K$11:$K$1010,'Recebimentos'!$C$11:$C$1010,$B30))</f>
        <v/>
      </c>
      <c r="J30" s="95">
        <f>IF($B30="","",SUMIFS('Recebimentos'!$L$11:$L$1010,'Recebimentos'!$C$11:$C$1010,$B30))</f>
        <v/>
      </c>
      <c r="K30" s="82">
        <f>IF($B30="","",IF($H$38=0,0,H30/$H$38))</f>
        <v/>
      </c>
      <c r="L30" s="95">
        <f>IF(OR($B30="",N(F30)=0),"",G30/F30)</f>
        <v/>
      </c>
      <c r="M30" s="84">
        <f>IF($B30="","",IF(J30&gt;0,"✖ Em atraso",IF(I30&gt;0,"● A receber",IF(H30&gt;0,"✓ Em dia","—"))))</f>
        <v/>
      </c>
    </row>
    <row r="31" spans="2:13" ht="16.5" customHeight="1">
      <c r="B31" s="110"/>
      <c r="C31" s="110"/>
      <c r="D31" s="110"/>
      <c r="E31" s="110"/>
      <c r="F31" s="114">
        <f>IF($B31="","",COUNTIFS('Recebimentos'!$C$11:$C$1010,$B31,'Recebimentos'!$B$11:$B$1010,"&gt;="&amp;DATE('Config'!$C$8,1,1),'Recebimentos'!$B$11:$B$1010,"&lt;"&amp;DATE('Config'!$C$8+1,1,1)))</f>
        <v/>
      </c>
      <c r="G31" s="95">
        <f>IF($B31="","",SUMIFS('Recebimentos'!$E$11:$E$1010,'Recebimentos'!$C$11:$C$1010,$B31,'Recebimentos'!$B$11:$B$1010,"&gt;="&amp;DATE('Config'!$C$8,1,1),'Recebimentos'!$B$11:$B$1010,"&lt;"&amp;DATE('Config'!$C$8+1,1,1)))</f>
        <v/>
      </c>
      <c r="H31" s="96">
        <f>IF($B31="","",SUMIFS('Recebimentos'!$E$11:$E$1010,'Recebimentos'!$C$11:$C$1010,$B31,'Recebimentos'!$G$11:$G$1010,"&gt;="&amp;DATE('Config'!$C$8,1,1),'Recebimentos'!$G$11:$G$1010,"&lt;"&amp;DATE('Config'!$C$8+1,1,1)))</f>
        <v/>
      </c>
      <c r="I31" s="95">
        <f>IF($B31="","",SUMIFS('Recebimentos'!$K$11:$K$1010,'Recebimentos'!$C$11:$C$1010,$B31))</f>
        <v/>
      </c>
      <c r="J31" s="95">
        <f>IF($B31="","",SUMIFS('Recebimentos'!$L$11:$L$1010,'Recebimentos'!$C$11:$C$1010,$B31))</f>
        <v/>
      </c>
      <c r="K31" s="82">
        <f>IF($B31="","",IF($H$38=0,0,H31/$H$38))</f>
        <v/>
      </c>
      <c r="L31" s="95">
        <f>IF(OR($B31="",N(F31)=0),"",G31/F31)</f>
        <v/>
      </c>
      <c r="M31" s="84">
        <f>IF($B31="","",IF(J31&gt;0,"✖ Em atraso",IF(I31&gt;0,"● A receber",IF(H31&gt;0,"✓ Em dia","—"))))</f>
        <v/>
      </c>
    </row>
    <row r="32" spans="2:13" ht="16.5" customHeight="1">
      <c r="B32" s="110"/>
      <c r="C32" s="110"/>
      <c r="D32" s="110"/>
      <c r="E32" s="110"/>
      <c r="F32" s="114">
        <f>IF($B32="","",COUNTIFS('Recebimentos'!$C$11:$C$1010,$B32,'Recebimentos'!$B$11:$B$1010,"&gt;="&amp;DATE('Config'!$C$8,1,1),'Recebimentos'!$B$11:$B$1010,"&lt;"&amp;DATE('Config'!$C$8+1,1,1)))</f>
        <v/>
      </c>
      <c r="G32" s="95">
        <f>IF($B32="","",SUMIFS('Recebimentos'!$E$11:$E$1010,'Recebimentos'!$C$11:$C$1010,$B32,'Recebimentos'!$B$11:$B$1010,"&gt;="&amp;DATE('Config'!$C$8,1,1),'Recebimentos'!$B$11:$B$1010,"&lt;"&amp;DATE('Config'!$C$8+1,1,1)))</f>
        <v/>
      </c>
      <c r="H32" s="96">
        <f>IF($B32="","",SUMIFS('Recebimentos'!$E$11:$E$1010,'Recebimentos'!$C$11:$C$1010,$B32,'Recebimentos'!$G$11:$G$1010,"&gt;="&amp;DATE('Config'!$C$8,1,1),'Recebimentos'!$G$11:$G$1010,"&lt;"&amp;DATE('Config'!$C$8+1,1,1)))</f>
        <v/>
      </c>
      <c r="I32" s="95">
        <f>IF($B32="","",SUMIFS('Recebimentos'!$K$11:$K$1010,'Recebimentos'!$C$11:$C$1010,$B32))</f>
        <v/>
      </c>
      <c r="J32" s="95">
        <f>IF($B32="","",SUMIFS('Recebimentos'!$L$11:$L$1010,'Recebimentos'!$C$11:$C$1010,$B32))</f>
        <v/>
      </c>
      <c r="K32" s="82">
        <f>IF($B32="","",IF($H$38=0,0,H32/$H$38))</f>
        <v/>
      </c>
      <c r="L32" s="95">
        <f>IF(OR($B32="",N(F32)=0),"",G32/F32)</f>
        <v/>
      </c>
      <c r="M32" s="84">
        <f>IF($B32="","",IF(J32&gt;0,"✖ Em atraso",IF(I32&gt;0,"● A receber",IF(H32&gt;0,"✓ Em dia","—"))))</f>
        <v/>
      </c>
    </row>
    <row r="33" spans="2:13" ht="16.5" customHeight="1">
      <c r="B33" s="110"/>
      <c r="C33" s="110"/>
      <c r="D33" s="110"/>
      <c r="E33" s="110"/>
      <c r="F33" s="114">
        <f>IF($B33="","",COUNTIFS('Recebimentos'!$C$11:$C$1010,$B33,'Recebimentos'!$B$11:$B$1010,"&gt;="&amp;DATE('Config'!$C$8,1,1),'Recebimentos'!$B$11:$B$1010,"&lt;"&amp;DATE('Config'!$C$8+1,1,1)))</f>
        <v/>
      </c>
      <c r="G33" s="95">
        <f>IF($B33="","",SUMIFS('Recebimentos'!$E$11:$E$1010,'Recebimentos'!$C$11:$C$1010,$B33,'Recebimentos'!$B$11:$B$1010,"&gt;="&amp;DATE('Config'!$C$8,1,1),'Recebimentos'!$B$11:$B$1010,"&lt;"&amp;DATE('Config'!$C$8+1,1,1)))</f>
        <v/>
      </c>
      <c r="H33" s="96">
        <f>IF($B33="","",SUMIFS('Recebimentos'!$E$11:$E$1010,'Recebimentos'!$C$11:$C$1010,$B33,'Recebimentos'!$G$11:$G$1010,"&gt;="&amp;DATE('Config'!$C$8,1,1),'Recebimentos'!$G$11:$G$1010,"&lt;"&amp;DATE('Config'!$C$8+1,1,1)))</f>
        <v/>
      </c>
      <c r="I33" s="95">
        <f>IF($B33="","",SUMIFS('Recebimentos'!$K$11:$K$1010,'Recebimentos'!$C$11:$C$1010,$B33))</f>
        <v/>
      </c>
      <c r="J33" s="95">
        <f>IF($B33="","",SUMIFS('Recebimentos'!$L$11:$L$1010,'Recebimentos'!$C$11:$C$1010,$B33))</f>
        <v/>
      </c>
      <c r="K33" s="82">
        <f>IF($B33="","",IF($H$38=0,0,H33/$H$38))</f>
        <v/>
      </c>
      <c r="L33" s="95">
        <f>IF(OR($B33="",N(F33)=0),"",G33/F33)</f>
        <v/>
      </c>
      <c r="M33" s="84">
        <f>IF($B33="","",IF(J33&gt;0,"✖ Em atraso",IF(I33&gt;0,"● A receber",IF(H33&gt;0,"✓ Em dia","—"))))</f>
        <v/>
      </c>
    </row>
    <row r="34" spans="2:13" ht="16.5" customHeight="1">
      <c r="B34" s="110"/>
      <c r="C34" s="110"/>
      <c r="D34" s="110"/>
      <c r="E34" s="110"/>
      <c r="F34" s="114">
        <f>IF($B34="","",COUNTIFS('Recebimentos'!$C$11:$C$1010,$B34,'Recebimentos'!$B$11:$B$1010,"&gt;="&amp;DATE('Config'!$C$8,1,1),'Recebimentos'!$B$11:$B$1010,"&lt;"&amp;DATE('Config'!$C$8+1,1,1)))</f>
        <v/>
      </c>
      <c r="G34" s="95">
        <f>IF($B34="","",SUMIFS('Recebimentos'!$E$11:$E$1010,'Recebimentos'!$C$11:$C$1010,$B34,'Recebimentos'!$B$11:$B$1010,"&gt;="&amp;DATE('Config'!$C$8,1,1),'Recebimentos'!$B$11:$B$1010,"&lt;"&amp;DATE('Config'!$C$8+1,1,1)))</f>
        <v/>
      </c>
      <c r="H34" s="96">
        <f>IF($B34="","",SUMIFS('Recebimentos'!$E$11:$E$1010,'Recebimentos'!$C$11:$C$1010,$B34,'Recebimentos'!$G$11:$G$1010,"&gt;="&amp;DATE('Config'!$C$8,1,1),'Recebimentos'!$G$11:$G$1010,"&lt;"&amp;DATE('Config'!$C$8+1,1,1)))</f>
        <v/>
      </c>
      <c r="I34" s="95">
        <f>IF($B34="","",SUMIFS('Recebimentos'!$K$11:$K$1010,'Recebimentos'!$C$11:$C$1010,$B34))</f>
        <v/>
      </c>
      <c r="J34" s="95">
        <f>IF($B34="","",SUMIFS('Recebimentos'!$L$11:$L$1010,'Recebimentos'!$C$11:$C$1010,$B34))</f>
        <v/>
      </c>
      <c r="K34" s="82">
        <f>IF($B34="","",IF($H$38=0,0,H34/$H$38))</f>
        <v/>
      </c>
      <c r="L34" s="95">
        <f>IF(OR($B34="",N(F34)=0),"",G34/F34)</f>
        <v/>
      </c>
      <c r="M34" s="84">
        <f>IF($B34="","",IF(J34&gt;0,"✖ Em atraso",IF(I34&gt;0,"● A receber",IF(H34&gt;0,"✓ Em dia","—"))))</f>
        <v/>
      </c>
    </row>
    <row r="35" spans="2:13" ht="16.5" customHeight="1">
      <c r="B35" s="110"/>
      <c r="C35" s="110"/>
      <c r="D35" s="110"/>
      <c r="E35" s="110"/>
      <c r="F35" s="114">
        <f>IF($B35="","",COUNTIFS('Recebimentos'!$C$11:$C$1010,$B35,'Recebimentos'!$B$11:$B$1010,"&gt;="&amp;DATE('Config'!$C$8,1,1),'Recebimentos'!$B$11:$B$1010,"&lt;"&amp;DATE('Config'!$C$8+1,1,1)))</f>
        <v/>
      </c>
      <c r="G35" s="95">
        <f>IF($B35="","",SUMIFS('Recebimentos'!$E$11:$E$1010,'Recebimentos'!$C$11:$C$1010,$B35,'Recebimentos'!$B$11:$B$1010,"&gt;="&amp;DATE('Config'!$C$8,1,1),'Recebimentos'!$B$11:$B$1010,"&lt;"&amp;DATE('Config'!$C$8+1,1,1)))</f>
        <v/>
      </c>
      <c r="H35" s="96">
        <f>IF($B35="","",SUMIFS('Recebimentos'!$E$11:$E$1010,'Recebimentos'!$C$11:$C$1010,$B35,'Recebimentos'!$G$11:$G$1010,"&gt;="&amp;DATE('Config'!$C$8,1,1),'Recebimentos'!$G$11:$G$1010,"&lt;"&amp;DATE('Config'!$C$8+1,1,1)))</f>
        <v/>
      </c>
      <c r="I35" s="95">
        <f>IF($B35="","",SUMIFS('Recebimentos'!$K$11:$K$1010,'Recebimentos'!$C$11:$C$1010,$B35))</f>
        <v/>
      </c>
      <c r="J35" s="95">
        <f>IF($B35="","",SUMIFS('Recebimentos'!$L$11:$L$1010,'Recebimentos'!$C$11:$C$1010,$B35))</f>
        <v/>
      </c>
      <c r="K35" s="82">
        <f>IF($B35="","",IF($H$38=0,0,H35/$H$38))</f>
        <v/>
      </c>
      <c r="L35" s="95">
        <f>IF(OR($B35="",N(F35)=0),"",G35/F35)</f>
        <v/>
      </c>
      <c r="M35" s="84">
        <f>IF($B35="","",IF(J35&gt;0,"✖ Em atraso",IF(I35&gt;0,"● A receber",IF(H35&gt;0,"✓ Em dia","—"))))</f>
        <v/>
      </c>
    </row>
    <row r="36" spans="2:13" ht="16.5" customHeight="1">
      <c r="B36" s="110"/>
      <c r="C36" s="110"/>
      <c r="D36" s="110"/>
      <c r="E36" s="110"/>
      <c r="F36" s="114">
        <f>IF($B36="","",COUNTIFS('Recebimentos'!$C$11:$C$1010,$B36,'Recebimentos'!$B$11:$B$1010,"&gt;="&amp;DATE('Config'!$C$8,1,1),'Recebimentos'!$B$11:$B$1010,"&lt;"&amp;DATE('Config'!$C$8+1,1,1)))</f>
        <v/>
      </c>
      <c r="G36" s="95">
        <f>IF($B36="","",SUMIFS('Recebimentos'!$E$11:$E$1010,'Recebimentos'!$C$11:$C$1010,$B36,'Recebimentos'!$B$11:$B$1010,"&gt;="&amp;DATE('Config'!$C$8,1,1),'Recebimentos'!$B$11:$B$1010,"&lt;"&amp;DATE('Config'!$C$8+1,1,1)))</f>
        <v/>
      </c>
      <c r="H36" s="96">
        <f>IF($B36="","",SUMIFS('Recebimentos'!$E$11:$E$1010,'Recebimentos'!$C$11:$C$1010,$B36,'Recebimentos'!$G$11:$G$1010,"&gt;="&amp;DATE('Config'!$C$8,1,1),'Recebimentos'!$G$11:$G$1010,"&lt;"&amp;DATE('Config'!$C$8+1,1,1)))</f>
        <v/>
      </c>
      <c r="I36" s="95">
        <f>IF($B36="","",SUMIFS('Recebimentos'!$K$11:$K$1010,'Recebimentos'!$C$11:$C$1010,$B36))</f>
        <v/>
      </c>
      <c r="J36" s="95">
        <f>IF($B36="","",SUMIFS('Recebimentos'!$L$11:$L$1010,'Recebimentos'!$C$11:$C$1010,$B36))</f>
        <v/>
      </c>
      <c r="K36" s="82">
        <f>IF($B36="","",IF($H$38=0,0,H36/$H$38))</f>
        <v/>
      </c>
      <c r="L36" s="95">
        <f>IF(OR($B36="",N(F36)=0),"",G36/F36)</f>
        <v/>
      </c>
      <c r="M36" s="84">
        <f>IF($B36="","",IF(J36&gt;0,"✖ Em atraso",IF(I36&gt;0,"● A receber",IF(H36&gt;0,"✓ Em dia","—"))))</f>
        <v/>
      </c>
    </row>
    <row r="37" spans="2:13" ht="16.5" customHeight="1">
      <c r="B37" s="110"/>
      <c r="C37" s="110"/>
      <c r="D37" s="110"/>
      <c r="E37" s="110"/>
      <c r="F37" s="114">
        <f>IF($B37="","",COUNTIFS('Recebimentos'!$C$11:$C$1010,$B37,'Recebimentos'!$B$11:$B$1010,"&gt;="&amp;DATE('Config'!$C$8,1,1),'Recebimentos'!$B$11:$B$1010,"&lt;"&amp;DATE('Config'!$C$8+1,1,1)))</f>
        <v/>
      </c>
      <c r="G37" s="95">
        <f>IF($B37="","",SUMIFS('Recebimentos'!$E$11:$E$1010,'Recebimentos'!$C$11:$C$1010,$B37,'Recebimentos'!$B$11:$B$1010,"&gt;="&amp;DATE('Config'!$C$8,1,1),'Recebimentos'!$B$11:$B$1010,"&lt;"&amp;DATE('Config'!$C$8+1,1,1)))</f>
        <v/>
      </c>
      <c r="H37" s="96">
        <f>IF($B37="","",SUMIFS('Recebimentos'!$E$11:$E$1010,'Recebimentos'!$C$11:$C$1010,$B37,'Recebimentos'!$G$11:$G$1010,"&gt;="&amp;DATE('Config'!$C$8,1,1),'Recebimentos'!$G$11:$G$1010,"&lt;"&amp;DATE('Config'!$C$8+1,1,1)))</f>
        <v/>
      </c>
      <c r="I37" s="95">
        <f>IF($B37="","",SUMIFS('Recebimentos'!$K$11:$K$1010,'Recebimentos'!$C$11:$C$1010,$B37))</f>
        <v/>
      </c>
      <c r="J37" s="95">
        <f>IF($B37="","",SUMIFS('Recebimentos'!$L$11:$L$1010,'Recebimentos'!$C$11:$C$1010,$B37))</f>
        <v/>
      </c>
      <c r="K37" s="82">
        <f>IF($B37="","",IF($H$38=0,0,H37/$H$38))</f>
        <v/>
      </c>
      <c r="L37" s="95">
        <f>IF(OR($B37="",N(F37)=0),"",G37/F37)</f>
        <v/>
      </c>
      <c r="M37" s="84">
        <f>IF($B37="","",IF(J37&gt;0,"✖ Em atraso",IF(I37&gt;0,"● A receber",IF(H37&gt;0,"✓ Em dia","—"))))</f>
        <v/>
      </c>
    </row>
    <row r="38" spans="2:13" ht="16.5" customHeight="1">
      <c r="B38" s="122"/>
      <c r="C38" s="122"/>
      <c r="D38" s="122"/>
      <c r="E38" s="122"/>
      <c r="F38" s="123">
        <f>SUM(F8:F37)</f>
        <v>42</v>
      </c>
      <c r="G38" s="122">
        <f>SUM(G8:G37)</f>
        <v>62260</v>
      </c>
      <c r="H38" s="122">
        <f>SUM(H8:H37)</f>
        <v>55530</v>
      </c>
      <c r="I38" s="122">
        <f>SUM(I8:I37)</f>
        <v>6730</v>
      </c>
      <c r="J38" s="122">
        <f>SUM(J8:J37)</f>
        <v>4430</v>
      </c>
      <c r="K38" s="124">
        <f>IF(H38=0,0,1)</f>
        <v>1</v>
      </c>
      <c r="L38" s="122">
        <f>IF(F38=0,"",G38/F38)</f>
        <v>1482.38095238095</v>
      </c>
      <c r="M38" s="122"/>
    </row>
    <row r="40" spans="2:13" ht="16.5" customHeight="1">
      <c r="B40" s="125" t="str">
        <f>IF(H38=0,"",IF(MAX(K8:K37)&gt;0.5,"⚠ Concentração alta: um único cliente responde por "&amp;TEXT(MAX(K8:K37),"0%")&amp;" da receita recebida. Diversificar reduz o risco.","✓ Receita bem distribuída entre clientes (maior cliente: "&amp;TEXT(MAX(K8:K37),"0%")&amp;")."))</f>
        <v>✓ Receita bem distribuída entre clientes (maior cliente: 26%).</v>
      </c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</row>
  </sheetData>
  <mergeCells count="14">
    <mergeCell ref="B1:C1"/>
    <mergeCell ref="E1:G1"/>
    <mergeCell ref="H1:J1"/>
    <mergeCell ref="K1:M1"/>
    <mergeCell ref="B2:C2"/>
    <mergeCell ref="E2:G2"/>
    <mergeCell ref="H2:J2"/>
    <mergeCell ref="K2:M2"/>
    <mergeCell ref="E3:G3"/>
    <mergeCell ref="H3:J3"/>
    <mergeCell ref="K3:M3"/>
    <mergeCell ref="B5:M5"/>
    <mergeCell ref="B6:M6"/>
    <mergeCell ref="B40:M40"/>
  </mergeCells>
  <conditionalFormatting sqref="B40">
    <cfRule type="beginsWith" dxfId="6" priority="1" operator="beginsWith" text="⚠">
      <formula>LEFT(B40,1)="⚠"</formula>
    </cfRule>
    <cfRule type="beginsWith" dxfId="4" priority="2" operator="beginsWith" text="✓">
      <formula>LEFT(B40,1)="✓"</formula>
    </cfRule>
  </conditionalFormatting>
  <conditionalFormatting sqref="J8:J37">
    <cfRule type="cellIs" dxfId="3" priority="6" operator="greaterThan">
      <formula>0</formula>
    </cfRule>
  </conditionalFormatting>
  <conditionalFormatting sqref="K8:K37">
    <cfRule type="expression" dxfId="16" priority="7">
      <formula>AND(ISNUMBER(K8),K8&gt;0.5)</formula>
    </cfRule>
  </conditionalFormatting>
  <conditionalFormatting sqref="M8:M37">
    <cfRule type="containsText" dxfId="5" priority="3" operator="containsText" text="Em atraso">
      <formula>NOT(ISERROR(SEARCH("Em atraso",M8)))</formula>
    </cfRule>
    <cfRule type="containsText" dxfId="6" priority="4" operator="containsText" text="A receber">
      <formula>NOT(ISERROR(SEARCH("A receber",M8)))</formula>
    </cfRule>
    <cfRule type="containsText" dxfId="4" priority="5" operator="containsText" text="Em dia">
      <formula>NOT(ISERROR(SEARCH("Em dia",M8)))</formula>
    </cfRule>
  </conditionalFormatting>
  <hyperlinks>
    <hyperlink ref="B1" location="'Início'!A1" display="🏠 Início"/>
    <hyperlink ref="D1" location="'Painel Geral'!A1" display="📊 Painel Geral"/>
    <hyperlink ref="E1" location="'Painel Pessoal'!A1" display="👤 Painel Pessoal"/>
    <hyperlink ref="H1" location="'Painel Negócio'!A1" display="💼 Painel Negócio"/>
    <hyperlink ref="K1" location="'Config'!A1" display="⚙ Config"/>
    <hyperlink ref="D2" location="'Lanç. Pessoal'!A1" display="📝 Lançamentos"/>
    <hyperlink ref="E2" location="'Orçamento Pessoal'!A1" display="💳 Orçamento"/>
    <hyperlink ref="H2" location="'Resumo Pessoal'!A1" display="📅 Resumo anual"/>
    <hyperlink ref="K2" location="'Metas'!A1" display="🎯 Metas"/>
    <hyperlink ref="C3" location="'Lanç. Negócio'!A1" display="📝 Lançamentos"/>
    <hyperlink ref="D3" location="'Clientes'!A1" display="🤝 Clientes"/>
    <hyperlink ref="E3" location="'Recebimentos'!A1" display="💰 Recebimentos"/>
    <hyperlink ref="H3" location="'Impostos'!A1" display="🧾 Impostos"/>
    <hyperlink ref="K3" location="'Fluxo de Caixa'!A1" display="📈 Fluxo de Caixa"/>
  </hyperlinks>
  <pageMargins left="0.4" right="0.4" top="0.5" bottom="0.5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M1010"/>
  <sheetViews>
    <sheetView showGridLines="0" workbookViewId="0">
      <pane ySplit="10" topLeftCell="A11" activePane="bottomLeft" state="frozen"/>
      <selection pane="bottomLeft"/>
    </sheetView>
  </sheetViews>
  <sheetFormatPr defaultRowHeight="16.5" customHeight="1"/>
  <cols>
    <col min="1" max="1" width="2.7109375" customWidth="1"/>
    <col min="2" max="2" width="12.7109375" style="63" customWidth="1"/>
    <col min="3" max="3" width="26.7109375" style="64" customWidth="1"/>
    <col min="4" max="4" width="34.7109375" style="64" customWidth="1"/>
    <col min="5" max="5" width="14.7109375" style="65" customWidth="1"/>
    <col min="6" max="7" width="13.7109375" style="63" customWidth="1"/>
    <col min="8" max="8" width="17.7109375" style="64" customWidth="1"/>
    <col min="9" max="9" width="12.7109375" style="66" customWidth="1"/>
    <col min="10" max="10" width="9.7109375" style="126" customWidth="1"/>
    <col min="11" max="12" width="14.7109375" style="127" customWidth="1"/>
    <col min="13" max="13" width="9.7109375" style="128" hidden="1" customWidth="1"/>
  </cols>
  <sheetData>
    <row r="1" spans="2:13" ht="22" customHeight="1">
      <c r="B1" s="3" t="s">
        <v>0</v>
      </c>
      <c r="C1" s="3"/>
      <c r="D1" s="3" t="s">
        <v>1</v>
      </c>
      <c r="E1" s="3" t="s">
        <v>2</v>
      </c>
      <c r="F1" s="3"/>
      <c r="G1" s="3"/>
      <c r="H1" s="3" t="s">
        <v>3</v>
      </c>
      <c r="I1" s="3"/>
      <c r="J1" s="3"/>
      <c r="K1" s="3" t="s">
        <v>4</v>
      </c>
      <c r="L1" s="3"/>
      <c r="M1" s="3"/>
    </row>
    <row r="2" spans="2:13" ht="22" customHeight="1">
      <c r="B2" s="4" t="s">
        <v>5</v>
      </c>
      <c r="C2" s="4"/>
      <c r="D2" s="5" t="s">
        <v>6</v>
      </c>
      <c r="E2" s="5" t="s">
        <v>7</v>
      </c>
      <c r="F2" s="5"/>
      <c r="G2" s="5"/>
      <c r="H2" s="5" t="s">
        <v>8</v>
      </c>
      <c r="I2" s="5"/>
      <c r="J2" s="5"/>
      <c r="K2" s="5" t="s">
        <v>9</v>
      </c>
      <c r="L2" s="5"/>
      <c r="M2" s="5"/>
    </row>
    <row r="3" spans="2:13" ht="22" customHeight="1">
      <c r="B3" s="6" t="s">
        <v>10</v>
      </c>
      <c r="C3" s="6"/>
      <c r="D3" s="7" t="s">
        <v>6</v>
      </c>
      <c r="E3" s="7" t="s">
        <v>11</v>
      </c>
      <c r="F3" s="7"/>
      <c r="G3" s="118" t="s">
        <v>12</v>
      </c>
      <c r="H3" s="118"/>
      <c r="I3" s="7" t="s">
        <v>13</v>
      </c>
      <c r="J3" s="7"/>
      <c r="K3" s="7"/>
      <c r="L3" s="7" t="s">
        <v>14</v>
      </c>
      <c r="M3" s="7"/>
    </row>
    <row r="4" spans="2:13" ht="6" customHeight="1"/>
    <row r="5" spans="2:13" ht="38" customHeight="1">
      <c r="B5" s="54" t="s">
        <v>315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2:13" ht="20" customHeight="1">
      <c r="B6" s="68" t="s">
        <v>316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2:13" ht="16" customHeight="1">
      <c r="B7" s="119" t="s">
        <v>317</v>
      </c>
      <c r="C7" s="119"/>
      <c r="D7" s="119" t="s">
        <v>318</v>
      </c>
      <c r="E7" s="119" t="s">
        <v>319</v>
      </c>
      <c r="F7" s="119"/>
      <c r="G7" s="119" t="s">
        <v>142</v>
      </c>
      <c r="H7" s="119"/>
      <c r="I7" s="119"/>
      <c r="J7" s="119"/>
      <c r="K7" s="119"/>
      <c r="L7" s="119"/>
    </row>
    <row r="8" spans="2:13" ht="26" customHeight="1">
      <c r="B8" s="129">
        <f>SUM('Recebimentos'!$K$11:$K$1010)</f>
        <v>6730</v>
      </c>
      <c r="C8" s="129"/>
      <c r="D8" s="71">
        <f>SUM('Recebimentos'!$L$11:$L$1010)</f>
        <v>4430</v>
      </c>
      <c r="E8" s="70">
        <f>SUMIFS('Recebimentos'!$E$11:$E$1010,'Recebimentos'!$G$11:$G$1010,"&gt;="&amp;DATE('Config'!$C$8,1,1),'Recebimentos'!$G$11:$G$1010,"&lt;"&amp;DATE('Config'!$C$8+1,1,1))</f>
        <v>55530</v>
      </c>
      <c r="F8" s="70"/>
      <c r="G8" s="130" t="str">
        <f>IF(SUMPRODUCT(('Recebimentos'!$E$11:$E$1010&gt;0)*('Recebimentos'!$C$11:$C$1010=""))&gt;0,"⚠ "&amp;SUMPRODUCT(('Recebimentos'!$E$11:$E$1010&gt;0)*('Recebimentos'!$C$11:$C$1010=""))&amp;" cobrança(s) sem cliente",IF(SUMPRODUCT(('Recebimentos'!$E$11:$E$1010&gt;0)*('Recebimentos'!$F$11:$F$1010="")*('Recebimentos'!$G$11:$G$1010=""))&gt;0,"⚠ "&amp;SUMPRODUCT(('Recebimentos'!$E$11:$E$1010&gt;0)*('Recebimentos'!$F$11:$F$1010="")*('Recebimentos'!$G$11:$G$1010=""))&amp;" cobrança(s) em aberto sem vencimento — informe para projetar o caixa","✓ Tudo certo: "&amp;COUNT('Recebimentos'!$E$11:$E$1010)&amp;" cobrança(s) registradas"))</f>
        <v>✓ Tudo certo: 42 cobrança(s) registradas</v>
      </c>
      <c r="H8" s="130"/>
      <c r="I8" s="130"/>
      <c r="J8" s="130"/>
      <c r="K8" s="130"/>
      <c r="L8" s="130"/>
    </row>
    <row r="9" spans="2:13" ht="6" customHeight="1"/>
    <row r="10" spans="2:13" ht="30" customHeight="1">
      <c r="B10" s="120" t="s">
        <v>320</v>
      </c>
      <c r="C10" s="120" t="s">
        <v>275</v>
      </c>
      <c r="D10" s="120" t="s">
        <v>144</v>
      </c>
      <c r="E10" s="120" t="s">
        <v>146</v>
      </c>
      <c r="F10" s="120" t="s">
        <v>321</v>
      </c>
      <c r="G10" s="120" t="s">
        <v>322</v>
      </c>
      <c r="H10" s="120" t="s">
        <v>323</v>
      </c>
      <c r="I10" s="120" t="s">
        <v>324</v>
      </c>
      <c r="J10" s="120" t="s">
        <v>325</v>
      </c>
      <c r="K10" s="120" t="s">
        <v>326</v>
      </c>
      <c r="L10" s="120" t="s">
        <v>283</v>
      </c>
      <c r="M10" s="120" t="s">
        <v>327</v>
      </c>
    </row>
    <row r="11" spans="2:13" ht="16.5" customHeight="1">
      <c r="B11" s="63">
        <v>46025</v>
      </c>
      <c r="C11" s="64" t="s">
        <v>286</v>
      </c>
      <c r="D11" s="64" t="s">
        <v>328</v>
      </c>
      <c r="E11" s="65">
        <v>1800</v>
      </c>
      <c r="F11" s="63">
        <v>46035</v>
      </c>
      <c r="G11" s="63">
        <v>46035</v>
      </c>
      <c r="H11" s="64" t="s">
        <v>54</v>
      </c>
      <c r="I11" s="66" t="str">
        <f>IF($E11="","",IF($G11&lt;&gt;"","Pago",IF($F11="","Pendente",IF('Config'!$C$9&gt;$F11,"Atrasado","Pendente"))))</f>
        <v>Pago</v>
      </c>
      <c r="J11" s="126">
        <f>IF($I11="Atrasado",'Config'!$C$9-$F11,"")</f>
        <v/>
      </c>
      <c r="K11" s="127">
        <f>IF(AND($E11&lt;&gt;"",$G11=""),$E11,0)</f>
        <v>0</v>
      </c>
      <c r="L11" s="127">
        <f>IF($I11="Atrasado",$E11,0)</f>
        <v>0</v>
      </c>
      <c r="M11" s="128">
        <f>IF($I11="Atrasado",$J11+ROW()/1000000,0)</f>
        <v>0</v>
      </c>
    </row>
    <row r="12" spans="2:13" ht="16.5" customHeight="1">
      <c r="B12" s="63">
        <v>46027</v>
      </c>
      <c r="C12" s="64" t="s">
        <v>290</v>
      </c>
      <c r="D12" s="64" t="s">
        <v>329</v>
      </c>
      <c r="E12" s="65">
        <v>1500</v>
      </c>
      <c r="F12" s="63">
        <v>46037</v>
      </c>
      <c r="G12" s="63">
        <v>46039</v>
      </c>
      <c r="H12" s="64" t="s">
        <v>54</v>
      </c>
      <c r="I12" s="66" t="str">
        <f>IF($E12="","",IF($G12&lt;&gt;"","Pago",IF($F12="","Pendente",IF('Config'!$C$9&gt;$F12,"Atrasado","Pendente"))))</f>
        <v>Pago</v>
      </c>
      <c r="J12" s="126">
        <f>IF($I12="Atrasado",'Config'!$C$9-$F12,"")</f>
        <v/>
      </c>
      <c r="K12" s="127">
        <f>IF(AND($E12&lt;&gt;"",$G12=""),$E12,0)</f>
        <v>0</v>
      </c>
      <c r="L12" s="127">
        <f>IF($I12="Atrasado",$E12,0)</f>
        <v>0</v>
      </c>
      <c r="M12" s="128">
        <f>IF($I12="Atrasado",$J12+ROW()/1000000,0)</f>
        <v>0</v>
      </c>
    </row>
    <row r="13" spans="2:13" ht="16.5" customHeight="1">
      <c r="B13" s="63">
        <v>46036</v>
      </c>
      <c r="C13" s="64" t="s">
        <v>297</v>
      </c>
      <c r="D13" s="64" t="s">
        <v>330</v>
      </c>
      <c r="E13" s="65">
        <v>3200</v>
      </c>
      <c r="F13" s="63">
        <v>46051</v>
      </c>
      <c r="G13" s="63">
        <v>46056</v>
      </c>
      <c r="H13" s="64" t="s">
        <v>54</v>
      </c>
      <c r="I13" s="66" t="str">
        <f>IF($E13="","",IF($G13&lt;&gt;"","Pago",IF($F13="","Pendente",IF('Config'!$C$9&gt;$F13,"Atrasado","Pendente"))))</f>
        <v>Pago</v>
      </c>
      <c r="J13" s="126">
        <f>IF($I13="Atrasado",'Config'!$C$9-$F13,"")</f>
        <v/>
      </c>
      <c r="K13" s="127">
        <f>IF(AND($E13&lt;&gt;"",$G13=""),$E13,0)</f>
        <v>0</v>
      </c>
      <c r="L13" s="127">
        <f>IF($I13="Atrasado",$E13,0)</f>
        <v>0</v>
      </c>
      <c r="M13" s="128">
        <f>IF($I13="Atrasado",$J13+ROW()/1000000,0)</f>
        <v>0</v>
      </c>
    </row>
    <row r="14" spans="2:13" ht="16.5" customHeight="1">
      <c r="B14" s="63">
        <v>46056</v>
      </c>
      <c r="C14" s="64" t="s">
        <v>286</v>
      </c>
      <c r="D14" s="64" t="s">
        <v>331</v>
      </c>
      <c r="E14" s="65">
        <v>1800</v>
      </c>
      <c r="F14" s="63">
        <v>46066</v>
      </c>
      <c r="G14" s="63">
        <v>46066</v>
      </c>
      <c r="H14" s="64" t="s">
        <v>54</v>
      </c>
      <c r="I14" s="66" t="str">
        <f>IF($E14="","",IF($G14&lt;&gt;"","Pago",IF($F14="","Pendente",IF('Config'!$C$9&gt;$F14,"Atrasado","Pendente"))))</f>
        <v>Pago</v>
      </c>
      <c r="J14" s="126">
        <f>IF($I14="Atrasado",'Config'!$C$9-$F14,"")</f>
        <v/>
      </c>
      <c r="K14" s="127">
        <f>IF(AND($E14&lt;&gt;"",$G14=""),$E14,0)</f>
        <v>0</v>
      </c>
      <c r="L14" s="127">
        <f>IF($I14="Atrasado",$E14,0)</f>
        <v>0</v>
      </c>
      <c r="M14" s="128">
        <f>IF($I14="Atrasado",$J14+ROW()/1000000,0)</f>
        <v>0</v>
      </c>
    </row>
    <row r="15" spans="2:13" ht="16.5" customHeight="1">
      <c r="B15" s="63">
        <v>46058</v>
      </c>
      <c r="C15" s="64" t="s">
        <v>290</v>
      </c>
      <c r="D15" s="64" t="s">
        <v>332</v>
      </c>
      <c r="E15" s="65">
        <v>1500</v>
      </c>
      <c r="F15" s="63">
        <v>46068</v>
      </c>
      <c r="G15" s="63">
        <v>46068</v>
      </c>
      <c r="H15" s="64" t="s">
        <v>54</v>
      </c>
      <c r="I15" s="66" t="str">
        <f>IF($E15="","",IF($G15&lt;&gt;"","Pago",IF($F15="","Pendente",IF('Config'!$C$9&gt;$F15,"Atrasado","Pendente"))))</f>
        <v>Pago</v>
      </c>
      <c r="J15" s="126">
        <f>IF($I15="Atrasado",'Config'!$C$9-$F15,"")</f>
        <v/>
      </c>
      <c r="K15" s="127">
        <f>IF(AND($E15&lt;&gt;"",$G15=""),$E15,0)</f>
        <v>0</v>
      </c>
      <c r="L15" s="127">
        <f>IF($I15="Atrasado",$E15,0)</f>
        <v>0</v>
      </c>
      <c r="M15" s="128">
        <f>IF($I15="Atrasado",$J15+ROW()/1000000,0)</f>
        <v>0</v>
      </c>
    </row>
    <row r="16" spans="2:13" ht="16.5" customHeight="1">
      <c r="B16" s="63">
        <v>46073</v>
      </c>
      <c r="C16" s="64" t="s">
        <v>305</v>
      </c>
      <c r="D16" s="64" t="s">
        <v>333</v>
      </c>
      <c r="E16" s="65">
        <v>1850</v>
      </c>
      <c r="F16" s="63">
        <v>46088</v>
      </c>
      <c r="G16" s="63">
        <v>46093</v>
      </c>
      <c r="H16" s="64" t="s">
        <v>54</v>
      </c>
      <c r="I16" s="66" t="str">
        <f>IF($E16="","",IF($G16&lt;&gt;"","Pago",IF($F16="","Pendente",IF('Config'!$C$9&gt;$F16,"Atrasado","Pendente"))))</f>
        <v>Pago</v>
      </c>
      <c r="J16" s="126">
        <f>IF($I16="Atrasado",'Config'!$C$9-$F16,"")</f>
        <v/>
      </c>
      <c r="K16" s="127">
        <f>IF(AND($E16&lt;&gt;"",$G16=""),$E16,0)</f>
        <v>0</v>
      </c>
      <c r="L16" s="127">
        <f>IF($I16="Atrasado",$E16,0)</f>
        <v>0</v>
      </c>
      <c r="M16" s="128">
        <f>IF($I16="Atrasado",$J16+ROW()/1000000,0)</f>
        <v>0</v>
      </c>
    </row>
    <row r="17" spans="2:13" ht="16.5" customHeight="1">
      <c r="B17" s="63">
        <v>46084</v>
      </c>
      <c r="C17" s="64" t="s">
        <v>286</v>
      </c>
      <c r="D17" s="64" t="s">
        <v>334</v>
      </c>
      <c r="E17" s="65">
        <v>1800</v>
      </c>
      <c r="F17" s="63">
        <v>46094</v>
      </c>
      <c r="G17" s="63">
        <v>46096</v>
      </c>
      <c r="H17" s="64" t="s">
        <v>54</v>
      </c>
      <c r="I17" s="66" t="str">
        <f>IF($E17="","",IF($G17&lt;&gt;"","Pago",IF($F17="","Pendente",IF('Config'!$C$9&gt;$F17,"Atrasado","Pendente"))))</f>
        <v>Pago</v>
      </c>
      <c r="J17" s="126">
        <f>IF($I17="Atrasado",'Config'!$C$9-$F17,"")</f>
        <v/>
      </c>
      <c r="K17" s="127">
        <f>IF(AND($E17&lt;&gt;"",$G17=""),$E17,0)</f>
        <v>0</v>
      </c>
      <c r="L17" s="127">
        <f>IF($I17="Atrasado",$E17,0)</f>
        <v>0</v>
      </c>
      <c r="M17" s="128">
        <f>IF($I17="Atrasado",$J17+ROW()/1000000,0)</f>
        <v>0</v>
      </c>
    </row>
    <row r="18" spans="2:13" ht="16.5" customHeight="1">
      <c r="B18" s="63">
        <v>46086</v>
      </c>
      <c r="C18" s="64" t="s">
        <v>290</v>
      </c>
      <c r="D18" s="64" t="s">
        <v>335</v>
      </c>
      <c r="E18" s="65">
        <v>1500</v>
      </c>
      <c r="F18" s="63">
        <v>46096</v>
      </c>
      <c r="G18" s="63">
        <v>46098</v>
      </c>
      <c r="H18" s="64" t="s">
        <v>54</v>
      </c>
      <c r="I18" s="66" t="str">
        <f>IF($E18="","",IF($G18&lt;&gt;"","Pago",IF($F18="","Pendente",IF('Config'!$C$9&gt;$F18,"Atrasado","Pendente"))))</f>
        <v>Pago</v>
      </c>
      <c r="J18" s="126">
        <f>IF($I18="Atrasado",'Config'!$C$9-$F18,"")</f>
        <v/>
      </c>
      <c r="K18" s="127">
        <f>IF(AND($E18&lt;&gt;"",$G18=""),$E18,0)</f>
        <v>0</v>
      </c>
      <c r="L18" s="127">
        <f>IF($I18="Atrasado",$E18,0)</f>
        <v>0</v>
      </c>
      <c r="M18" s="128">
        <f>IF($I18="Atrasado",$J18+ROW()/1000000,0)</f>
        <v>0</v>
      </c>
    </row>
    <row r="19" spans="2:13" ht="16.5" customHeight="1">
      <c r="B19" s="63">
        <v>46089</v>
      </c>
      <c r="C19" s="64" t="s">
        <v>294</v>
      </c>
      <c r="D19" s="64" t="s">
        <v>336</v>
      </c>
      <c r="E19" s="65">
        <v>650</v>
      </c>
      <c r="F19" s="63">
        <v>46099</v>
      </c>
      <c r="G19" s="63">
        <v>46098</v>
      </c>
      <c r="H19" s="64" t="s">
        <v>54</v>
      </c>
      <c r="I19" s="66" t="str">
        <f>IF($E19="","",IF($G19&lt;&gt;"","Pago",IF($F19="","Pendente",IF('Config'!$C$9&gt;$F19,"Atrasado","Pendente"))))</f>
        <v>Pago</v>
      </c>
      <c r="J19" s="126">
        <f>IF($I19="Atrasado",'Config'!$C$9-$F19,"")</f>
        <v/>
      </c>
      <c r="K19" s="127">
        <f>IF(AND($E19&lt;&gt;"",$G19=""),$E19,0)</f>
        <v>0</v>
      </c>
      <c r="L19" s="127">
        <f>IF($I19="Atrasado",$E19,0)</f>
        <v>0</v>
      </c>
      <c r="M19" s="128">
        <f>IF($I19="Atrasado",$J19+ROW()/1000000,0)</f>
        <v>0</v>
      </c>
    </row>
    <row r="20" spans="2:13" ht="16.5" customHeight="1">
      <c r="B20" s="63">
        <v>46093</v>
      </c>
      <c r="C20" s="64" t="s">
        <v>311</v>
      </c>
      <c r="D20" s="64" t="s">
        <v>337</v>
      </c>
      <c r="E20" s="65">
        <v>780</v>
      </c>
      <c r="F20" s="63">
        <v>46108</v>
      </c>
      <c r="G20" s="63">
        <v>46110</v>
      </c>
      <c r="H20" s="64" t="s">
        <v>54</v>
      </c>
      <c r="I20" s="66" t="str">
        <f>IF($E20="","",IF($G20&lt;&gt;"","Pago",IF($F20="","Pendente",IF('Config'!$C$9&gt;$F20,"Atrasado","Pendente"))))</f>
        <v>Pago</v>
      </c>
      <c r="J20" s="126">
        <f>IF($I20="Atrasado",'Config'!$C$9-$F20,"")</f>
        <v/>
      </c>
      <c r="K20" s="127">
        <f>IF(AND($E20&lt;&gt;"",$G20=""),$E20,0)</f>
        <v>0</v>
      </c>
      <c r="L20" s="127">
        <f>IF($I20="Atrasado",$E20,0)</f>
        <v>0</v>
      </c>
      <c r="M20" s="128">
        <f>IF($I20="Atrasado",$J20+ROW()/1000000,0)</f>
        <v>0</v>
      </c>
    </row>
    <row r="21" spans="2:13" ht="16.5" customHeight="1">
      <c r="B21" s="63">
        <v>46115</v>
      </c>
      <c r="C21" s="64" t="s">
        <v>286</v>
      </c>
      <c r="D21" s="64" t="s">
        <v>338</v>
      </c>
      <c r="E21" s="65">
        <v>1800</v>
      </c>
      <c r="F21" s="63">
        <v>46125</v>
      </c>
      <c r="G21" s="63">
        <v>46124</v>
      </c>
      <c r="H21" s="64" t="s">
        <v>54</v>
      </c>
      <c r="I21" s="66" t="str">
        <f>IF($E21="","",IF($G21&lt;&gt;"","Pago",IF($F21="","Pendente",IF('Config'!$C$9&gt;$F21,"Atrasado","Pendente"))))</f>
        <v>Pago</v>
      </c>
      <c r="J21" s="126">
        <f>IF($I21="Atrasado",'Config'!$C$9-$F21,"")</f>
        <v/>
      </c>
      <c r="K21" s="127">
        <f>IF(AND($E21&lt;&gt;"",$G21=""),$E21,0)</f>
        <v>0</v>
      </c>
      <c r="L21" s="127">
        <f>IF($I21="Atrasado",$E21,0)</f>
        <v>0</v>
      </c>
      <c r="M21" s="128">
        <f>IF($I21="Atrasado",$J21+ROW()/1000000,0)</f>
        <v>0</v>
      </c>
    </row>
    <row r="22" spans="2:13" ht="16.5" customHeight="1">
      <c r="B22" s="63">
        <v>46117</v>
      </c>
      <c r="C22" s="64" t="s">
        <v>290</v>
      </c>
      <c r="D22" s="64" t="s">
        <v>339</v>
      </c>
      <c r="E22" s="65">
        <v>1500</v>
      </c>
      <c r="F22" s="63">
        <v>46127</v>
      </c>
      <c r="G22" s="63">
        <v>46129</v>
      </c>
      <c r="H22" s="64" t="s">
        <v>54</v>
      </c>
      <c r="I22" s="66" t="str">
        <f>IF($E22="","",IF($G22&lt;&gt;"","Pago",IF($F22="","Pendente",IF('Config'!$C$9&gt;$F22,"Atrasado","Pendente"))))</f>
        <v>Pago</v>
      </c>
      <c r="J22" s="126">
        <f>IF($I22="Atrasado",'Config'!$C$9-$F22,"")</f>
        <v/>
      </c>
      <c r="K22" s="127">
        <f>IF(AND($E22&lt;&gt;"",$G22=""),$E22,0)</f>
        <v>0</v>
      </c>
      <c r="L22" s="127">
        <f>IF($I22="Atrasado",$E22,0)</f>
        <v>0</v>
      </c>
      <c r="M22" s="128">
        <f>IF($I22="Atrasado",$J22+ROW()/1000000,0)</f>
        <v>0</v>
      </c>
    </row>
    <row r="23" spans="2:13" ht="16.5" customHeight="1">
      <c r="B23" s="63">
        <v>46120</v>
      </c>
      <c r="C23" s="64" t="s">
        <v>294</v>
      </c>
      <c r="D23" s="64" t="s">
        <v>340</v>
      </c>
      <c r="E23" s="65">
        <v>650</v>
      </c>
      <c r="F23" s="63">
        <v>46130</v>
      </c>
      <c r="G23" s="63">
        <v>46130</v>
      </c>
      <c r="H23" s="64" t="s">
        <v>54</v>
      </c>
      <c r="I23" s="66" t="str">
        <f>IF($E23="","",IF($G23&lt;&gt;"","Pago",IF($F23="","Pendente",IF('Config'!$C$9&gt;$F23,"Atrasado","Pendente"))))</f>
        <v>Pago</v>
      </c>
      <c r="J23" s="126">
        <f>IF($I23="Atrasado",'Config'!$C$9-$F23,"")</f>
        <v/>
      </c>
      <c r="K23" s="127">
        <f>IF(AND($E23&lt;&gt;"",$G23=""),$E23,0)</f>
        <v>0</v>
      </c>
      <c r="L23" s="127">
        <f>IF($I23="Atrasado",$E23,0)</f>
        <v>0</v>
      </c>
      <c r="M23" s="128">
        <f>IF($I23="Atrasado",$J23+ROW()/1000000,0)</f>
        <v>0</v>
      </c>
    </row>
    <row r="24" spans="2:13" ht="16.5" customHeight="1">
      <c r="B24" s="63">
        <v>46121</v>
      </c>
      <c r="C24" s="64" t="s">
        <v>301</v>
      </c>
      <c r="D24" s="64" t="s">
        <v>341</v>
      </c>
      <c r="E24" s="65">
        <v>2400</v>
      </c>
      <c r="F24" s="63">
        <v>46136</v>
      </c>
      <c r="G24" s="63">
        <v>46141</v>
      </c>
      <c r="H24" s="64" t="s">
        <v>54</v>
      </c>
      <c r="I24" s="66" t="str">
        <f>IF($E24="","",IF($G24&lt;&gt;"","Pago",IF($F24="","Pendente",IF('Config'!$C$9&gt;$F24,"Atrasado","Pendente"))))</f>
        <v>Pago</v>
      </c>
      <c r="J24" s="126">
        <f>IF($I24="Atrasado",'Config'!$C$9-$F24,"")</f>
        <v/>
      </c>
      <c r="K24" s="127">
        <f>IF(AND($E24&lt;&gt;"",$G24=""),$E24,0)</f>
        <v>0</v>
      </c>
      <c r="L24" s="127">
        <f>IF($I24="Atrasado",$E24,0)</f>
        <v>0</v>
      </c>
      <c r="M24" s="128">
        <f>IF($I24="Atrasado",$J24+ROW()/1000000,0)</f>
        <v>0</v>
      </c>
    </row>
    <row r="25" spans="2:13" ht="16.5" customHeight="1">
      <c r="B25" s="63">
        <v>46140</v>
      </c>
      <c r="C25" s="64" t="s">
        <v>308</v>
      </c>
      <c r="D25" s="64" t="s">
        <v>342</v>
      </c>
      <c r="E25" s="65">
        <v>950</v>
      </c>
      <c r="F25" s="63">
        <v>46155</v>
      </c>
      <c r="G25" s="63">
        <v>46154</v>
      </c>
      <c r="H25" s="64" t="s">
        <v>54</v>
      </c>
      <c r="I25" s="66" t="str">
        <f>IF($E25="","",IF($G25&lt;&gt;"","Pago",IF($F25="","Pendente",IF('Config'!$C$9&gt;$F25,"Atrasado","Pendente"))))</f>
        <v>Pago</v>
      </c>
      <c r="J25" s="126">
        <f>IF($I25="Atrasado",'Config'!$C$9-$F25,"")</f>
        <v/>
      </c>
      <c r="K25" s="127">
        <f>IF(AND($E25&lt;&gt;"",$G25=""),$E25,0)</f>
        <v>0</v>
      </c>
      <c r="L25" s="127">
        <f>IF($I25="Atrasado",$E25,0)</f>
        <v>0</v>
      </c>
      <c r="M25" s="128">
        <f>IF($I25="Atrasado",$J25+ROW()/1000000,0)</f>
        <v>0</v>
      </c>
    </row>
    <row r="26" spans="2:13" ht="16.5" customHeight="1">
      <c r="B26" s="63">
        <v>46145</v>
      </c>
      <c r="C26" s="64" t="s">
        <v>286</v>
      </c>
      <c r="D26" s="64" t="s">
        <v>343</v>
      </c>
      <c r="E26" s="65">
        <v>1800</v>
      </c>
      <c r="F26" s="63">
        <v>46155</v>
      </c>
      <c r="G26" s="63">
        <v>46160</v>
      </c>
      <c r="H26" s="64" t="s">
        <v>54</v>
      </c>
      <c r="I26" s="66" t="str">
        <f>IF($E26="","",IF($G26&lt;&gt;"","Pago",IF($F26="","Pendente",IF('Config'!$C$9&gt;$F26,"Atrasado","Pendente"))))</f>
        <v>Pago</v>
      </c>
      <c r="J26" s="126">
        <f>IF($I26="Atrasado",'Config'!$C$9-$F26,"")</f>
        <v/>
      </c>
      <c r="K26" s="127">
        <f>IF(AND($E26&lt;&gt;"",$G26=""),$E26,0)</f>
        <v>0</v>
      </c>
      <c r="L26" s="127">
        <f>IF($I26="Atrasado",$E26,0)</f>
        <v>0</v>
      </c>
      <c r="M26" s="128">
        <f>IF($I26="Atrasado",$J26+ROW()/1000000,0)</f>
        <v>0</v>
      </c>
    </row>
    <row r="27" spans="2:13" ht="16.5" customHeight="1">
      <c r="B27" s="63">
        <v>46147</v>
      </c>
      <c r="C27" s="64" t="s">
        <v>290</v>
      </c>
      <c r="D27" s="64" t="s">
        <v>344</v>
      </c>
      <c r="E27" s="65">
        <v>1500</v>
      </c>
      <c r="F27" s="63">
        <v>46157</v>
      </c>
      <c r="G27" s="63">
        <v>46159</v>
      </c>
      <c r="H27" s="64" t="s">
        <v>54</v>
      </c>
      <c r="I27" s="66" t="str">
        <f>IF($E27="","",IF($G27&lt;&gt;"","Pago",IF($F27="","Pendente",IF('Config'!$C$9&gt;$F27,"Atrasado","Pendente"))))</f>
        <v>Pago</v>
      </c>
      <c r="J27" s="126">
        <f>IF($I27="Atrasado",'Config'!$C$9-$F27,"")</f>
        <v/>
      </c>
      <c r="K27" s="127">
        <f>IF(AND($E27&lt;&gt;"",$G27=""),$E27,0)</f>
        <v>0</v>
      </c>
      <c r="L27" s="127">
        <f>IF($I27="Atrasado",$E27,0)</f>
        <v>0</v>
      </c>
      <c r="M27" s="128">
        <f>IF($I27="Atrasado",$J27+ROW()/1000000,0)</f>
        <v>0</v>
      </c>
    </row>
    <row r="28" spans="2:13" ht="16.5" customHeight="1">
      <c r="B28" s="63">
        <v>46150</v>
      </c>
      <c r="C28" s="64" t="s">
        <v>294</v>
      </c>
      <c r="D28" s="64" t="s">
        <v>345</v>
      </c>
      <c r="E28" s="65">
        <v>650</v>
      </c>
      <c r="F28" s="63">
        <v>46160</v>
      </c>
      <c r="G28" s="63">
        <v>46159</v>
      </c>
      <c r="H28" s="64" t="s">
        <v>54</v>
      </c>
      <c r="I28" s="66" t="str">
        <f>IF($E28="","",IF($G28&lt;&gt;"","Pago",IF($F28="","Pendente",IF('Config'!$C$9&gt;$F28,"Atrasado","Pendente"))))</f>
        <v>Pago</v>
      </c>
      <c r="J28" s="126">
        <f>IF($I28="Atrasado",'Config'!$C$9-$F28,"")</f>
        <v/>
      </c>
      <c r="K28" s="127">
        <f>IF(AND($E28&lt;&gt;"",$G28=""),$E28,0)</f>
        <v>0</v>
      </c>
      <c r="L28" s="127">
        <f>IF($I28="Atrasado",$E28,0)</f>
        <v>0</v>
      </c>
      <c r="M28" s="128">
        <f>IF($I28="Atrasado",$J28+ROW()/1000000,0)</f>
        <v>0</v>
      </c>
    </row>
    <row r="29" spans="2:13" ht="16.5" customHeight="1">
      <c r="B29" s="63">
        <v>46157</v>
      </c>
      <c r="C29" s="64" t="s">
        <v>297</v>
      </c>
      <c r="D29" s="64" t="s">
        <v>346</v>
      </c>
      <c r="E29" s="65">
        <v>2600</v>
      </c>
      <c r="F29" s="63">
        <v>46172</v>
      </c>
      <c r="G29" s="63">
        <v>46174</v>
      </c>
      <c r="H29" s="64" t="s">
        <v>54</v>
      </c>
      <c r="I29" s="66" t="str">
        <f>IF($E29="","",IF($G29&lt;&gt;"","Pago",IF($F29="","Pendente",IF('Config'!$C$9&gt;$F29,"Atrasado","Pendente"))))</f>
        <v>Pago</v>
      </c>
      <c r="J29" s="126">
        <f>IF($I29="Atrasado",'Config'!$C$9-$F29,"")</f>
        <v/>
      </c>
      <c r="K29" s="127">
        <f>IF(AND($E29&lt;&gt;"",$G29=""),$E29,0)</f>
        <v>0</v>
      </c>
      <c r="L29" s="127">
        <f>IF($I29="Atrasado",$E29,0)</f>
        <v>0</v>
      </c>
      <c r="M29" s="128">
        <f>IF($I29="Atrasado",$J29+ROW()/1000000,0)</f>
        <v>0</v>
      </c>
    </row>
    <row r="30" spans="2:13" ht="16.5" customHeight="1">
      <c r="B30" s="63">
        <v>46176</v>
      </c>
      <c r="C30" s="64" t="s">
        <v>286</v>
      </c>
      <c r="D30" s="64" t="s">
        <v>347</v>
      </c>
      <c r="E30" s="65">
        <v>1800</v>
      </c>
      <c r="F30" s="63">
        <v>46186</v>
      </c>
      <c r="G30" s="63">
        <v>46183</v>
      </c>
      <c r="H30" s="64" t="s">
        <v>54</v>
      </c>
      <c r="I30" s="66" t="str">
        <f>IF($E30="","",IF($G30&lt;&gt;"","Pago",IF($F30="","Pendente",IF('Config'!$C$9&gt;$F30,"Atrasado","Pendente"))))</f>
        <v>Pago</v>
      </c>
      <c r="J30" s="126">
        <f>IF($I30="Atrasado",'Config'!$C$9-$F30,"")</f>
        <v/>
      </c>
      <c r="K30" s="127">
        <f>IF(AND($E30&lt;&gt;"",$G30=""),$E30,0)</f>
        <v>0</v>
      </c>
      <c r="L30" s="127">
        <f>IF($I30="Atrasado",$E30,0)</f>
        <v>0</v>
      </c>
      <c r="M30" s="128">
        <f>IF($I30="Atrasado",$J30+ROW()/1000000,0)</f>
        <v>0</v>
      </c>
    </row>
    <row r="31" spans="2:13" ht="16.5" customHeight="1">
      <c r="B31" s="63">
        <v>46178</v>
      </c>
      <c r="C31" s="64" t="s">
        <v>290</v>
      </c>
      <c r="D31" s="64" t="s">
        <v>348</v>
      </c>
      <c r="E31" s="65">
        <v>1500</v>
      </c>
      <c r="F31" s="63">
        <v>46188</v>
      </c>
      <c r="G31" s="63">
        <v>46188</v>
      </c>
      <c r="H31" s="64" t="s">
        <v>54</v>
      </c>
      <c r="I31" s="66" t="str">
        <f>IF($E31="","",IF($G31&lt;&gt;"","Pago",IF($F31="","Pendente",IF('Config'!$C$9&gt;$F31,"Atrasado","Pendente"))))</f>
        <v>Pago</v>
      </c>
      <c r="J31" s="126">
        <f>IF($I31="Atrasado",'Config'!$C$9-$F31,"")</f>
        <v/>
      </c>
      <c r="K31" s="127">
        <f>IF(AND($E31&lt;&gt;"",$G31=""),$E31,0)</f>
        <v>0</v>
      </c>
      <c r="L31" s="127">
        <f>IF($I31="Atrasado",$E31,0)</f>
        <v>0</v>
      </c>
      <c r="M31" s="128">
        <f>IF($I31="Atrasado",$J31+ROW()/1000000,0)</f>
        <v>0</v>
      </c>
    </row>
    <row r="32" spans="2:13" ht="16.5" customHeight="1">
      <c r="B32" s="63">
        <v>46179</v>
      </c>
      <c r="C32" s="64" t="s">
        <v>305</v>
      </c>
      <c r="D32" s="64" t="s">
        <v>349</v>
      </c>
      <c r="E32" s="65">
        <v>1900</v>
      </c>
      <c r="F32" s="63">
        <v>46194</v>
      </c>
      <c r="G32" s="63">
        <v>46191</v>
      </c>
      <c r="H32" s="64" t="s">
        <v>54</v>
      </c>
      <c r="I32" s="66" t="str">
        <f>IF($E32="","",IF($G32&lt;&gt;"","Pago",IF($F32="","Pendente",IF('Config'!$C$9&gt;$F32,"Atrasado","Pendente"))))</f>
        <v>Pago</v>
      </c>
      <c r="J32" s="126">
        <f>IF($I32="Atrasado",'Config'!$C$9-$F32,"")</f>
        <v/>
      </c>
      <c r="K32" s="127">
        <f>IF(AND($E32&lt;&gt;"",$G32=""),$E32,0)</f>
        <v>0</v>
      </c>
      <c r="L32" s="127">
        <f>IF($I32="Atrasado",$E32,0)</f>
        <v>0</v>
      </c>
      <c r="M32" s="128">
        <f>IF($I32="Atrasado",$J32+ROW()/1000000,0)</f>
        <v>0</v>
      </c>
    </row>
    <row r="33" spans="2:13" ht="16.5" customHeight="1">
      <c r="B33" s="63">
        <v>46181</v>
      </c>
      <c r="C33" s="64" t="s">
        <v>294</v>
      </c>
      <c r="D33" s="64" t="s">
        <v>350</v>
      </c>
      <c r="E33" s="65">
        <v>650</v>
      </c>
      <c r="F33" s="63">
        <v>46191</v>
      </c>
      <c r="G33" s="63">
        <v>46191</v>
      </c>
      <c r="H33" s="64" t="s">
        <v>54</v>
      </c>
      <c r="I33" s="66" t="str">
        <f>IF($E33="","",IF($G33&lt;&gt;"","Pago",IF($F33="","Pendente",IF('Config'!$C$9&gt;$F33,"Atrasado","Pendente"))))</f>
        <v>Pago</v>
      </c>
      <c r="J33" s="126">
        <f>IF($I33="Atrasado",'Config'!$C$9-$F33,"")</f>
        <v/>
      </c>
      <c r="K33" s="127">
        <f>IF(AND($E33&lt;&gt;"",$G33=""),$E33,0)</f>
        <v>0</v>
      </c>
      <c r="L33" s="127">
        <f>IF($I33="Atrasado",$E33,0)</f>
        <v>0</v>
      </c>
      <c r="M33" s="128">
        <f>IF($I33="Atrasado",$J33+ROW()/1000000,0)</f>
        <v>0</v>
      </c>
    </row>
    <row r="34" spans="2:13" ht="16.5" customHeight="1">
      <c r="B34" s="63">
        <v>46198</v>
      </c>
      <c r="C34" s="64" t="s">
        <v>301</v>
      </c>
      <c r="D34" s="64" t="s">
        <v>351</v>
      </c>
      <c r="E34" s="65">
        <v>1200</v>
      </c>
      <c r="F34" s="63">
        <v>46213</v>
      </c>
      <c r="G34" s="63">
        <v>46215</v>
      </c>
      <c r="H34" s="64" t="s">
        <v>54</v>
      </c>
      <c r="I34" s="66" t="str">
        <f>IF($E34="","",IF($G34&lt;&gt;"","Pago",IF($F34="","Pendente",IF('Config'!$C$9&gt;$F34,"Atrasado","Pendente"))))</f>
        <v>Pago</v>
      </c>
      <c r="J34" s="126">
        <f>IF($I34="Atrasado",'Config'!$C$9-$F34,"")</f>
        <v/>
      </c>
      <c r="K34" s="127">
        <f>IF(AND($E34&lt;&gt;"",$G34=""),$E34,0)</f>
        <v>0</v>
      </c>
      <c r="L34" s="127">
        <f>IF($I34="Atrasado",$E34,0)</f>
        <v>0</v>
      </c>
      <c r="M34" s="128">
        <f>IF($I34="Atrasado",$J34+ROW()/1000000,0)</f>
        <v>0</v>
      </c>
    </row>
    <row r="35" spans="2:13" ht="16.5" customHeight="1">
      <c r="B35" s="63">
        <v>46206</v>
      </c>
      <c r="C35" s="64" t="s">
        <v>286</v>
      </c>
      <c r="D35" s="64" t="s">
        <v>352</v>
      </c>
      <c r="E35" s="65">
        <v>1800</v>
      </c>
      <c r="F35" s="63">
        <v>46216</v>
      </c>
      <c r="G35" s="63">
        <v>46215</v>
      </c>
      <c r="H35" s="64" t="s">
        <v>54</v>
      </c>
      <c r="I35" s="66" t="str">
        <f>IF($E35="","",IF($G35&lt;&gt;"","Pago",IF($F35="","Pendente",IF('Config'!$C$9&gt;$F35,"Atrasado","Pendente"))))</f>
        <v>Pago</v>
      </c>
      <c r="J35" s="126">
        <f>IF($I35="Atrasado",'Config'!$C$9-$F35,"")</f>
        <v/>
      </c>
      <c r="K35" s="127">
        <f>IF(AND($E35&lt;&gt;"",$G35=""),$E35,0)</f>
        <v>0</v>
      </c>
      <c r="L35" s="127">
        <f>IF($I35="Atrasado",$E35,0)</f>
        <v>0</v>
      </c>
      <c r="M35" s="128">
        <f>IF($I35="Atrasado",$J35+ROW()/1000000,0)</f>
        <v>0</v>
      </c>
    </row>
    <row r="36" spans="2:13" ht="16.5" customHeight="1">
      <c r="B36" s="63">
        <v>46208</v>
      </c>
      <c r="C36" s="64" t="s">
        <v>290</v>
      </c>
      <c r="D36" s="64" t="s">
        <v>353</v>
      </c>
      <c r="E36" s="65">
        <v>1500</v>
      </c>
      <c r="F36" s="63">
        <v>46218</v>
      </c>
      <c r="G36" s="63">
        <v>46215</v>
      </c>
      <c r="H36" s="64" t="s">
        <v>54</v>
      </c>
      <c r="I36" s="66" t="str">
        <f>IF($E36="","",IF($G36&lt;&gt;"","Pago",IF($F36="","Pendente",IF('Config'!$C$9&gt;$F36,"Atrasado","Pendente"))))</f>
        <v>Pago</v>
      </c>
      <c r="J36" s="126">
        <f>IF($I36="Atrasado",'Config'!$C$9-$F36,"")</f>
        <v/>
      </c>
      <c r="K36" s="127">
        <f>IF(AND($E36&lt;&gt;"",$G36=""),$E36,0)</f>
        <v>0</v>
      </c>
      <c r="L36" s="127">
        <f>IF($I36="Atrasado",$E36,0)</f>
        <v>0</v>
      </c>
      <c r="M36" s="128">
        <f>IF($I36="Atrasado",$J36+ROW()/1000000,0)</f>
        <v>0</v>
      </c>
    </row>
    <row r="37" spans="2:13" ht="16.5" customHeight="1">
      <c r="B37" s="63">
        <v>46211</v>
      </c>
      <c r="C37" s="64" t="s">
        <v>294</v>
      </c>
      <c r="D37" s="64" t="s">
        <v>354</v>
      </c>
      <c r="E37" s="65">
        <v>650</v>
      </c>
      <c r="F37" s="63">
        <v>46221</v>
      </c>
      <c r="G37" s="63">
        <v>46223</v>
      </c>
      <c r="H37" s="64" t="s">
        <v>54</v>
      </c>
      <c r="I37" s="66" t="str">
        <f>IF($E37="","",IF($G37&lt;&gt;"","Pago",IF($F37="","Pendente",IF('Config'!$C$9&gt;$F37,"Atrasado","Pendente"))))</f>
        <v>Pago</v>
      </c>
      <c r="J37" s="126">
        <f>IF($I37="Atrasado",'Config'!$C$9-$F37,"")</f>
        <v/>
      </c>
      <c r="K37" s="127">
        <f>IF(AND($E37&lt;&gt;"",$G37=""),$E37,0)</f>
        <v>0</v>
      </c>
      <c r="L37" s="127">
        <f>IF($I37="Atrasado",$E37,0)</f>
        <v>0</v>
      </c>
      <c r="M37" s="128">
        <f>IF($I37="Atrasado",$J37+ROW()/1000000,0)</f>
        <v>0</v>
      </c>
    </row>
    <row r="38" spans="2:13" ht="16.5" customHeight="1">
      <c r="B38" s="63">
        <v>46213</v>
      </c>
      <c r="C38" s="64" t="s">
        <v>308</v>
      </c>
      <c r="D38" s="64" t="s">
        <v>355</v>
      </c>
      <c r="E38" s="65">
        <v>1100</v>
      </c>
      <c r="F38" s="63">
        <v>46228</v>
      </c>
      <c r="G38" s="63">
        <v>46225</v>
      </c>
      <c r="H38" s="64" t="s">
        <v>54</v>
      </c>
      <c r="I38" s="66" t="str">
        <f>IF($E38="","",IF($G38&lt;&gt;"","Pago",IF($F38="","Pendente",IF('Config'!$C$9&gt;$F38,"Atrasado","Pendente"))))</f>
        <v>Pago</v>
      </c>
      <c r="J38" s="126">
        <f>IF($I38="Atrasado",'Config'!$C$9-$F38,"")</f>
        <v/>
      </c>
      <c r="K38" s="127">
        <f>IF(AND($E38&lt;&gt;"",$G38=""),$E38,0)</f>
        <v>0</v>
      </c>
      <c r="L38" s="127">
        <f>IF($I38="Atrasado",$E38,0)</f>
        <v>0</v>
      </c>
      <c r="M38" s="128">
        <f>IF($I38="Atrasado",$J38+ROW()/1000000,0)</f>
        <v>0</v>
      </c>
    </row>
    <row r="39" spans="2:13" ht="16.5" customHeight="1">
      <c r="B39" s="63">
        <v>46225</v>
      </c>
      <c r="C39" s="64" t="s">
        <v>297</v>
      </c>
      <c r="D39" s="64" t="s">
        <v>356</v>
      </c>
      <c r="E39" s="65">
        <v>1700</v>
      </c>
      <c r="F39" s="63">
        <v>46240</v>
      </c>
      <c r="G39" s="63">
        <v>46237</v>
      </c>
      <c r="H39" s="64" t="s">
        <v>54</v>
      </c>
      <c r="I39" s="66" t="str">
        <f>IF($E39="","",IF($G39&lt;&gt;"","Pago",IF($F39="","Pendente",IF('Config'!$C$9&gt;$F39,"Atrasado","Pendente"))))</f>
        <v>Pago</v>
      </c>
      <c r="J39" s="126">
        <f>IF($I39="Atrasado",'Config'!$C$9-$F39,"")</f>
        <v/>
      </c>
      <c r="K39" s="127">
        <f>IF(AND($E39&lt;&gt;"",$G39=""),$E39,0)</f>
        <v>0</v>
      </c>
      <c r="L39" s="127">
        <f>IF($I39="Atrasado",$E39,0)</f>
        <v>0</v>
      </c>
      <c r="M39" s="128">
        <f>IF($I39="Atrasado",$J39+ROW()/1000000,0)</f>
        <v>0</v>
      </c>
    </row>
    <row r="40" spans="2:13" ht="16.5" customHeight="1">
      <c r="B40" s="63">
        <v>46237</v>
      </c>
      <c r="C40" s="64" t="s">
        <v>286</v>
      </c>
      <c r="D40" s="64" t="s">
        <v>357</v>
      </c>
      <c r="E40" s="65">
        <v>1800</v>
      </c>
      <c r="F40" s="63">
        <v>46247</v>
      </c>
      <c r="G40" s="63">
        <v>46252</v>
      </c>
      <c r="H40" s="64" t="s">
        <v>54</v>
      </c>
      <c r="I40" s="66" t="str">
        <f>IF($E40="","",IF($G40&lt;&gt;"","Pago",IF($F40="","Pendente",IF('Config'!$C$9&gt;$F40,"Atrasado","Pendente"))))</f>
        <v>Pago</v>
      </c>
      <c r="J40" s="126">
        <f>IF($I40="Atrasado",'Config'!$C$9-$F40,"")</f>
        <v/>
      </c>
      <c r="K40" s="127">
        <f>IF(AND($E40&lt;&gt;"",$G40=""),$E40,0)</f>
        <v>0</v>
      </c>
      <c r="L40" s="127">
        <f>IF($I40="Atrasado",$E40,0)</f>
        <v>0</v>
      </c>
      <c r="M40" s="128">
        <f>IF($I40="Atrasado",$J40+ROW()/1000000,0)</f>
        <v>0</v>
      </c>
    </row>
    <row r="41" spans="2:13" ht="16.5" customHeight="1">
      <c r="B41" s="63">
        <v>46238</v>
      </c>
      <c r="C41" s="64" t="s">
        <v>305</v>
      </c>
      <c r="D41" s="64" t="s">
        <v>358</v>
      </c>
      <c r="E41" s="65">
        <v>1650</v>
      </c>
      <c r="F41" s="63">
        <v>46253</v>
      </c>
      <c r="G41" s="63">
        <v>46250</v>
      </c>
      <c r="H41" s="64" t="s">
        <v>54</v>
      </c>
      <c r="I41" s="66" t="str">
        <f>IF($E41="","",IF($G41&lt;&gt;"","Pago",IF($F41="","Pendente",IF('Config'!$C$9&gt;$F41,"Atrasado","Pendente"))))</f>
        <v>Pago</v>
      </c>
      <c r="J41" s="126">
        <f>IF($I41="Atrasado",'Config'!$C$9-$F41,"")</f>
        <v/>
      </c>
      <c r="K41" s="127">
        <f>IF(AND($E41&lt;&gt;"",$G41=""),$E41,0)</f>
        <v>0</v>
      </c>
      <c r="L41" s="127">
        <f>IF($I41="Atrasado",$E41,0)</f>
        <v>0</v>
      </c>
      <c r="M41" s="128">
        <f>IF($I41="Atrasado",$J41+ROW()/1000000,0)</f>
        <v>0</v>
      </c>
    </row>
    <row r="42" spans="2:13" ht="16.5" customHeight="1">
      <c r="B42" s="63">
        <v>46239</v>
      </c>
      <c r="C42" s="64" t="s">
        <v>290</v>
      </c>
      <c r="D42" s="64" t="s">
        <v>359</v>
      </c>
      <c r="E42" s="65">
        <v>1500</v>
      </c>
      <c r="F42" s="63">
        <v>46249</v>
      </c>
      <c r="G42" s="63">
        <v>46254</v>
      </c>
      <c r="H42" s="64" t="s">
        <v>54</v>
      </c>
      <c r="I42" s="66" t="str">
        <f>IF($E42="","",IF($G42&lt;&gt;"","Pago",IF($F42="","Pendente",IF('Config'!$C$9&gt;$F42,"Atrasado","Pendente"))))</f>
        <v>Pago</v>
      </c>
      <c r="J42" s="126">
        <f>IF($I42="Atrasado",'Config'!$C$9-$F42,"")</f>
        <v/>
      </c>
      <c r="K42" s="127">
        <f>IF(AND($E42&lt;&gt;"",$G42=""),$E42,0)</f>
        <v>0</v>
      </c>
      <c r="L42" s="127">
        <f>IF($I42="Atrasado",$E42,0)</f>
        <v>0</v>
      </c>
      <c r="M42" s="128">
        <f>IF($I42="Atrasado",$J42+ROW()/1000000,0)</f>
        <v>0</v>
      </c>
    </row>
    <row r="43" spans="2:13" ht="16.5" customHeight="1">
      <c r="B43" s="63">
        <v>46242</v>
      </c>
      <c r="C43" s="64" t="s">
        <v>294</v>
      </c>
      <c r="D43" s="64" t="s">
        <v>360</v>
      </c>
      <c r="E43" s="65">
        <v>650</v>
      </c>
      <c r="F43" s="63">
        <v>46252</v>
      </c>
      <c r="G43" s="63">
        <v>46249</v>
      </c>
      <c r="H43" s="64" t="s">
        <v>54</v>
      </c>
      <c r="I43" s="66" t="str">
        <f>IF($E43="","",IF($G43&lt;&gt;"","Pago",IF($F43="","Pendente",IF('Config'!$C$9&gt;$F43,"Atrasado","Pendente"))))</f>
        <v>Pago</v>
      </c>
      <c r="J43" s="126">
        <f>IF($I43="Atrasado",'Config'!$C$9-$F43,"")</f>
        <v/>
      </c>
      <c r="K43" s="127">
        <f>IF(AND($E43&lt;&gt;"",$G43=""),$E43,0)</f>
        <v>0</v>
      </c>
      <c r="L43" s="127">
        <f>IF($I43="Atrasado",$E43,0)</f>
        <v>0</v>
      </c>
      <c r="M43" s="128">
        <f>IF($I43="Atrasado",$J43+ROW()/1000000,0)</f>
        <v>0</v>
      </c>
    </row>
    <row r="44" spans="2:13" ht="16.5" customHeight="1">
      <c r="B44" s="63">
        <v>46246</v>
      </c>
      <c r="C44" s="64" t="s">
        <v>308</v>
      </c>
      <c r="D44" s="64" t="s">
        <v>361</v>
      </c>
      <c r="E44" s="65">
        <v>480</v>
      </c>
      <c r="F44" s="63">
        <v>46261</v>
      </c>
      <c r="H44" s="64" t="s">
        <v>54</v>
      </c>
      <c r="I44" s="66" t="str">
        <f>IF($E44="","",IF($G44&lt;&gt;"","Pago",IF($F44="","Pendente",IF('Config'!$C$9&gt;$F44,"Atrasado","Pendente"))))</f>
        <v>Atrasado</v>
      </c>
      <c r="J44" s="126">
        <f>IF($I44="Atrasado",'Config'!$C$9-$F44,"")</f>
        <v>34</v>
      </c>
      <c r="K44" s="127">
        <f>IF(AND($E44&lt;&gt;"",$G44=""),$E44,0)</f>
        <v>480</v>
      </c>
      <c r="L44" s="127">
        <f>IF($I44="Atrasado",$E44,0)</f>
        <v>480</v>
      </c>
      <c r="M44" s="128">
        <f>IF($I44="Atrasado",$J44+ROW()/1000000,0)</f>
        <v>34.000044</v>
      </c>
    </row>
    <row r="45" spans="2:13" ht="16.5" customHeight="1">
      <c r="B45" s="63">
        <v>46252</v>
      </c>
      <c r="C45" s="64" t="s">
        <v>301</v>
      </c>
      <c r="D45" s="64" t="s">
        <v>362</v>
      </c>
      <c r="E45" s="65">
        <v>2200</v>
      </c>
      <c r="F45" s="63">
        <v>46267</v>
      </c>
      <c r="G45" s="63">
        <v>46266</v>
      </c>
      <c r="H45" s="64" t="s">
        <v>54</v>
      </c>
      <c r="I45" s="66" t="str">
        <f>IF($E45="","",IF($G45&lt;&gt;"","Pago",IF($F45="","Pendente",IF('Config'!$C$9&gt;$F45,"Atrasado","Pendente"))))</f>
        <v>Pago</v>
      </c>
      <c r="J45" s="126">
        <f>IF($I45="Atrasado",'Config'!$C$9-$F45,"")</f>
        <v/>
      </c>
      <c r="K45" s="127">
        <f>IF(AND($E45&lt;&gt;"",$G45=""),$E45,0)</f>
        <v>0</v>
      </c>
      <c r="L45" s="127">
        <f>IF($I45="Atrasado",$E45,0)</f>
        <v>0</v>
      </c>
      <c r="M45" s="128">
        <f>IF($I45="Atrasado",$J45+ROW()/1000000,0)</f>
        <v>0</v>
      </c>
    </row>
    <row r="46" spans="2:13" ht="16.5" customHeight="1">
      <c r="B46" s="63">
        <v>46267</v>
      </c>
      <c r="C46" s="64" t="s">
        <v>301</v>
      </c>
      <c r="D46" s="64" t="s">
        <v>363</v>
      </c>
      <c r="E46" s="65">
        <v>2200</v>
      </c>
      <c r="F46" s="63">
        <v>46282</v>
      </c>
      <c r="G46" s="63">
        <v>46281</v>
      </c>
      <c r="H46" s="64" t="s">
        <v>54</v>
      </c>
      <c r="I46" s="66" t="str">
        <f>IF($E46="","",IF($G46&lt;&gt;"","Pago",IF($F46="","Pendente",IF('Config'!$C$9&gt;$F46,"Atrasado","Pendente"))))</f>
        <v>Pago</v>
      </c>
      <c r="J46" s="126">
        <f>IF($I46="Atrasado",'Config'!$C$9-$F46,"")</f>
        <v/>
      </c>
      <c r="K46" s="127">
        <f>IF(AND($E46&lt;&gt;"",$G46=""),$E46,0)</f>
        <v>0</v>
      </c>
      <c r="L46" s="127">
        <f>IF($I46="Atrasado",$E46,0)</f>
        <v>0</v>
      </c>
      <c r="M46" s="128">
        <f>IF($I46="Atrasado",$J46+ROW()/1000000,0)</f>
        <v>0</v>
      </c>
    </row>
    <row r="47" spans="2:13" ht="16.5" customHeight="1">
      <c r="B47" s="63">
        <v>46268</v>
      </c>
      <c r="C47" s="64" t="s">
        <v>286</v>
      </c>
      <c r="D47" s="64" t="s">
        <v>364</v>
      </c>
      <c r="E47" s="65">
        <v>1800</v>
      </c>
      <c r="F47" s="63">
        <v>46278</v>
      </c>
      <c r="H47" s="64" t="s">
        <v>54</v>
      </c>
      <c r="I47" s="66" t="str">
        <f>IF($E47="","",IF($G47&lt;&gt;"","Pago",IF($F47="","Pendente",IF('Config'!$C$9&gt;$F47,"Atrasado","Pendente"))))</f>
        <v>Atrasado</v>
      </c>
      <c r="J47" s="126">
        <f>IF($I47="Atrasado",'Config'!$C$9-$F47,"")</f>
        <v>17</v>
      </c>
      <c r="K47" s="127">
        <f>IF(AND($E47&lt;&gt;"",$G47=""),$E47,0)</f>
        <v>1800</v>
      </c>
      <c r="L47" s="127">
        <f>IF($I47="Atrasado",$E47,0)</f>
        <v>1800</v>
      </c>
      <c r="M47" s="128">
        <f>IF($I47="Atrasado",$J47+ROW()/1000000,0)</f>
        <v>17.000047</v>
      </c>
    </row>
    <row r="48" spans="2:13" ht="16.5" customHeight="1">
      <c r="B48" s="63">
        <v>46270</v>
      </c>
      <c r="C48" s="64" t="s">
        <v>290</v>
      </c>
      <c r="D48" s="64" t="s">
        <v>365</v>
      </c>
      <c r="E48" s="65">
        <v>1500</v>
      </c>
      <c r="F48" s="63">
        <v>46280</v>
      </c>
      <c r="H48" s="64" t="s">
        <v>54</v>
      </c>
      <c r="I48" s="66" t="str">
        <f>IF($E48="","",IF($G48&lt;&gt;"","Pago",IF($F48="","Pendente",IF('Config'!$C$9&gt;$F48,"Atrasado","Pendente"))))</f>
        <v>Atrasado</v>
      </c>
      <c r="J48" s="126">
        <f>IF($I48="Atrasado",'Config'!$C$9-$F48,"")</f>
        <v>15</v>
      </c>
      <c r="K48" s="127">
        <f>IF(AND($E48&lt;&gt;"",$G48=""),$E48,0)</f>
        <v>1500</v>
      </c>
      <c r="L48" s="127">
        <f>IF($I48="Atrasado",$E48,0)</f>
        <v>1500</v>
      </c>
      <c r="M48" s="128">
        <f>IF($I48="Atrasado",$J48+ROW()/1000000,0)</f>
        <v>15.000048</v>
      </c>
    </row>
    <row r="49" spans="2:13" ht="16.5" customHeight="1">
      <c r="B49" s="63">
        <v>46273</v>
      </c>
      <c r="C49" s="64" t="s">
        <v>294</v>
      </c>
      <c r="D49" s="64" t="s">
        <v>366</v>
      </c>
      <c r="E49" s="65">
        <v>650</v>
      </c>
      <c r="F49" s="63">
        <v>46283</v>
      </c>
      <c r="H49" s="64" t="s">
        <v>54</v>
      </c>
      <c r="I49" s="66" t="str">
        <f>IF($E49="","",IF($G49&lt;&gt;"","Pago",IF($F49="","Pendente",IF('Config'!$C$9&gt;$F49,"Atrasado","Pendente"))))</f>
        <v>Atrasado</v>
      </c>
      <c r="J49" s="126">
        <f>IF($I49="Atrasado",'Config'!$C$9-$F49,"")</f>
        <v>12</v>
      </c>
      <c r="K49" s="127">
        <f>IF(AND($E49&lt;&gt;"",$G49=""),$E49,0)</f>
        <v>650</v>
      </c>
      <c r="L49" s="127">
        <f>IF($I49="Atrasado",$E49,0)</f>
        <v>650</v>
      </c>
      <c r="M49" s="128">
        <f>IF($I49="Atrasado",$J49+ROW()/1000000,0)</f>
        <v>12.000049</v>
      </c>
    </row>
    <row r="50" spans="2:13" ht="16.5" customHeight="1">
      <c r="B50" s="63">
        <v>46274</v>
      </c>
      <c r="C50" s="64" t="s">
        <v>311</v>
      </c>
      <c r="D50" s="64" t="s">
        <v>367</v>
      </c>
      <c r="E50" s="65">
        <v>1500</v>
      </c>
      <c r="F50" s="63">
        <v>46289</v>
      </c>
      <c r="G50" s="63">
        <v>46291</v>
      </c>
      <c r="H50" s="64" t="s">
        <v>54</v>
      </c>
      <c r="I50" s="66" t="str">
        <f>IF($E50="","",IF($G50&lt;&gt;"","Pago",IF($F50="","Pendente",IF('Config'!$C$9&gt;$F50,"Atrasado","Pendente"))))</f>
        <v>Pago</v>
      </c>
      <c r="J50" s="126">
        <f>IF($I50="Atrasado",'Config'!$C$9-$F50,"")</f>
        <v/>
      </c>
      <c r="K50" s="127">
        <f>IF(AND($E50&lt;&gt;"",$G50=""),$E50,0)</f>
        <v>0</v>
      </c>
      <c r="L50" s="127">
        <f>IF($I50="Atrasado",$E50,0)</f>
        <v>0</v>
      </c>
      <c r="M50" s="128">
        <f>IF($I50="Atrasado",$J50+ROW()/1000000,0)</f>
        <v>0</v>
      </c>
    </row>
    <row r="51" spans="2:13" ht="16.5" customHeight="1">
      <c r="B51" s="63">
        <v>46289</v>
      </c>
      <c r="C51" s="64" t="s">
        <v>297</v>
      </c>
      <c r="D51" s="64" t="s">
        <v>368</v>
      </c>
      <c r="E51" s="65">
        <v>900</v>
      </c>
      <c r="F51" s="63">
        <v>46309</v>
      </c>
      <c r="H51" s="64" t="s">
        <v>54</v>
      </c>
      <c r="I51" s="66" t="str">
        <f>IF($E51="","",IF($G51&lt;&gt;"","Pago",IF($F51="","Pendente",IF('Config'!$C$9&gt;$F51,"Atrasado","Pendente"))))</f>
        <v>Pendente</v>
      </c>
      <c r="J51" s="126">
        <f>IF($I51="Atrasado",'Config'!$C$9-$F51,"")</f>
        <v/>
      </c>
      <c r="K51" s="127">
        <f>IF(AND($E51&lt;&gt;"",$G51=""),$E51,0)</f>
        <v>900</v>
      </c>
      <c r="L51" s="127">
        <f>IF($I51="Atrasado",$E51,0)</f>
        <v>0</v>
      </c>
      <c r="M51" s="128">
        <f>IF($I51="Atrasado",$J51+ROW()/1000000,0)</f>
        <v>0</v>
      </c>
    </row>
    <row r="52" spans="2:13" ht="16.5" customHeight="1">
      <c r="B52" s="63">
        <v>46293</v>
      </c>
      <c r="C52" s="64" t="s">
        <v>305</v>
      </c>
      <c r="D52" s="64" t="s">
        <v>369</v>
      </c>
      <c r="E52" s="65">
        <v>1400</v>
      </c>
      <c r="F52" s="63">
        <v>46318</v>
      </c>
      <c r="H52" s="64" t="s">
        <v>54</v>
      </c>
      <c r="I52" s="66" t="str">
        <f>IF($E52="","",IF($G52&lt;&gt;"","Pago",IF($F52="","Pendente",IF('Config'!$C$9&gt;$F52,"Atrasado","Pendente"))))</f>
        <v>Pendente</v>
      </c>
      <c r="J52" s="126">
        <f>IF($I52="Atrasado",'Config'!$C$9-$F52,"")</f>
        <v/>
      </c>
      <c r="K52" s="127">
        <f>IF(AND($E52&lt;&gt;"",$G52=""),$E52,0)</f>
        <v>1400</v>
      </c>
      <c r="L52" s="127">
        <f>IF($I52="Atrasado",$E52,0)</f>
        <v>0</v>
      </c>
      <c r="M52" s="128">
        <f>IF($I52="Atrasado",$J52+ROW()/1000000,0)</f>
        <v>0</v>
      </c>
    </row>
    <row r="53" spans="2:13" ht="16.5" customHeight="1">
      <c r="I53" s="66">
        <f>IF($E53="","",IF($G53&lt;&gt;"","Pago",IF($F53="","Pendente",IF('Config'!$C$9&gt;$F53,"Atrasado","Pendente"))))</f>
        <v/>
      </c>
      <c r="J53" s="126">
        <f>IF($I53="Atrasado",'Config'!$C$9-$F53,"")</f>
        <v/>
      </c>
      <c r="K53" s="127">
        <f>IF(AND($E53&lt;&gt;"",$G53=""),$E53,0)</f>
        <v>0</v>
      </c>
      <c r="L53" s="127">
        <f>IF($I53="Atrasado",$E53,0)</f>
        <v>0</v>
      </c>
      <c r="M53" s="128">
        <f>IF($I53="Atrasado",$J53+ROW()/1000000,0)</f>
        <v>0</v>
      </c>
    </row>
    <row r="54" spans="2:13" ht="16.5" customHeight="1">
      <c r="I54" s="66">
        <f>IF($E54="","",IF($G54&lt;&gt;"","Pago",IF($F54="","Pendente",IF('Config'!$C$9&gt;$F54,"Atrasado","Pendente"))))</f>
        <v/>
      </c>
      <c r="J54" s="126">
        <f>IF($I54="Atrasado",'Config'!$C$9-$F54,"")</f>
        <v/>
      </c>
      <c r="K54" s="127">
        <f>IF(AND($E54&lt;&gt;"",$G54=""),$E54,0)</f>
        <v>0</v>
      </c>
      <c r="L54" s="127">
        <f>IF($I54="Atrasado",$E54,0)</f>
        <v>0</v>
      </c>
      <c r="M54" s="128">
        <f>IF($I54="Atrasado",$J54+ROW()/1000000,0)</f>
        <v>0</v>
      </c>
    </row>
    <row r="55" spans="2:13" ht="16.5" customHeight="1">
      <c r="I55" s="66">
        <f>IF($E55="","",IF($G55&lt;&gt;"","Pago",IF($F55="","Pendente",IF('Config'!$C$9&gt;$F55,"Atrasado","Pendente"))))</f>
        <v/>
      </c>
      <c r="J55" s="126">
        <f>IF($I55="Atrasado",'Config'!$C$9-$F55,"")</f>
        <v/>
      </c>
      <c r="K55" s="127">
        <f>IF(AND($E55&lt;&gt;"",$G55=""),$E55,0)</f>
        <v>0</v>
      </c>
      <c r="L55" s="127">
        <f>IF($I55="Atrasado",$E55,0)</f>
        <v>0</v>
      </c>
      <c r="M55" s="128">
        <f>IF($I55="Atrasado",$J55+ROW()/1000000,0)</f>
        <v>0</v>
      </c>
    </row>
    <row r="56" spans="2:13" ht="16.5" customHeight="1">
      <c r="I56" s="66">
        <f>IF($E56="","",IF($G56&lt;&gt;"","Pago",IF($F56="","Pendente",IF('Config'!$C$9&gt;$F56,"Atrasado","Pendente"))))</f>
        <v/>
      </c>
      <c r="J56" s="126">
        <f>IF($I56="Atrasado",'Config'!$C$9-$F56,"")</f>
        <v/>
      </c>
      <c r="K56" s="127">
        <f>IF(AND($E56&lt;&gt;"",$G56=""),$E56,0)</f>
        <v>0</v>
      </c>
      <c r="L56" s="127">
        <f>IF($I56="Atrasado",$E56,0)</f>
        <v>0</v>
      </c>
      <c r="M56" s="128">
        <f>IF($I56="Atrasado",$J56+ROW()/1000000,0)</f>
        <v>0</v>
      </c>
    </row>
    <row r="57" spans="2:13" ht="16.5" customHeight="1">
      <c r="I57" s="66">
        <f>IF($E57="","",IF($G57&lt;&gt;"","Pago",IF($F57="","Pendente",IF('Config'!$C$9&gt;$F57,"Atrasado","Pendente"))))</f>
        <v/>
      </c>
      <c r="J57" s="126">
        <f>IF($I57="Atrasado",'Config'!$C$9-$F57,"")</f>
        <v/>
      </c>
      <c r="K57" s="127">
        <f>IF(AND($E57&lt;&gt;"",$G57=""),$E57,0)</f>
        <v>0</v>
      </c>
      <c r="L57" s="127">
        <f>IF($I57="Atrasado",$E57,0)</f>
        <v>0</v>
      </c>
      <c r="M57" s="128">
        <f>IF($I57="Atrasado",$J57+ROW()/1000000,0)</f>
        <v>0</v>
      </c>
    </row>
    <row r="58" spans="2:13" ht="16.5" customHeight="1">
      <c r="I58" s="66">
        <f>IF($E58="","",IF($G58&lt;&gt;"","Pago",IF($F58="","Pendente",IF('Config'!$C$9&gt;$F58,"Atrasado","Pendente"))))</f>
        <v/>
      </c>
      <c r="J58" s="126">
        <f>IF($I58="Atrasado",'Config'!$C$9-$F58,"")</f>
        <v/>
      </c>
      <c r="K58" s="127">
        <f>IF(AND($E58&lt;&gt;"",$G58=""),$E58,0)</f>
        <v>0</v>
      </c>
      <c r="L58" s="127">
        <f>IF($I58="Atrasado",$E58,0)</f>
        <v>0</v>
      </c>
      <c r="M58" s="128">
        <f>IF($I58="Atrasado",$J58+ROW()/1000000,0)</f>
        <v>0</v>
      </c>
    </row>
    <row r="59" spans="2:13" ht="16.5" customHeight="1">
      <c r="I59" s="66">
        <f>IF($E59="","",IF($G59&lt;&gt;"","Pago",IF($F59="","Pendente",IF('Config'!$C$9&gt;$F59,"Atrasado","Pendente"))))</f>
        <v/>
      </c>
      <c r="J59" s="126">
        <f>IF($I59="Atrasado",'Config'!$C$9-$F59,"")</f>
        <v/>
      </c>
      <c r="K59" s="127">
        <f>IF(AND($E59&lt;&gt;"",$G59=""),$E59,0)</f>
        <v>0</v>
      </c>
      <c r="L59" s="127">
        <f>IF($I59="Atrasado",$E59,0)</f>
        <v>0</v>
      </c>
      <c r="M59" s="128">
        <f>IF($I59="Atrasado",$J59+ROW()/1000000,0)</f>
        <v>0</v>
      </c>
    </row>
    <row r="60" spans="2:13" ht="16.5" customHeight="1">
      <c r="I60" s="66">
        <f>IF($E60="","",IF($G60&lt;&gt;"","Pago",IF($F60="","Pendente",IF('Config'!$C$9&gt;$F60,"Atrasado","Pendente"))))</f>
        <v/>
      </c>
      <c r="J60" s="126">
        <f>IF($I60="Atrasado",'Config'!$C$9-$F60,"")</f>
        <v/>
      </c>
      <c r="K60" s="127">
        <f>IF(AND($E60&lt;&gt;"",$G60=""),$E60,0)</f>
        <v>0</v>
      </c>
      <c r="L60" s="127">
        <f>IF($I60="Atrasado",$E60,0)</f>
        <v>0</v>
      </c>
      <c r="M60" s="128">
        <f>IF($I60="Atrasado",$J60+ROW()/1000000,0)</f>
        <v>0</v>
      </c>
    </row>
    <row r="61" spans="2:13" ht="16.5" customHeight="1">
      <c r="I61" s="66">
        <f>IF($E61="","",IF($G61&lt;&gt;"","Pago",IF($F61="","Pendente",IF('Config'!$C$9&gt;$F61,"Atrasado","Pendente"))))</f>
        <v/>
      </c>
      <c r="J61" s="126">
        <f>IF($I61="Atrasado",'Config'!$C$9-$F61,"")</f>
        <v/>
      </c>
      <c r="K61" s="127">
        <f>IF(AND($E61&lt;&gt;"",$G61=""),$E61,0)</f>
        <v>0</v>
      </c>
      <c r="L61" s="127">
        <f>IF($I61="Atrasado",$E61,0)</f>
        <v>0</v>
      </c>
      <c r="M61" s="128">
        <f>IF($I61="Atrasado",$J61+ROW()/1000000,0)</f>
        <v>0</v>
      </c>
    </row>
    <row r="62" spans="2:13" ht="16.5" customHeight="1">
      <c r="I62" s="66">
        <f>IF($E62="","",IF($G62&lt;&gt;"","Pago",IF($F62="","Pendente",IF('Config'!$C$9&gt;$F62,"Atrasado","Pendente"))))</f>
        <v/>
      </c>
      <c r="J62" s="126">
        <f>IF($I62="Atrasado",'Config'!$C$9-$F62,"")</f>
        <v/>
      </c>
      <c r="K62" s="127">
        <f>IF(AND($E62&lt;&gt;"",$G62=""),$E62,0)</f>
        <v>0</v>
      </c>
      <c r="L62" s="127">
        <f>IF($I62="Atrasado",$E62,0)</f>
        <v>0</v>
      </c>
      <c r="M62" s="128">
        <f>IF($I62="Atrasado",$J62+ROW()/1000000,0)</f>
        <v>0</v>
      </c>
    </row>
    <row r="63" spans="2:13" ht="16.5" customHeight="1">
      <c r="I63" s="66">
        <f>IF($E63="","",IF($G63&lt;&gt;"","Pago",IF($F63="","Pendente",IF('Config'!$C$9&gt;$F63,"Atrasado","Pendente"))))</f>
        <v/>
      </c>
      <c r="J63" s="126">
        <f>IF($I63="Atrasado",'Config'!$C$9-$F63,"")</f>
        <v/>
      </c>
      <c r="K63" s="127">
        <f>IF(AND($E63&lt;&gt;"",$G63=""),$E63,0)</f>
        <v>0</v>
      </c>
      <c r="L63" s="127">
        <f>IF($I63="Atrasado",$E63,0)</f>
        <v>0</v>
      </c>
      <c r="M63" s="128">
        <f>IF($I63="Atrasado",$J63+ROW()/1000000,0)</f>
        <v>0</v>
      </c>
    </row>
    <row r="64" spans="2:13" ht="16.5" customHeight="1">
      <c r="I64" s="66">
        <f>IF($E64="","",IF($G64&lt;&gt;"","Pago",IF($F64="","Pendente",IF('Config'!$C$9&gt;$F64,"Atrasado","Pendente"))))</f>
        <v/>
      </c>
      <c r="J64" s="126">
        <f>IF($I64="Atrasado",'Config'!$C$9-$F64,"")</f>
        <v/>
      </c>
      <c r="K64" s="127">
        <f>IF(AND($E64&lt;&gt;"",$G64=""),$E64,0)</f>
        <v>0</v>
      </c>
      <c r="L64" s="127">
        <f>IF($I64="Atrasado",$E64,0)</f>
        <v>0</v>
      </c>
      <c r="M64" s="128">
        <f>IF($I64="Atrasado",$J64+ROW()/1000000,0)</f>
        <v>0</v>
      </c>
    </row>
    <row r="65" spans="9:13" ht="16.5" customHeight="1">
      <c r="I65" s="66">
        <f>IF($E65="","",IF($G65&lt;&gt;"","Pago",IF($F65="","Pendente",IF('Config'!$C$9&gt;$F65,"Atrasado","Pendente"))))</f>
        <v/>
      </c>
      <c r="J65" s="126">
        <f>IF($I65="Atrasado",'Config'!$C$9-$F65,"")</f>
        <v/>
      </c>
      <c r="K65" s="127">
        <f>IF(AND($E65&lt;&gt;"",$G65=""),$E65,0)</f>
        <v>0</v>
      </c>
      <c r="L65" s="127">
        <f>IF($I65="Atrasado",$E65,0)</f>
        <v>0</v>
      </c>
      <c r="M65" s="128">
        <f>IF($I65="Atrasado",$J65+ROW()/1000000,0)</f>
        <v>0</v>
      </c>
    </row>
    <row r="66" spans="9:13" ht="16.5" customHeight="1">
      <c r="I66" s="66">
        <f>IF($E66="","",IF($G66&lt;&gt;"","Pago",IF($F66="","Pendente",IF('Config'!$C$9&gt;$F66,"Atrasado","Pendente"))))</f>
        <v/>
      </c>
      <c r="J66" s="126">
        <f>IF($I66="Atrasado",'Config'!$C$9-$F66,"")</f>
        <v/>
      </c>
      <c r="K66" s="127">
        <f>IF(AND($E66&lt;&gt;"",$G66=""),$E66,0)</f>
        <v>0</v>
      </c>
      <c r="L66" s="127">
        <f>IF($I66="Atrasado",$E66,0)</f>
        <v>0</v>
      </c>
      <c r="M66" s="128">
        <f>IF($I66="Atrasado",$J66+ROW()/1000000,0)</f>
        <v>0</v>
      </c>
    </row>
    <row r="67" spans="9:13" ht="16.5" customHeight="1">
      <c r="I67" s="66">
        <f>IF($E67="","",IF($G67&lt;&gt;"","Pago",IF($F67="","Pendente",IF('Config'!$C$9&gt;$F67,"Atrasado","Pendente"))))</f>
        <v/>
      </c>
      <c r="J67" s="126">
        <f>IF($I67="Atrasado",'Config'!$C$9-$F67,"")</f>
        <v/>
      </c>
      <c r="K67" s="127">
        <f>IF(AND($E67&lt;&gt;"",$G67=""),$E67,0)</f>
        <v>0</v>
      </c>
      <c r="L67" s="127">
        <f>IF($I67="Atrasado",$E67,0)</f>
        <v>0</v>
      </c>
      <c r="M67" s="128">
        <f>IF($I67="Atrasado",$J67+ROW()/1000000,0)</f>
        <v>0</v>
      </c>
    </row>
    <row r="68" spans="9:13" ht="16.5" customHeight="1">
      <c r="I68" s="66">
        <f>IF($E68="","",IF($G68&lt;&gt;"","Pago",IF($F68="","Pendente",IF('Config'!$C$9&gt;$F68,"Atrasado","Pendente"))))</f>
        <v/>
      </c>
      <c r="J68" s="126">
        <f>IF($I68="Atrasado",'Config'!$C$9-$F68,"")</f>
        <v/>
      </c>
      <c r="K68" s="127">
        <f>IF(AND($E68&lt;&gt;"",$G68=""),$E68,0)</f>
        <v>0</v>
      </c>
      <c r="L68" s="127">
        <f>IF($I68="Atrasado",$E68,0)</f>
        <v>0</v>
      </c>
      <c r="M68" s="128">
        <f>IF($I68="Atrasado",$J68+ROW()/1000000,0)</f>
        <v>0</v>
      </c>
    </row>
    <row r="69" spans="9:13" ht="16.5" customHeight="1">
      <c r="I69" s="66">
        <f>IF($E69="","",IF($G69&lt;&gt;"","Pago",IF($F69="","Pendente",IF('Config'!$C$9&gt;$F69,"Atrasado","Pendente"))))</f>
        <v/>
      </c>
      <c r="J69" s="126">
        <f>IF($I69="Atrasado",'Config'!$C$9-$F69,"")</f>
        <v/>
      </c>
      <c r="K69" s="127">
        <f>IF(AND($E69&lt;&gt;"",$G69=""),$E69,0)</f>
        <v>0</v>
      </c>
      <c r="L69" s="127">
        <f>IF($I69="Atrasado",$E69,0)</f>
        <v>0</v>
      </c>
      <c r="M69" s="128">
        <f>IF($I69="Atrasado",$J69+ROW()/1000000,0)</f>
        <v>0</v>
      </c>
    </row>
    <row r="70" spans="9:13" ht="16.5" customHeight="1">
      <c r="I70" s="66">
        <f>IF($E70="","",IF($G70&lt;&gt;"","Pago",IF($F70="","Pendente",IF('Config'!$C$9&gt;$F70,"Atrasado","Pendente"))))</f>
        <v/>
      </c>
      <c r="J70" s="126">
        <f>IF($I70="Atrasado",'Config'!$C$9-$F70,"")</f>
        <v/>
      </c>
      <c r="K70" s="127">
        <f>IF(AND($E70&lt;&gt;"",$G70=""),$E70,0)</f>
        <v>0</v>
      </c>
      <c r="L70" s="127">
        <f>IF($I70="Atrasado",$E70,0)</f>
        <v>0</v>
      </c>
      <c r="M70" s="128">
        <f>IF($I70="Atrasado",$J70+ROW()/1000000,0)</f>
        <v>0</v>
      </c>
    </row>
    <row r="71" spans="9:13" ht="16.5" customHeight="1">
      <c r="I71" s="66">
        <f>IF($E71="","",IF($G71&lt;&gt;"","Pago",IF($F71="","Pendente",IF('Config'!$C$9&gt;$F71,"Atrasado","Pendente"))))</f>
        <v/>
      </c>
      <c r="J71" s="126">
        <f>IF($I71="Atrasado",'Config'!$C$9-$F71,"")</f>
        <v/>
      </c>
      <c r="K71" s="127">
        <f>IF(AND($E71&lt;&gt;"",$G71=""),$E71,0)</f>
        <v>0</v>
      </c>
      <c r="L71" s="127">
        <f>IF($I71="Atrasado",$E71,0)</f>
        <v>0</v>
      </c>
      <c r="M71" s="128">
        <f>IF($I71="Atrasado",$J71+ROW()/1000000,0)</f>
        <v>0</v>
      </c>
    </row>
    <row r="72" spans="9:13" ht="16.5" customHeight="1">
      <c r="I72" s="66">
        <f>IF($E72="","",IF($G72&lt;&gt;"","Pago",IF($F72="","Pendente",IF('Config'!$C$9&gt;$F72,"Atrasado","Pendente"))))</f>
        <v/>
      </c>
      <c r="J72" s="126">
        <f>IF($I72="Atrasado",'Config'!$C$9-$F72,"")</f>
        <v/>
      </c>
      <c r="K72" s="127">
        <f>IF(AND($E72&lt;&gt;"",$G72=""),$E72,0)</f>
        <v>0</v>
      </c>
      <c r="L72" s="127">
        <f>IF($I72="Atrasado",$E72,0)</f>
        <v>0</v>
      </c>
      <c r="M72" s="128">
        <f>IF($I72="Atrasado",$J72+ROW()/1000000,0)</f>
        <v>0</v>
      </c>
    </row>
    <row r="73" spans="9:13" ht="16.5" customHeight="1">
      <c r="I73" s="66">
        <f>IF($E73="","",IF($G73&lt;&gt;"","Pago",IF($F73="","Pendente",IF('Config'!$C$9&gt;$F73,"Atrasado","Pendente"))))</f>
        <v/>
      </c>
      <c r="J73" s="126">
        <f>IF($I73="Atrasado",'Config'!$C$9-$F73,"")</f>
        <v/>
      </c>
      <c r="K73" s="127">
        <f>IF(AND($E73&lt;&gt;"",$G73=""),$E73,0)</f>
        <v>0</v>
      </c>
      <c r="L73" s="127">
        <f>IF($I73="Atrasado",$E73,0)</f>
        <v>0</v>
      </c>
      <c r="M73" s="128">
        <f>IF($I73="Atrasado",$J73+ROW()/1000000,0)</f>
        <v>0</v>
      </c>
    </row>
    <row r="74" spans="9:13" ht="16.5" customHeight="1">
      <c r="I74" s="66">
        <f>IF($E74="","",IF($G74&lt;&gt;"","Pago",IF($F74="","Pendente",IF('Config'!$C$9&gt;$F74,"Atrasado","Pendente"))))</f>
        <v/>
      </c>
      <c r="J74" s="126">
        <f>IF($I74="Atrasado",'Config'!$C$9-$F74,"")</f>
        <v/>
      </c>
      <c r="K74" s="127">
        <f>IF(AND($E74&lt;&gt;"",$G74=""),$E74,0)</f>
        <v>0</v>
      </c>
      <c r="L74" s="127">
        <f>IF($I74="Atrasado",$E74,0)</f>
        <v>0</v>
      </c>
      <c r="M74" s="128">
        <f>IF($I74="Atrasado",$J74+ROW()/1000000,0)</f>
        <v>0</v>
      </c>
    </row>
    <row r="75" spans="9:13" ht="16.5" customHeight="1">
      <c r="I75" s="66">
        <f>IF($E75="","",IF($G75&lt;&gt;"","Pago",IF($F75="","Pendente",IF('Config'!$C$9&gt;$F75,"Atrasado","Pendente"))))</f>
        <v/>
      </c>
      <c r="J75" s="126">
        <f>IF($I75="Atrasado",'Config'!$C$9-$F75,"")</f>
        <v/>
      </c>
      <c r="K75" s="127">
        <f>IF(AND($E75&lt;&gt;"",$G75=""),$E75,0)</f>
        <v>0</v>
      </c>
      <c r="L75" s="127">
        <f>IF($I75="Atrasado",$E75,0)</f>
        <v>0</v>
      </c>
      <c r="M75" s="128">
        <f>IF($I75="Atrasado",$J75+ROW()/1000000,0)</f>
        <v>0</v>
      </c>
    </row>
    <row r="76" spans="9:13" ht="16.5" customHeight="1">
      <c r="I76" s="66">
        <f>IF($E76="","",IF($G76&lt;&gt;"","Pago",IF($F76="","Pendente",IF('Config'!$C$9&gt;$F76,"Atrasado","Pendente"))))</f>
        <v/>
      </c>
      <c r="J76" s="126">
        <f>IF($I76="Atrasado",'Config'!$C$9-$F76,"")</f>
        <v/>
      </c>
      <c r="K76" s="127">
        <f>IF(AND($E76&lt;&gt;"",$G76=""),$E76,0)</f>
        <v>0</v>
      </c>
      <c r="L76" s="127">
        <f>IF($I76="Atrasado",$E76,0)</f>
        <v>0</v>
      </c>
      <c r="M76" s="128">
        <f>IF($I76="Atrasado",$J76+ROW()/1000000,0)</f>
        <v>0</v>
      </c>
    </row>
    <row r="77" spans="9:13" ht="16.5" customHeight="1">
      <c r="I77" s="66">
        <f>IF($E77="","",IF($G77&lt;&gt;"","Pago",IF($F77="","Pendente",IF('Config'!$C$9&gt;$F77,"Atrasado","Pendente"))))</f>
        <v/>
      </c>
      <c r="J77" s="126">
        <f>IF($I77="Atrasado",'Config'!$C$9-$F77,"")</f>
        <v/>
      </c>
      <c r="K77" s="127">
        <f>IF(AND($E77&lt;&gt;"",$G77=""),$E77,0)</f>
        <v>0</v>
      </c>
      <c r="L77" s="127">
        <f>IF($I77="Atrasado",$E77,0)</f>
        <v>0</v>
      </c>
      <c r="M77" s="128">
        <f>IF($I77="Atrasado",$J77+ROW()/1000000,0)</f>
        <v>0</v>
      </c>
    </row>
    <row r="78" spans="9:13" ht="16.5" customHeight="1">
      <c r="I78" s="66">
        <f>IF($E78="","",IF($G78&lt;&gt;"","Pago",IF($F78="","Pendente",IF('Config'!$C$9&gt;$F78,"Atrasado","Pendente"))))</f>
        <v/>
      </c>
      <c r="J78" s="126">
        <f>IF($I78="Atrasado",'Config'!$C$9-$F78,"")</f>
        <v/>
      </c>
      <c r="K78" s="127">
        <f>IF(AND($E78&lt;&gt;"",$G78=""),$E78,0)</f>
        <v>0</v>
      </c>
      <c r="L78" s="127">
        <f>IF($I78="Atrasado",$E78,0)</f>
        <v>0</v>
      </c>
      <c r="M78" s="128">
        <f>IF($I78="Atrasado",$J78+ROW()/1000000,0)</f>
        <v>0</v>
      </c>
    </row>
    <row r="79" spans="9:13" ht="16.5" customHeight="1">
      <c r="I79" s="66">
        <f>IF($E79="","",IF($G79&lt;&gt;"","Pago",IF($F79="","Pendente",IF('Config'!$C$9&gt;$F79,"Atrasado","Pendente"))))</f>
        <v/>
      </c>
      <c r="J79" s="126">
        <f>IF($I79="Atrasado",'Config'!$C$9-$F79,"")</f>
        <v/>
      </c>
      <c r="K79" s="127">
        <f>IF(AND($E79&lt;&gt;"",$G79=""),$E79,0)</f>
        <v>0</v>
      </c>
      <c r="L79" s="127">
        <f>IF($I79="Atrasado",$E79,0)</f>
        <v>0</v>
      </c>
      <c r="M79" s="128">
        <f>IF($I79="Atrasado",$J79+ROW()/1000000,0)</f>
        <v>0</v>
      </c>
    </row>
    <row r="80" spans="9:13" ht="16.5" customHeight="1">
      <c r="I80" s="66">
        <f>IF($E80="","",IF($G80&lt;&gt;"","Pago",IF($F80="","Pendente",IF('Config'!$C$9&gt;$F80,"Atrasado","Pendente"))))</f>
        <v/>
      </c>
      <c r="J80" s="126">
        <f>IF($I80="Atrasado",'Config'!$C$9-$F80,"")</f>
        <v/>
      </c>
      <c r="K80" s="127">
        <f>IF(AND($E80&lt;&gt;"",$G80=""),$E80,0)</f>
        <v>0</v>
      </c>
      <c r="L80" s="127">
        <f>IF($I80="Atrasado",$E80,0)</f>
        <v>0</v>
      </c>
      <c r="M80" s="128">
        <f>IF($I80="Atrasado",$J80+ROW()/1000000,0)</f>
        <v>0</v>
      </c>
    </row>
    <row r="81" spans="9:13" ht="16.5" customHeight="1">
      <c r="I81" s="66">
        <f>IF($E81="","",IF($G81&lt;&gt;"","Pago",IF($F81="","Pendente",IF('Config'!$C$9&gt;$F81,"Atrasado","Pendente"))))</f>
        <v/>
      </c>
      <c r="J81" s="126">
        <f>IF($I81="Atrasado",'Config'!$C$9-$F81,"")</f>
        <v/>
      </c>
      <c r="K81" s="127">
        <f>IF(AND($E81&lt;&gt;"",$G81=""),$E81,0)</f>
        <v>0</v>
      </c>
      <c r="L81" s="127">
        <f>IF($I81="Atrasado",$E81,0)</f>
        <v>0</v>
      </c>
      <c r="M81" s="128">
        <f>IF($I81="Atrasado",$J81+ROW()/1000000,0)</f>
        <v>0</v>
      </c>
    </row>
    <row r="82" spans="9:13" ht="16.5" customHeight="1">
      <c r="I82" s="66">
        <f>IF($E82="","",IF($G82&lt;&gt;"","Pago",IF($F82="","Pendente",IF('Config'!$C$9&gt;$F82,"Atrasado","Pendente"))))</f>
        <v/>
      </c>
      <c r="J82" s="126">
        <f>IF($I82="Atrasado",'Config'!$C$9-$F82,"")</f>
        <v/>
      </c>
      <c r="K82" s="127">
        <f>IF(AND($E82&lt;&gt;"",$G82=""),$E82,0)</f>
        <v>0</v>
      </c>
      <c r="L82" s="127">
        <f>IF($I82="Atrasado",$E82,0)</f>
        <v>0</v>
      </c>
      <c r="M82" s="128">
        <f>IF($I82="Atrasado",$J82+ROW()/1000000,0)</f>
        <v>0</v>
      </c>
    </row>
    <row r="83" spans="9:13" ht="16.5" customHeight="1">
      <c r="I83" s="66">
        <f>IF($E83="","",IF($G83&lt;&gt;"","Pago",IF($F83="","Pendente",IF('Config'!$C$9&gt;$F83,"Atrasado","Pendente"))))</f>
        <v/>
      </c>
      <c r="J83" s="126">
        <f>IF($I83="Atrasado",'Config'!$C$9-$F83,"")</f>
        <v/>
      </c>
      <c r="K83" s="127">
        <f>IF(AND($E83&lt;&gt;"",$G83=""),$E83,0)</f>
        <v>0</v>
      </c>
      <c r="L83" s="127">
        <f>IF($I83="Atrasado",$E83,0)</f>
        <v>0</v>
      </c>
      <c r="M83" s="128">
        <f>IF($I83="Atrasado",$J83+ROW()/1000000,0)</f>
        <v>0</v>
      </c>
    </row>
    <row r="84" spans="9:13" ht="16.5" customHeight="1">
      <c r="I84" s="66">
        <f>IF($E84="","",IF($G84&lt;&gt;"","Pago",IF($F84="","Pendente",IF('Config'!$C$9&gt;$F84,"Atrasado","Pendente"))))</f>
        <v/>
      </c>
      <c r="J84" s="126">
        <f>IF($I84="Atrasado",'Config'!$C$9-$F84,"")</f>
        <v/>
      </c>
      <c r="K84" s="127">
        <f>IF(AND($E84&lt;&gt;"",$G84=""),$E84,0)</f>
        <v>0</v>
      </c>
      <c r="L84" s="127">
        <f>IF($I84="Atrasado",$E84,0)</f>
        <v>0</v>
      </c>
      <c r="M84" s="128">
        <f>IF($I84="Atrasado",$J84+ROW()/1000000,0)</f>
        <v>0</v>
      </c>
    </row>
    <row r="85" spans="9:13" ht="16.5" customHeight="1">
      <c r="I85" s="66">
        <f>IF($E85="","",IF($G85&lt;&gt;"","Pago",IF($F85="","Pendente",IF('Config'!$C$9&gt;$F85,"Atrasado","Pendente"))))</f>
        <v/>
      </c>
      <c r="J85" s="126">
        <f>IF($I85="Atrasado",'Config'!$C$9-$F85,"")</f>
        <v/>
      </c>
      <c r="K85" s="127">
        <f>IF(AND($E85&lt;&gt;"",$G85=""),$E85,0)</f>
        <v>0</v>
      </c>
      <c r="L85" s="127">
        <f>IF($I85="Atrasado",$E85,0)</f>
        <v>0</v>
      </c>
      <c r="M85" s="128">
        <f>IF($I85="Atrasado",$J85+ROW()/1000000,0)</f>
        <v>0</v>
      </c>
    </row>
    <row r="86" spans="9:13" ht="16.5" customHeight="1">
      <c r="I86" s="66">
        <f>IF($E86="","",IF($G86&lt;&gt;"","Pago",IF($F86="","Pendente",IF('Config'!$C$9&gt;$F86,"Atrasado","Pendente"))))</f>
        <v/>
      </c>
      <c r="J86" s="126">
        <f>IF($I86="Atrasado",'Config'!$C$9-$F86,"")</f>
        <v/>
      </c>
      <c r="K86" s="127">
        <f>IF(AND($E86&lt;&gt;"",$G86=""),$E86,0)</f>
        <v>0</v>
      </c>
      <c r="L86" s="127">
        <f>IF($I86="Atrasado",$E86,0)</f>
        <v>0</v>
      </c>
      <c r="M86" s="128">
        <f>IF($I86="Atrasado",$J86+ROW()/1000000,0)</f>
        <v>0</v>
      </c>
    </row>
    <row r="87" spans="9:13" ht="16.5" customHeight="1">
      <c r="I87" s="66">
        <f>IF($E87="","",IF($G87&lt;&gt;"","Pago",IF($F87="","Pendente",IF('Config'!$C$9&gt;$F87,"Atrasado","Pendente"))))</f>
        <v/>
      </c>
      <c r="J87" s="126">
        <f>IF($I87="Atrasado",'Config'!$C$9-$F87,"")</f>
        <v/>
      </c>
      <c r="K87" s="127">
        <f>IF(AND($E87&lt;&gt;"",$G87=""),$E87,0)</f>
        <v>0</v>
      </c>
      <c r="L87" s="127">
        <f>IF($I87="Atrasado",$E87,0)</f>
        <v>0</v>
      </c>
      <c r="M87" s="128">
        <f>IF($I87="Atrasado",$J87+ROW()/1000000,0)</f>
        <v>0</v>
      </c>
    </row>
    <row r="88" spans="9:13" ht="16.5" customHeight="1">
      <c r="I88" s="66">
        <f>IF($E88="","",IF($G88&lt;&gt;"","Pago",IF($F88="","Pendente",IF('Config'!$C$9&gt;$F88,"Atrasado","Pendente"))))</f>
        <v/>
      </c>
      <c r="J88" s="126">
        <f>IF($I88="Atrasado",'Config'!$C$9-$F88,"")</f>
        <v/>
      </c>
      <c r="K88" s="127">
        <f>IF(AND($E88&lt;&gt;"",$G88=""),$E88,0)</f>
        <v>0</v>
      </c>
      <c r="L88" s="127">
        <f>IF($I88="Atrasado",$E88,0)</f>
        <v>0</v>
      </c>
      <c r="M88" s="128">
        <f>IF($I88="Atrasado",$J88+ROW()/1000000,0)</f>
        <v>0</v>
      </c>
    </row>
    <row r="89" spans="9:13" ht="16.5" customHeight="1">
      <c r="I89" s="66">
        <f>IF($E89="","",IF($G89&lt;&gt;"","Pago",IF($F89="","Pendente",IF('Config'!$C$9&gt;$F89,"Atrasado","Pendente"))))</f>
        <v/>
      </c>
      <c r="J89" s="126">
        <f>IF($I89="Atrasado",'Config'!$C$9-$F89,"")</f>
        <v/>
      </c>
      <c r="K89" s="127">
        <f>IF(AND($E89&lt;&gt;"",$G89=""),$E89,0)</f>
        <v>0</v>
      </c>
      <c r="L89" s="127">
        <f>IF($I89="Atrasado",$E89,0)</f>
        <v>0</v>
      </c>
      <c r="M89" s="128">
        <f>IF($I89="Atrasado",$J89+ROW()/1000000,0)</f>
        <v>0</v>
      </c>
    </row>
    <row r="90" spans="9:13" ht="16.5" customHeight="1">
      <c r="I90" s="66">
        <f>IF($E90="","",IF($G90&lt;&gt;"","Pago",IF($F90="","Pendente",IF('Config'!$C$9&gt;$F90,"Atrasado","Pendente"))))</f>
        <v/>
      </c>
      <c r="J90" s="126">
        <f>IF($I90="Atrasado",'Config'!$C$9-$F90,"")</f>
        <v/>
      </c>
      <c r="K90" s="127">
        <f>IF(AND($E90&lt;&gt;"",$G90=""),$E90,0)</f>
        <v>0</v>
      </c>
      <c r="L90" s="127">
        <f>IF($I90="Atrasado",$E90,0)</f>
        <v>0</v>
      </c>
      <c r="M90" s="128">
        <f>IF($I90="Atrasado",$J90+ROW()/1000000,0)</f>
        <v>0</v>
      </c>
    </row>
    <row r="91" spans="9:13" ht="16.5" customHeight="1">
      <c r="I91" s="66">
        <f>IF($E91="","",IF($G91&lt;&gt;"","Pago",IF($F91="","Pendente",IF('Config'!$C$9&gt;$F91,"Atrasado","Pendente"))))</f>
        <v/>
      </c>
      <c r="J91" s="126">
        <f>IF($I91="Atrasado",'Config'!$C$9-$F91,"")</f>
        <v/>
      </c>
      <c r="K91" s="127">
        <f>IF(AND($E91&lt;&gt;"",$G91=""),$E91,0)</f>
        <v>0</v>
      </c>
      <c r="L91" s="127">
        <f>IF($I91="Atrasado",$E91,0)</f>
        <v>0</v>
      </c>
      <c r="M91" s="128">
        <f>IF($I91="Atrasado",$J91+ROW()/1000000,0)</f>
        <v>0</v>
      </c>
    </row>
    <row r="92" spans="9:13" ht="16.5" customHeight="1">
      <c r="I92" s="66">
        <f>IF($E92="","",IF($G92&lt;&gt;"","Pago",IF($F92="","Pendente",IF('Config'!$C$9&gt;$F92,"Atrasado","Pendente"))))</f>
        <v/>
      </c>
      <c r="J92" s="126">
        <f>IF($I92="Atrasado",'Config'!$C$9-$F92,"")</f>
        <v/>
      </c>
      <c r="K92" s="127">
        <f>IF(AND($E92&lt;&gt;"",$G92=""),$E92,0)</f>
        <v>0</v>
      </c>
      <c r="L92" s="127">
        <f>IF($I92="Atrasado",$E92,0)</f>
        <v>0</v>
      </c>
      <c r="M92" s="128">
        <f>IF($I92="Atrasado",$J92+ROW()/1000000,0)</f>
        <v>0</v>
      </c>
    </row>
    <row r="93" spans="9:13" ht="16.5" customHeight="1">
      <c r="I93" s="66">
        <f>IF($E93="","",IF($G93&lt;&gt;"","Pago",IF($F93="","Pendente",IF('Config'!$C$9&gt;$F93,"Atrasado","Pendente"))))</f>
        <v/>
      </c>
      <c r="J93" s="126">
        <f>IF($I93="Atrasado",'Config'!$C$9-$F93,"")</f>
        <v/>
      </c>
      <c r="K93" s="127">
        <f>IF(AND($E93&lt;&gt;"",$G93=""),$E93,0)</f>
        <v>0</v>
      </c>
      <c r="L93" s="127">
        <f>IF($I93="Atrasado",$E93,0)</f>
        <v>0</v>
      </c>
      <c r="M93" s="128">
        <f>IF($I93="Atrasado",$J93+ROW()/1000000,0)</f>
        <v>0</v>
      </c>
    </row>
    <row r="94" spans="9:13" ht="16.5" customHeight="1">
      <c r="I94" s="66">
        <f>IF($E94="","",IF($G94&lt;&gt;"","Pago",IF($F94="","Pendente",IF('Config'!$C$9&gt;$F94,"Atrasado","Pendente"))))</f>
        <v/>
      </c>
      <c r="J94" s="126">
        <f>IF($I94="Atrasado",'Config'!$C$9-$F94,"")</f>
        <v/>
      </c>
      <c r="K94" s="127">
        <f>IF(AND($E94&lt;&gt;"",$G94=""),$E94,0)</f>
        <v>0</v>
      </c>
      <c r="L94" s="127">
        <f>IF($I94="Atrasado",$E94,0)</f>
        <v>0</v>
      </c>
      <c r="M94" s="128">
        <f>IF($I94="Atrasado",$J94+ROW()/1000000,0)</f>
        <v>0</v>
      </c>
    </row>
    <row r="95" spans="9:13" ht="16.5" customHeight="1">
      <c r="I95" s="66">
        <f>IF($E95="","",IF($G95&lt;&gt;"","Pago",IF($F95="","Pendente",IF('Config'!$C$9&gt;$F95,"Atrasado","Pendente"))))</f>
        <v/>
      </c>
      <c r="J95" s="126">
        <f>IF($I95="Atrasado",'Config'!$C$9-$F95,"")</f>
        <v/>
      </c>
      <c r="K95" s="127">
        <f>IF(AND($E95&lt;&gt;"",$G95=""),$E95,0)</f>
        <v>0</v>
      </c>
      <c r="L95" s="127">
        <f>IF($I95="Atrasado",$E95,0)</f>
        <v>0</v>
      </c>
      <c r="M95" s="128">
        <f>IF($I95="Atrasado",$J95+ROW()/1000000,0)</f>
        <v>0</v>
      </c>
    </row>
    <row r="96" spans="9:13" ht="16.5" customHeight="1">
      <c r="I96" s="66">
        <f>IF($E96="","",IF($G96&lt;&gt;"","Pago",IF($F96="","Pendente",IF('Config'!$C$9&gt;$F96,"Atrasado","Pendente"))))</f>
        <v/>
      </c>
      <c r="J96" s="126">
        <f>IF($I96="Atrasado",'Config'!$C$9-$F96,"")</f>
        <v/>
      </c>
      <c r="K96" s="127">
        <f>IF(AND($E96&lt;&gt;"",$G96=""),$E96,0)</f>
        <v>0</v>
      </c>
      <c r="L96" s="127">
        <f>IF($I96="Atrasado",$E96,0)</f>
        <v>0</v>
      </c>
      <c r="M96" s="128">
        <f>IF($I96="Atrasado",$J96+ROW()/1000000,0)</f>
        <v>0</v>
      </c>
    </row>
    <row r="97" spans="9:13" ht="16.5" customHeight="1">
      <c r="I97" s="66">
        <f>IF($E97="","",IF($G97&lt;&gt;"","Pago",IF($F97="","Pendente",IF('Config'!$C$9&gt;$F97,"Atrasado","Pendente"))))</f>
        <v/>
      </c>
      <c r="J97" s="126">
        <f>IF($I97="Atrasado",'Config'!$C$9-$F97,"")</f>
        <v/>
      </c>
      <c r="K97" s="127">
        <f>IF(AND($E97&lt;&gt;"",$G97=""),$E97,0)</f>
        <v>0</v>
      </c>
      <c r="L97" s="127">
        <f>IF($I97="Atrasado",$E97,0)</f>
        <v>0</v>
      </c>
      <c r="M97" s="128">
        <f>IF($I97="Atrasado",$J97+ROW()/1000000,0)</f>
        <v>0</v>
      </c>
    </row>
    <row r="98" spans="9:13" ht="16.5" customHeight="1">
      <c r="I98" s="66">
        <f>IF($E98="","",IF($G98&lt;&gt;"","Pago",IF($F98="","Pendente",IF('Config'!$C$9&gt;$F98,"Atrasado","Pendente"))))</f>
        <v/>
      </c>
      <c r="J98" s="126">
        <f>IF($I98="Atrasado",'Config'!$C$9-$F98,"")</f>
        <v/>
      </c>
      <c r="K98" s="127">
        <f>IF(AND($E98&lt;&gt;"",$G98=""),$E98,0)</f>
        <v>0</v>
      </c>
      <c r="L98" s="127">
        <f>IF($I98="Atrasado",$E98,0)</f>
        <v>0</v>
      </c>
      <c r="M98" s="128">
        <f>IF($I98="Atrasado",$J98+ROW()/1000000,0)</f>
        <v>0</v>
      </c>
    </row>
    <row r="99" spans="9:13" ht="16.5" customHeight="1">
      <c r="I99" s="66">
        <f>IF($E99="","",IF($G99&lt;&gt;"","Pago",IF($F99="","Pendente",IF('Config'!$C$9&gt;$F99,"Atrasado","Pendente"))))</f>
        <v/>
      </c>
      <c r="J99" s="126">
        <f>IF($I99="Atrasado",'Config'!$C$9-$F99,"")</f>
        <v/>
      </c>
      <c r="K99" s="127">
        <f>IF(AND($E99&lt;&gt;"",$G99=""),$E99,0)</f>
        <v>0</v>
      </c>
      <c r="L99" s="127">
        <f>IF($I99="Atrasado",$E99,0)</f>
        <v>0</v>
      </c>
      <c r="M99" s="128">
        <f>IF($I99="Atrasado",$J99+ROW()/1000000,0)</f>
        <v>0</v>
      </c>
    </row>
    <row r="100" spans="9:13" ht="16.5" customHeight="1">
      <c r="I100" s="66">
        <f>IF($E100="","",IF($G100&lt;&gt;"","Pago",IF($F100="","Pendente",IF('Config'!$C$9&gt;$F100,"Atrasado","Pendente"))))</f>
        <v/>
      </c>
      <c r="J100" s="126">
        <f>IF($I100="Atrasado",'Config'!$C$9-$F100,"")</f>
        <v/>
      </c>
      <c r="K100" s="127">
        <f>IF(AND($E100&lt;&gt;"",$G100=""),$E100,0)</f>
        <v>0</v>
      </c>
      <c r="L100" s="127">
        <f>IF($I100="Atrasado",$E100,0)</f>
        <v>0</v>
      </c>
      <c r="M100" s="128">
        <f>IF($I100="Atrasado",$J100+ROW()/1000000,0)</f>
        <v>0</v>
      </c>
    </row>
    <row r="101" spans="9:13" ht="16.5" customHeight="1">
      <c r="I101" s="66">
        <f>IF($E101="","",IF($G101&lt;&gt;"","Pago",IF($F101="","Pendente",IF('Config'!$C$9&gt;$F101,"Atrasado","Pendente"))))</f>
        <v/>
      </c>
      <c r="J101" s="126">
        <f>IF($I101="Atrasado",'Config'!$C$9-$F101,"")</f>
        <v/>
      </c>
      <c r="K101" s="127">
        <f>IF(AND($E101&lt;&gt;"",$G101=""),$E101,0)</f>
        <v>0</v>
      </c>
      <c r="L101" s="127">
        <f>IF($I101="Atrasado",$E101,0)</f>
        <v>0</v>
      </c>
      <c r="M101" s="128">
        <f>IF($I101="Atrasado",$J101+ROW()/1000000,0)</f>
        <v>0</v>
      </c>
    </row>
    <row r="102" spans="9:13" ht="16.5" customHeight="1">
      <c r="I102" s="66">
        <f>IF($E102="","",IF($G102&lt;&gt;"","Pago",IF($F102="","Pendente",IF('Config'!$C$9&gt;$F102,"Atrasado","Pendente"))))</f>
        <v/>
      </c>
      <c r="J102" s="126">
        <f>IF($I102="Atrasado",'Config'!$C$9-$F102,"")</f>
        <v/>
      </c>
      <c r="K102" s="127">
        <f>IF(AND($E102&lt;&gt;"",$G102=""),$E102,0)</f>
        <v>0</v>
      </c>
      <c r="L102" s="127">
        <f>IF($I102="Atrasado",$E102,0)</f>
        <v>0</v>
      </c>
      <c r="M102" s="128">
        <f>IF($I102="Atrasado",$J102+ROW()/1000000,0)</f>
        <v>0</v>
      </c>
    </row>
    <row r="103" spans="9:13" ht="16.5" customHeight="1">
      <c r="I103" s="66">
        <f>IF($E103="","",IF($G103&lt;&gt;"","Pago",IF($F103="","Pendente",IF('Config'!$C$9&gt;$F103,"Atrasado","Pendente"))))</f>
        <v/>
      </c>
      <c r="J103" s="126">
        <f>IF($I103="Atrasado",'Config'!$C$9-$F103,"")</f>
        <v/>
      </c>
      <c r="K103" s="127">
        <f>IF(AND($E103&lt;&gt;"",$G103=""),$E103,0)</f>
        <v>0</v>
      </c>
      <c r="L103" s="127">
        <f>IF($I103="Atrasado",$E103,0)</f>
        <v>0</v>
      </c>
      <c r="M103" s="128">
        <f>IF($I103="Atrasado",$J103+ROW()/1000000,0)</f>
        <v>0</v>
      </c>
    </row>
    <row r="104" spans="9:13" ht="16.5" customHeight="1">
      <c r="I104" s="66">
        <f>IF($E104="","",IF($G104&lt;&gt;"","Pago",IF($F104="","Pendente",IF('Config'!$C$9&gt;$F104,"Atrasado","Pendente"))))</f>
        <v/>
      </c>
      <c r="J104" s="126">
        <f>IF($I104="Atrasado",'Config'!$C$9-$F104,"")</f>
        <v/>
      </c>
      <c r="K104" s="127">
        <f>IF(AND($E104&lt;&gt;"",$G104=""),$E104,0)</f>
        <v>0</v>
      </c>
      <c r="L104" s="127">
        <f>IF($I104="Atrasado",$E104,0)</f>
        <v>0</v>
      </c>
      <c r="M104" s="128">
        <f>IF($I104="Atrasado",$J104+ROW()/1000000,0)</f>
        <v>0</v>
      </c>
    </row>
    <row r="105" spans="9:13" ht="16.5" customHeight="1">
      <c r="I105" s="66">
        <f>IF($E105="","",IF($G105&lt;&gt;"","Pago",IF($F105="","Pendente",IF('Config'!$C$9&gt;$F105,"Atrasado","Pendente"))))</f>
        <v/>
      </c>
      <c r="J105" s="126">
        <f>IF($I105="Atrasado",'Config'!$C$9-$F105,"")</f>
        <v/>
      </c>
      <c r="K105" s="127">
        <f>IF(AND($E105&lt;&gt;"",$G105=""),$E105,0)</f>
        <v>0</v>
      </c>
      <c r="L105" s="127">
        <f>IF($I105="Atrasado",$E105,0)</f>
        <v>0</v>
      </c>
      <c r="M105" s="128">
        <f>IF($I105="Atrasado",$J105+ROW()/1000000,0)</f>
        <v>0</v>
      </c>
    </row>
    <row r="106" spans="9:13" ht="16.5" customHeight="1">
      <c r="I106" s="66">
        <f>IF($E106="","",IF($G106&lt;&gt;"","Pago",IF($F106="","Pendente",IF('Config'!$C$9&gt;$F106,"Atrasado","Pendente"))))</f>
        <v/>
      </c>
      <c r="J106" s="126">
        <f>IF($I106="Atrasado",'Config'!$C$9-$F106,"")</f>
        <v/>
      </c>
      <c r="K106" s="127">
        <f>IF(AND($E106&lt;&gt;"",$G106=""),$E106,0)</f>
        <v>0</v>
      </c>
      <c r="L106" s="127">
        <f>IF($I106="Atrasado",$E106,0)</f>
        <v>0</v>
      </c>
      <c r="M106" s="128">
        <f>IF($I106="Atrasado",$J106+ROW()/1000000,0)</f>
        <v>0</v>
      </c>
    </row>
    <row r="107" spans="9:13" ht="16.5" customHeight="1">
      <c r="I107" s="66">
        <f>IF($E107="","",IF($G107&lt;&gt;"","Pago",IF($F107="","Pendente",IF('Config'!$C$9&gt;$F107,"Atrasado","Pendente"))))</f>
        <v/>
      </c>
      <c r="J107" s="126">
        <f>IF($I107="Atrasado",'Config'!$C$9-$F107,"")</f>
        <v/>
      </c>
      <c r="K107" s="127">
        <f>IF(AND($E107&lt;&gt;"",$G107=""),$E107,0)</f>
        <v>0</v>
      </c>
      <c r="L107" s="127">
        <f>IF($I107="Atrasado",$E107,0)</f>
        <v>0</v>
      </c>
      <c r="M107" s="128">
        <f>IF($I107="Atrasado",$J107+ROW()/1000000,0)</f>
        <v>0</v>
      </c>
    </row>
    <row r="108" spans="9:13" ht="16.5" customHeight="1">
      <c r="I108" s="66">
        <f>IF($E108="","",IF($G108&lt;&gt;"","Pago",IF($F108="","Pendente",IF('Config'!$C$9&gt;$F108,"Atrasado","Pendente"))))</f>
        <v/>
      </c>
      <c r="J108" s="126">
        <f>IF($I108="Atrasado",'Config'!$C$9-$F108,"")</f>
        <v/>
      </c>
      <c r="K108" s="127">
        <f>IF(AND($E108&lt;&gt;"",$G108=""),$E108,0)</f>
        <v>0</v>
      </c>
      <c r="L108" s="127">
        <f>IF($I108="Atrasado",$E108,0)</f>
        <v>0</v>
      </c>
      <c r="M108" s="128">
        <f>IF($I108="Atrasado",$J108+ROW()/1000000,0)</f>
        <v>0</v>
      </c>
    </row>
    <row r="109" spans="9:13" ht="16.5" customHeight="1">
      <c r="I109" s="66">
        <f>IF($E109="","",IF($G109&lt;&gt;"","Pago",IF($F109="","Pendente",IF('Config'!$C$9&gt;$F109,"Atrasado","Pendente"))))</f>
        <v/>
      </c>
      <c r="J109" s="126">
        <f>IF($I109="Atrasado",'Config'!$C$9-$F109,"")</f>
        <v/>
      </c>
      <c r="K109" s="127">
        <f>IF(AND($E109&lt;&gt;"",$G109=""),$E109,0)</f>
        <v>0</v>
      </c>
      <c r="L109" s="127">
        <f>IF($I109="Atrasado",$E109,0)</f>
        <v>0</v>
      </c>
      <c r="M109" s="128">
        <f>IF($I109="Atrasado",$J109+ROW()/1000000,0)</f>
        <v>0</v>
      </c>
    </row>
    <row r="110" spans="9:13" ht="16.5" customHeight="1">
      <c r="I110" s="66">
        <f>IF($E110="","",IF($G110&lt;&gt;"","Pago",IF($F110="","Pendente",IF('Config'!$C$9&gt;$F110,"Atrasado","Pendente"))))</f>
        <v/>
      </c>
      <c r="J110" s="126">
        <f>IF($I110="Atrasado",'Config'!$C$9-$F110,"")</f>
        <v/>
      </c>
      <c r="K110" s="127">
        <f>IF(AND($E110&lt;&gt;"",$G110=""),$E110,0)</f>
        <v>0</v>
      </c>
      <c r="L110" s="127">
        <f>IF($I110="Atrasado",$E110,0)</f>
        <v>0</v>
      </c>
      <c r="M110" s="128">
        <f>IF($I110="Atrasado",$J110+ROW()/1000000,0)</f>
        <v>0</v>
      </c>
    </row>
    <row r="111" spans="9:13" ht="16.5" customHeight="1">
      <c r="I111" s="66">
        <f>IF($E111="","",IF($G111&lt;&gt;"","Pago",IF($F111="","Pendente",IF('Config'!$C$9&gt;$F111,"Atrasado","Pendente"))))</f>
        <v/>
      </c>
      <c r="J111" s="126">
        <f>IF($I111="Atrasado",'Config'!$C$9-$F111,"")</f>
        <v/>
      </c>
      <c r="K111" s="127">
        <f>IF(AND($E111&lt;&gt;"",$G111=""),$E111,0)</f>
        <v>0</v>
      </c>
      <c r="L111" s="127">
        <f>IF($I111="Atrasado",$E111,0)</f>
        <v>0</v>
      </c>
      <c r="M111" s="128">
        <f>IF($I111="Atrasado",$J111+ROW()/1000000,0)</f>
        <v>0</v>
      </c>
    </row>
    <row r="112" spans="9:13" ht="16.5" customHeight="1">
      <c r="I112" s="66">
        <f>IF($E112="","",IF($G112&lt;&gt;"","Pago",IF($F112="","Pendente",IF('Config'!$C$9&gt;$F112,"Atrasado","Pendente"))))</f>
        <v/>
      </c>
      <c r="J112" s="126">
        <f>IF($I112="Atrasado",'Config'!$C$9-$F112,"")</f>
        <v/>
      </c>
      <c r="K112" s="127">
        <f>IF(AND($E112&lt;&gt;"",$G112=""),$E112,0)</f>
        <v>0</v>
      </c>
      <c r="L112" s="127">
        <f>IF($I112="Atrasado",$E112,0)</f>
        <v>0</v>
      </c>
      <c r="M112" s="128">
        <f>IF($I112="Atrasado",$J112+ROW()/1000000,0)</f>
        <v>0</v>
      </c>
    </row>
    <row r="113" spans="9:13" ht="16.5" customHeight="1">
      <c r="I113" s="66">
        <f>IF($E113="","",IF($G113&lt;&gt;"","Pago",IF($F113="","Pendente",IF('Config'!$C$9&gt;$F113,"Atrasado","Pendente"))))</f>
        <v/>
      </c>
      <c r="J113" s="126">
        <f>IF($I113="Atrasado",'Config'!$C$9-$F113,"")</f>
        <v/>
      </c>
      <c r="K113" s="127">
        <f>IF(AND($E113&lt;&gt;"",$G113=""),$E113,0)</f>
        <v>0</v>
      </c>
      <c r="L113" s="127">
        <f>IF($I113="Atrasado",$E113,0)</f>
        <v>0</v>
      </c>
      <c r="M113" s="128">
        <f>IF($I113="Atrasado",$J113+ROW()/1000000,0)</f>
        <v>0</v>
      </c>
    </row>
    <row r="114" spans="9:13" ht="16.5" customHeight="1">
      <c r="I114" s="66">
        <f>IF($E114="","",IF($G114&lt;&gt;"","Pago",IF($F114="","Pendente",IF('Config'!$C$9&gt;$F114,"Atrasado","Pendente"))))</f>
        <v/>
      </c>
      <c r="J114" s="126">
        <f>IF($I114="Atrasado",'Config'!$C$9-$F114,"")</f>
        <v/>
      </c>
      <c r="K114" s="127">
        <f>IF(AND($E114&lt;&gt;"",$G114=""),$E114,0)</f>
        <v>0</v>
      </c>
      <c r="L114" s="127">
        <f>IF($I114="Atrasado",$E114,0)</f>
        <v>0</v>
      </c>
      <c r="M114" s="128">
        <f>IF($I114="Atrasado",$J114+ROW()/1000000,0)</f>
        <v>0</v>
      </c>
    </row>
    <row r="115" spans="9:13" ht="16.5" customHeight="1">
      <c r="I115" s="66">
        <f>IF($E115="","",IF($G115&lt;&gt;"","Pago",IF($F115="","Pendente",IF('Config'!$C$9&gt;$F115,"Atrasado","Pendente"))))</f>
        <v/>
      </c>
      <c r="J115" s="126">
        <f>IF($I115="Atrasado",'Config'!$C$9-$F115,"")</f>
        <v/>
      </c>
      <c r="K115" s="127">
        <f>IF(AND($E115&lt;&gt;"",$G115=""),$E115,0)</f>
        <v>0</v>
      </c>
      <c r="L115" s="127">
        <f>IF($I115="Atrasado",$E115,0)</f>
        <v>0</v>
      </c>
      <c r="M115" s="128">
        <f>IF($I115="Atrasado",$J115+ROW()/1000000,0)</f>
        <v>0</v>
      </c>
    </row>
    <row r="116" spans="9:13" ht="16.5" customHeight="1">
      <c r="I116" s="66">
        <f>IF($E116="","",IF($G116&lt;&gt;"","Pago",IF($F116="","Pendente",IF('Config'!$C$9&gt;$F116,"Atrasado","Pendente"))))</f>
        <v/>
      </c>
      <c r="J116" s="126">
        <f>IF($I116="Atrasado",'Config'!$C$9-$F116,"")</f>
        <v/>
      </c>
      <c r="K116" s="127">
        <f>IF(AND($E116&lt;&gt;"",$G116=""),$E116,0)</f>
        <v>0</v>
      </c>
      <c r="L116" s="127">
        <f>IF($I116="Atrasado",$E116,0)</f>
        <v>0</v>
      </c>
      <c r="M116" s="128">
        <f>IF($I116="Atrasado",$J116+ROW()/1000000,0)</f>
        <v>0</v>
      </c>
    </row>
    <row r="117" spans="9:13" ht="16.5" customHeight="1">
      <c r="I117" s="66">
        <f>IF($E117="","",IF($G117&lt;&gt;"","Pago",IF($F117="","Pendente",IF('Config'!$C$9&gt;$F117,"Atrasado","Pendente"))))</f>
        <v/>
      </c>
      <c r="J117" s="126">
        <f>IF($I117="Atrasado",'Config'!$C$9-$F117,"")</f>
        <v/>
      </c>
      <c r="K117" s="127">
        <f>IF(AND($E117&lt;&gt;"",$G117=""),$E117,0)</f>
        <v>0</v>
      </c>
      <c r="L117" s="127">
        <f>IF($I117="Atrasado",$E117,0)</f>
        <v>0</v>
      </c>
      <c r="M117" s="128">
        <f>IF($I117="Atrasado",$J117+ROW()/1000000,0)</f>
        <v>0</v>
      </c>
    </row>
    <row r="118" spans="9:13" ht="16.5" customHeight="1">
      <c r="I118" s="66">
        <f>IF($E118="","",IF($G118&lt;&gt;"","Pago",IF($F118="","Pendente",IF('Config'!$C$9&gt;$F118,"Atrasado","Pendente"))))</f>
        <v/>
      </c>
      <c r="J118" s="126">
        <f>IF($I118="Atrasado",'Config'!$C$9-$F118,"")</f>
        <v/>
      </c>
      <c r="K118" s="127">
        <f>IF(AND($E118&lt;&gt;"",$G118=""),$E118,0)</f>
        <v>0</v>
      </c>
      <c r="L118" s="127">
        <f>IF($I118="Atrasado",$E118,0)</f>
        <v>0</v>
      </c>
      <c r="M118" s="128">
        <f>IF($I118="Atrasado",$J118+ROW()/1000000,0)</f>
        <v>0</v>
      </c>
    </row>
    <row r="119" spans="9:13" ht="16.5" customHeight="1">
      <c r="I119" s="66">
        <f>IF($E119="","",IF($G119&lt;&gt;"","Pago",IF($F119="","Pendente",IF('Config'!$C$9&gt;$F119,"Atrasado","Pendente"))))</f>
        <v/>
      </c>
      <c r="J119" s="126">
        <f>IF($I119="Atrasado",'Config'!$C$9-$F119,"")</f>
        <v/>
      </c>
      <c r="K119" s="127">
        <f>IF(AND($E119&lt;&gt;"",$G119=""),$E119,0)</f>
        <v>0</v>
      </c>
      <c r="L119" s="127">
        <f>IF($I119="Atrasado",$E119,0)</f>
        <v>0</v>
      </c>
      <c r="M119" s="128">
        <f>IF($I119="Atrasado",$J119+ROW()/1000000,0)</f>
        <v>0</v>
      </c>
    </row>
    <row r="120" spans="9:13" ht="16.5" customHeight="1">
      <c r="I120" s="66">
        <f>IF($E120="","",IF($G120&lt;&gt;"","Pago",IF($F120="","Pendente",IF('Config'!$C$9&gt;$F120,"Atrasado","Pendente"))))</f>
        <v/>
      </c>
      <c r="J120" s="126">
        <f>IF($I120="Atrasado",'Config'!$C$9-$F120,"")</f>
        <v/>
      </c>
      <c r="K120" s="127">
        <f>IF(AND($E120&lt;&gt;"",$G120=""),$E120,0)</f>
        <v>0</v>
      </c>
      <c r="L120" s="127">
        <f>IF($I120="Atrasado",$E120,0)</f>
        <v>0</v>
      </c>
      <c r="M120" s="128">
        <f>IF($I120="Atrasado",$J120+ROW()/1000000,0)</f>
        <v>0</v>
      </c>
    </row>
    <row r="121" spans="9:13" ht="16.5" customHeight="1">
      <c r="I121" s="66">
        <f>IF($E121="","",IF($G121&lt;&gt;"","Pago",IF($F121="","Pendente",IF('Config'!$C$9&gt;$F121,"Atrasado","Pendente"))))</f>
        <v/>
      </c>
      <c r="J121" s="126">
        <f>IF($I121="Atrasado",'Config'!$C$9-$F121,"")</f>
        <v/>
      </c>
      <c r="K121" s="127">
        <f>IF(AND($E121&lt;&gt;"",$G121=""),$E121,0)</f>
        <v>0</v>
      </c>
      <c r="L121" s="127">
        <f>IF($I121="Atrasado",$E121,0)</f>
        <v>0</v>
      </c>
      <c r="M121" s="128">
        <f>IF($I121="Atrasado",$J121+ROW()/1000000,0)</f>
        <v>0</v>
      </c>
    </row>
    <row r="122" spans="9:13" ht="16.5" customHeight="1">
      <c r="I122" s="66">
        <f>IF($E122="","",IF($G122&lt;&gt;"","Pago",IF($F122="","Pendente",IF('Config'!$C$9&gt;$F122,"Atrasado","Pendente"))))</f>
        <v/>
      </c>
      <c r="J122" s="126">
        <f>IF($I122="Atrasado",'Config'!$C$9-$F122,"")</f>
        <v/>
      </c>
      <c r="K122" s="127">
        <f>IF(AND($E122&lt;&gt;"",$G122=""),$E122,0)</f>
        <v>0</v>
      </c>
      <c r="L122" s="127">
        <f>IF($I122="Atrasado",$E122,0)</f>
        <v>0</v>
      </c>
      <c r="M122" s="128">
        <f>IF($I122="Atrasado",$J122+ROW()/1000000,0)</f>
        <v>0</v>
      </c>
    </row>
    <row r="123" spans="9:13" ht="16.5" customHeight="1">
      <c r="I123" s="66">
        <f>IF($E123="","",IF($G123&lt;&gt;"","Pago",IF($F123="","Pendente",IF('Config'!$C$9&gt;$F123,"Atrasado","Pendente"))))</f>
        <v/>
      </c>
      <c r="J123" s="126">
        <f>IF($I123="Atrasado",'Config'!$C$9-$F123,"")</f>
        <v/>
      </c>
      <c r="K123" s="127">
        <f>IF(AND($E123&lt;&gt;"",$G123=""),$E123,0)</f>
        <v>0</v>
      </c>
      <c r="L123" s="127">
        <f>IF($I123="Atrasado",$E123,0)</f>
        <v>0</v>
      </c>
      <c r="M123" s="128">
        <f>IF($I123="Atrasado",$J123+ROW()/1000000,0)</f>
        <v>0</v>
      </c>
    </row>
    <row r="124" spans="9:13" ht="16.5" customHeight="1">
      <c r="I124" s="66">
        <f>IF($E124="","",IF($G124&lt;&gt;"","Pago",IF($F124="","Pendente",IF('Config'!$C$9&gt;$F124,"Atrasado","Pendente"))))</f>
        <v/>
      </c>
      <c r="J124" s="126">
        <f>IF($I124="Atrasado",'Config'!$C$9-$F124,"")</f>
        <v/>
      </c>
      <c r="K124" s="127">
        <f>IF(AND($E124&lt;&gt;"",$G124=""),$E124,0)</f>
        <v>0</v>
      </c>
      <c r="L124" s="127">
        <f>IF($I124="Atrasado",$E124,0)</f>
        <v>0</v>
      </c>
      <c r="M124" s="128">
        <f>IF($I124="Atrasado",$J124+ROW()/1000000,0)</f>
        <v>0</v>
      </c>
    </row>
    <row r="125" spans="9:13" ht="16.5" customHeight="1">
      <c r="I125" s="66">
        <f>IF($E125="","",IF($G125&lt;&gt;"","Pago",IF($F125="","Pendente",IF('Config'!$C$9&gt;$F125,"Atrasado","Pendente"))))</f>
        <v/>
      </c>
      <c r="J125" s="126">
        <f>IF($I125="Atrasado",'Config'!$C$9-$F125,"")</f>
        <v/>
      </c>
      <c r="K125" s="127">
        <f>IF(AND($E125&lt;&gt;"",$G125=""),$E125,0)</f>
        <v>0</v>
      </c>
      <c r="L125" s="127">
        <f>IF($I125="Atrasado",$E125,0)</f>
        <v>0</v>
      </c>
      <c r="M125" s="128">
        <f>IF($I125="Atrasado",$J125+ROW()/1000000,0)</f>
        <v>0</v>
      </c>
    </row>
    <row r="126" spans="9:13" ht="16.5" customHeight="1">
      <c r="I126" s="66">
        <f>IF($E126="","",IF($G126&lt;&gt;"","Pago",IF($F126="","Pendente",IF('Config'!$C$9&gt;$F126,"Atrasado","Pendente"))))</f>
        <v/>
      </c>
      <c r="J126" s="126">
        <f>IF($I126="Atrasado",'Config'!$C$9-$F126,"")</f>
        <v/>
      </c>
      <c r="K126" s="127">
        <f>IF(AND($E126&lt;&gt;"",$G126=""),$E126,0)</f>
        <v>0</v>
      </c>
      <c r="L126" s="127">
        <f>IF($I126="Atrasado",$E126,0)</f>
        <v>0</v>
      </c>
      <c r="M126" s="128">
        <f>IF($I126="Atrasado",$J126+ROW()/1000000,0)</f>
        <v>0</v>
      </c>
    </row>
    <row r="127" spans="9:13" ht="16.5" customHeight="1">
      <c r="I127" s="66">
        <f>IF($E127="","",IF($G127&lt;&gt;"","Pago",IF($F127="","Pendente",IF('Config'!$C$9&gt;$F127,"Atrasado","Pendente"))))</f>
        <v/>
      </c>
      <c r="J127" s="126">
        <f>IF($I127="Atrasado",'Config'!$C$9-$F127,"")</f>
        <v/>
      </c>
      <c r="K127" s="127">
        <f>IF(AND($E127&lt;&gt;"",$G127=""),$E127,0)</f>
        <v>0</v>
      </c>
      <c r="L127" s="127">
        <f>IF($I127="Atrasado",$E127,0)</f>
        <v>0</v>
      </c>
      <c r="M127" s="128">
        <f>IF($I127="Atrasado",$J127+ROW()/1000000,0)</f>
        <v>0</v>
      </c>
    </row>
    <row r="128" spans="9:13" ht="16.5" customHeight="1">
      <c r="I128" s="66">
        <f>IF($E128="","",IF($G128&lt;&gt;"","Pago",IF($F128="","Pendente",IF('Config'!$C$9&gt;$F128,"Atrasado","Pendente"))))</f>
        <v/>
      </c>
      <c r="J128" s="126">
        <f>IF($I128="Atrasado",'Config'!$C$9-$F128,"")</f>
        <v/>
      </c>
      <c r="K128" s="127">
        <f>IF(AND($E128&lt;&gt;"",$G128=""),$E128,0)</f>
        <v>0</v>
      </c>
      <c r="L128" s="127">
        <f>IF($I128="Atrasado",$E128,0)</f>
        <v>0</v>
      </c>
      <c r="M128" s="128">
        <f>IF($I128="Atrasado",$J128+ROW()/1000000,0)</f>
        <v>0</v>
      </c>
    </row>
    <row r="129" spans="9:13" ht="16.5" customHeight="1">
      <c r="I129" s="66">
        <f>IF($E129="","",IF($G129&lt;&gt;"","Pago",IF($F129="","Pendente",IF('Config'!$C$9&gt;$F129,"Atrasado","Pendente"))))</f>
        <v/>
      </c>
      <c r="J129" s="126">
        <f>IF($I129="Atrasado",'Config'!$C$9-$F129,"")</f>
        <v/>
      </c>
      <c r="K129" s="127">
        <f>IF(AND($E129&lt;&gt;"",$G129=""),$E129,0)</f>
        <v>0</v>
      </c>
      <c r="L129" s="127">
        <f>IF($I129="Atrasado",$E129,0)</f>
        <v>0</v>
      </c>
      <c r="M129" s="128">
        <f>IF($I129="Atrasado",$J129+ROW()/1000000,0)</f>
        <v>0</v>
      </c>
    </row>
    <row r="130" spans="9:13" ht="16.5" customHeight="1">
      <c r="I130" s="66">
        <f>IF($E130="","",IF($G130&lt;&gt;"","Pago",IF($F130="","Pendente",IF('Config'!$C$9&gt;$F130,"Atrasado","Pendente"))))</f>
        <v/>
      </c>
      <c r="J130" s="126">
        <f>IF($I130="Atrasado",'Config'!$C$9-$F130,"")</f>
        <v/>
      </c>
      <c r="K130" s="127">
        <f>IF(AND($E130&lt;&gt;"",$G130=""),$E130,0)</f>
        <v>0</v>
      </c>
      <c r="L130" s="127">
        <f>IF($I130="Atrasado",$E130,0)</f>
        <v>0</v>
      </c>
      <c r="M130" s="128">
        <f>IF($I130="Atrasado",$J130+ROW()/1000000,0)</f>
        <v>0</v>
      </c>
    </row>
    <row r="131" spans="9:13" ht="16.5" customHeight="1">
      <c r="I131" s="66">
        <f>IF($E131="","",IF($G131&lt;&gt;"","Pago",IF($F131="","Pendente",IF('Config'!$C$9&gt;$F131,"Atrasado","Pendente"))))</f>
        <v/>
      </c>
      <c r="J131" s="126">
        <f>IF($I131="Atrasado",'Config'!$C$9-$F131,"")</f>
        <v/>
      </c>
      <c r="K131" s="127">
        <f>IF(AND($E131&lt;&gt;"",$G131=""),$E131,0)</f>
        <v>0</v>
      </c>
      <c r="L131" s="127">
        <f>IF($I131="Atrasado",$E131,0)</f>
        <v>0</v>
      </c>
      <c r="M131" s="128">
        <f>IF($I131="Atrasado",$J131+ROW()/1000000,0)</f>
        <v>0</v>
      </c>
    </row>
    <row r="132" spans="9:13" ht="16.5" customHeight="1">
      <c r="I132" s="66">
        <f>IF($E132="","",IF($G132&lt;&gt;"","Pago",IF($F132="","Pendente",IF('Config'!$C$9&gt;$F132,"Atrasado","Pendente"))))</f>
        <v/>
      </c>
      <c r="J132" s="126">
        <f>IF($I132="Atrasado",'Config'!$C$9-$F132,"")</f>
        <v/>
      </c>
      <c r="K132" s="127">
        <f>IF(AND($E132&lt;&gt;"",$G132=""),$E132,0)</f>
        <v>0</v>
      </c>
      <c r="L132" s="127">
        <f>IF($I132="Atrasado",$E132,0)</f>
        <v>0</v>
      </c>
      <c r="M132" s="128">
        <f>IF($I132="Atrasado",$J132+ROW()/1000000,0)</f>
        <v>0</v>
      </c>
    </row>
    <row r="133" spans="9:13" ht="16.5" customHeight="1">
      <c r="I133" s="66">
        <f>IF($E133="","",IF($G133&lt;&gt;"","Pago",IF($F133="","Pendente",IF('Config'!$C$9&gt;$F133,"Atrasado","Pendente"))))</f>
        <v/>
      </c>
      <c r="J133" s="126">
        <f>IF($I133="Atrasado",'Config'!$C$9-$F133,"")</f>
        <v/>
      </c>
      <c r="K133" s="127">
        <f>IF(AND($E133&lt;&gt;"",$G133=""),$E133,0)</f>
        <v>0</v>
      </c>
      <c r="L133" s="127">
        <f>IF($I133="Atrasado",$E133,0)</f>
        <v>0</v>
      </c>
      <c r="M133" s="128">
        <f>IF($I133="Atrasado",$J133+ROW()/1000000,0)</f>
        <v>0</v>
      </c>
    </row>
    <row r="134" spans="9:13" ht="16.5" customHeight="1">
      <c r="I134" s="66">
        <f>IF($E134="","",IF($G134&lt;&gt;"","Pago",IF($F134="","Pendente",IF('Config'!$C$9&gt;$F134,"Atrasado","Pendente"))))</f>
        <v/>
      </c>
      <c r="J134" s="126">
        <f>IF($I134="Atrasado",'Config'!$C$9-$F134,"")</f>
        <v/>
      </c>
      <c r="K134" s="127">
        <f>IF(AND($E134&lt;&gt;"",$G134=""),$E134,0)</f>
        <v>0</v>
      </c>
      <c r="L134" s="127">
        <f>IF($I134="Atrasado",$E134,0)</f>
        <v>0</v>
      </c>
      <c r="M134" s="128">
        <f>IF($I134="Atrasado",$J134+ROW()/1000000,0)</f>
        <v>0</v>
      </c>
    </row>
    <row r="135" spans="9:13" ht="16.5" customHeight="1">
      <c r="I135" s="66">
        <f>IF($E135="","",IF($G135&lt;&gt;"","Pago",IF($F135="","Pendente",IF('Config'!$C$9&gt;$F135,"Atrasado","Pendente"))))</f>
        <v/>
      </c>
      <c r="J135" s="126">
        <f>IF($I135="Atrasado",'Config'!$C$9-$F135,"")</f>
        <v/>
      </c>
      <c r="K135" s="127">
        <f>IF(AND($E135&lt;&gt;"",$G135=""),$E135,0)</f>
        <v>0</v>
      </c>
      <c r="L135" s="127">
        <f>IF($I135="Atrasado",$E135,0)</f>
        <v>0</v>
      </c>
      <c r="M135" s="128">
        <f>IF($I135="Atrasado",$J135+ROW()/1000000,0)</f>
        <v>0</v>
      </c>
    </row>
    <row r="136" spans="9:13" ht="16.5" customHeight="1">
      <c r="I136" s="66">
        <f>IF($E136="","",IF($G136&lt;&gt;"","Pago",IF($F136="","Pendente",IF('Config'!$C$9&gt;$F136,"Atrasado","Pendente"))))</f>
        <v/>
      </c>
      <c r="J136" s="126">
        <f>IF($I136="Atrasado",'Config'!$C$9-$F136,"")</f>
        <v/>
      </c>
      <c r="K136" s="127">
        <f>IF(AND($E136&lt;&gt;"",$G136=""),$E136,0)</f>
        <v>0</v>
      </c>
      <c r="L136" s="127">
        <f>IF($I136="Atrasado",$E136,0)</f>
        <v>0</v>
      </c>
      <c r="M136" s="128">
        <f>IF($I136="Atrasado",$J136+ROW()/1000000,0)</f>
        <v>0</v>
      </c>
    </row>
    <row r="137" spans="9:13" ht="16.5" customHeight="1">
      <c r="I137" s="66">
        <f>IF($E137="","",IF($G137&lt;&gt;"","Pago",IF($F137="","Pendente",IF('Config'!$C$9&gt;$F137,"Atrasado","Pendente"))))</f>
        <v/>
      </c>
      <c r="J137" s="126">
        <f>IF($I137="Atrasado",'Config'!$C$9-$F137,"")</f>
        <v/>
      </c>
      <c r="K137" s="127">
        <f>IF(AND($E137&lt;&gt;"",$G137=""),$E137,0)</f>
        <v>0</v>
      </c>
      <c r="L137" s="127">
        <f>IF($I137="Atrasado",$E137,0)</f>
        <v>0</v>
      </c>
      <c r="M137" s="128">
        <f>IF($I137="Atrasado",$J137+ROW()/1000000,0)</f>
        <v>0</v>
      </c>
    </row>
    <row r="138" spans="9:13" ht="16.5" customHeight="1">
      <c r="I138" s="66">
        <f>IF($E138="","",IF($G138&lt;&gt;"","Pago",IF($F138="","Pendente",IF('Config'!$C$9&gt;$F138,"Atrasado","Pendente"))))</f>
        <v/>
      </c>
      <c r="J138" s="126">
        <f>IF($I138="Atrasado",'Config'!$C$9-$F138,"")</f>
        <v/>
      </c>
      <c r="K138" s="127">
        <f>IF(AND($E138&lt;&gt;"",$G138=""),$E138,0)</f>
        <v>0</v>
      </c>
      <c r="L138" s="127">
        <f>IF($I138="Atrasado",$E138,0)</f>
        <v>0</v>
      </c>
      <c r="M138" s="128">
        <f>IF($I138="Atrasado",$J138+ROW()/1000000,0)</f>
        <v>0</v>
      </c>
    </row>
    <row r="139" spans="9:13" ht="16.5" customHeight="1">
      <c r="I139" s="66">
        <f>IF($E139="","",IF($G139&lt;&gt;"","Pago",IF($F139="","Pendente",IF('Config'!$C$9&gt;$F139,"Atrasado","Pendente"))))</f>
        <v/>
      </c>
      <c r="J139" s="126">
        <f>IF($I139="Atrasado",'Config'!$C$9-$F139,"")</f>
        <v/>
      </c>
      <c r="K139" s="127">
        <f>IF(AND($E139&lt;&gt;"",$G139=""),$E139,0)</f>
        <v>0</v>
      </c>
      <c r="L139" s="127">
        <f>IF($I139="Atrasado",$E139,0)</f>
        <v>0</v>
      </c>
      <c r="M139" s="128">
        <f>IF($I139="Atrasado",$J139+ROW()/1000000,0)</f>
        <v>0</v>
      </c>
    </row>
    <row r="140" spans="9:13" ht="16.5" customHeight="1">
      <c r="I140" s="66">
        <f>IF($E140="","",IF($G140&lt;&gt;"","Pago",IF($F140="","Pendente",IF('Config'!$C$9&gt;$F140,"Atrasado","Pendente"))))</f>
        <v/>
      </c>
      <c r="J140" s="126">
        <f>IF($I140="Atrasado",'Config'!$C$9-$F140,"")</f>
        <v/>
      </c>
      <c r="K140" s="127">
        <f>IF(AND($E140&lt;&gt;"",$G140=""),$E140,0)</f>
        <v>0</v>
      </c>
      <c r="L140" s="127">
        <f>IF($I140="Atrasado",$E140,0)</f>
        <v>0</v>
      </c>
      <c r="M140" s="128">
        <f>IF($I140="Atrasado",$J140+ROW()/1000000,0)</f>
        <v>0</v>
      </c>
    </row>
    <row r="141" spans="9:13" ht="16.5" customHeight="1">
      <c r="I141" s="66">
        <f>IF($E141="","",IF($G141&lt;&gt;"","Pago",IF($F141="","Pendente",IF('Config'!$C$9&gt;$F141,"Atrasado","Pendente"))))</f>
        <v/>
      </c>
      <c r="J141" s="126">
        <f>IF($I141="Atrasado",'Config'!$C$9-$F141,"")</f>
        <v/>
      </c>
      <c r="K141" s="127">
        <f>IF(AND($E141&lt;&gt;"",$G141=""),$E141,0)</f>
        <v>0</v>
      </c>
      <c r="L141" s="127">
        <f>IF($I141="Atrasado",$E141,0)</f>
        <v>0</v>
      </c>
      <c r="M141" s="128">
        <f>IF($I141="Atrasado",$J141+ROW()/1000000,0)</f>
        <v>0</v>
      </c>
    </row>
    <row r="142" spans="9:13" ht="16.5" customHeight="1">
      <c r="I142" s="66">
        <f>IF($E142="","",IF($G142&lt;&gt;"","Pago",IF($F142="","Pendente",IF('Config'!$C$9&gt;$F142,"Atrasado","Pendente"))))</f>
        <v/>
      </c>
      <c r="J142" s="126">
        <f>IF($I142="Atrasado",'Config'!$C$9-$F142,"")</f>
        <v/>
      </c>
      <c r="K142" s="127">
        <f>IF(AND($E142&lt;&gt;"",$G142=""),$E142,0)</f>
        <v>0</v>
      </c>
      <c r="L142" s="127">
        <f>IF($I142="Atrasado",$E142,0)</f>
        <v>0</v>
      </c>
      <c r="M142" s="128">
        <f>IF($I142="Atrasado",$J142+ROW()/1000000,0)</f>
        <v>0</v>
      </c>
    </row>
    <row r="143" spans="9:13" ht="16.5" customHeight="1">
      <c r="I143" s="66">
        <f>IF($E143="","",IF($G143&lt;&gt;"","Pago",IF($F143="","Pendente",IF('Config'!$C$9&gt;$F143,"Atrasado","Pendente"))))</f>
        <v/>
      </c>
      <c r="J143" s="126">
        <f>IF($I143="Atrasado",'Config'!$C$9-$F143,"")</f>
        <v/>
      </c>
      <c r="K143" s="127">
        <f>IF(AND($E143&lt;&gt;"",$G143=""),$E143,0)</f>
        <v>0</v>
      </c>
      <c r="L143" s="127">
        <f>IF($I143="Atrasado",$E143,0)</f>
        <v>0</v>
      </c>
      <c r="M143" s="128">
        <f>IF($I143="Atrasado",$J143+ROW()/1000000,0)</f>
        <v>0</v>
      </c>
    </row>
    <row r="144" spans="9:13" ht="16.5" customHeight="1">
      <c r="I144" s="66">
        <f>IF($E144="","",IF($G144&lt;&gt;"","Pago",IF($F144="","Pendente",IF('Config'!$C$9&gt;$F144,"Atrasado","Pendente"))))</f>
        <v/>
      </c>
      <c r="J144" s="126">
        <f>IF($I144="Atrasado",'Config'!$C$9-$F144,"")</f>
        <v/>
      </c>
      <c r="K144" s="127">
        <f>IF(AND($E144&lt;&gt;"",$G144=""),$E144,0)</f>
        <v>0</v>
      </c>
      <c r="L144" s="127">
        <f>IF($I144="Atrasado",$E144,0)</f>
        <v>0</v>
      </c>
      <c r="M144" s="128">
        <f>IF($I144="Atrasado",$J144+ROW()/1000000,0)</f>
        <v>0</v>
      </c>
    </row>
    <row r="145" spans="9:13" ht="16.5" customHeight="1">
      <c r="I145" s="66">
        <f>IF($E145="","",IF($G145&lt;&gt;"","Pago",IF($F145="","Pendente",IF('Config'!$C$9&gt;$F145,"Atrasado","Pendente"))))</f>
        <v/>
      </c>
      <c r="J145" s="126">
        <f>IF($I145="Atrasado",'Config'!$C$9-$F145,"")</f>
        <v/>
      </c>
      <c r="K145" s="127">
        <f>IF(AND($E145&lt;&gt;"",$G145=""),$E145,0)</f>
        <v>0</v>
      </c>
      <c r="L145" s="127">
        <f>IF($I145="Atrasado",$E145,0)</f>
        <v>0</v>
      </c>
      <c r="M145" s="128">
        <f>IF($I145="Atrasado",$J145+ROW()/1000000,0)</f>
        <v>0</v>
      </c>
    </row>
    <row r="146" spans="9:13" ht="16.5" customHeight="1">
      <c r="I146" s="66">
        <f>IF($E146="","",IF($G146&lt;&gt;"","Pago",IF($F146="","Pendente",IF('Config'!$C$9&gt;$F146,"Atrasado","Pendente"))))</f>
        <v/>
      </c>
      <c r="J146" s="126">
        <f>IF($I146="Atrasado",'Config'!$C$9-$F146,"")</f>
        <v/>
      </c>
      <c r="K146" s="127">
        <f>IF(AND($E146&lt;&gt;"",$G146=""),$E146,0)</f>
        <v>0</v>
      </c>
      <c r="L146" s="127">
        <f>IF($I146="Atrasado",$E146,0)</f>
        <v>0</v>
      </c>
      <c r="M146" s="128">
        <f>IF($I146="Atrasado",$J146+ROW()/1000000,0)</f>
        <v>0</v>
      </c>
    </row>
    <row r="147" spans="9:13" ht="16.5" customHeight="1">
      <c r="I147" s="66">
        <f>IF($E147="","",IF($G147&lt;&gt;"","Pago",IF($F147="","Pendente",IF('Config'!$C$9&gt;$F147,"Atrasado","Pendente"))))</f>
        <v/>
      </c>
      <c r="J147" s="126">
        <f>IF($I147="Atrasado",'Config'!$C$9-$F147,"")</f>
        <v/>
      </c>
      <c r="K147" s="127">
        <f>IF(AND($E147&lt;&gt;"",$G147=""),$E147,0)</f>
        <v>0</v>
      </c>
      <c r="L147" s="127">
        <f>IF($I147="Atrasado",$E147,0)</f>
        <v>0</v>
      </c>
      <c r="M147" s="128">
        <f>IF($I147="Atrasado",$J147+ROW()/1000000,0)</f>
        <v>0</v>
      </c>
    </row>
    <row r="148" spans="9:13" ht="16.5" customHeight="1">
      <c r="I148" s="66">
        <f>IF($E148="","",IF($G148&lt;&gt;"","Pago",IF($F148="","Pendente",IF('Config'!$C$9&gt;$F148,"Atrasado","Pendente"))))</f>
        <v/>
      </c>
      <c r="J148" s="126">
        <f>IF($I148="Atrasado",'Config'!$C$9-$F148,"")</f>
        <v/>
      </c>
      <c r="K148" s="127">
        <f>IF(AND($E148&lt;&gt;"",$G148=""),$E148,0)</f>
        <v>0</v>
      </c>
      <c r="L148" s="127">
        <f>IF($I148="Atrasado",$E148,0)</f>
        <v>0</v>
      </c>
      <c r="M148" s="128">
        <f>IF($I148="Atrasado",$J148+ROW()/1000000,0)</f>
        <v>0</v>
      </c>
    </row>
    <row r="149" spans="9:13" ht="16.5" customHeight="1">
      <c r="I149" s="66">
        <f>IF($E149="","",IF($G149&lt;&gt;"","Pago",IF($F149="","Pendente",IF('Config'!$C$9&gt;$F149,"Atrasado","Pendente"))))</f>
        <v/>
      </c>
      <c r="J149" s="126">
        <f>IF($I149="Atrasado",'Config'!$C$9-$F149,"")</f>
        <v/>
      </c>
      <c r="K149" s="127">
        <f>IF(AND($E149&lt;&gt;"",$G149=""),$E149,0)</f>
        <v>0</v>
      </c>
      <c r="L149" s="127">
        <f>IF($I149="Atrasado",$E149,0)</f>
        <v>0</v>
      </c>
      <c r="M149" s="128">
        <f>IF($I149="Atrasado",$J149+ROW()/1000000,0)</f>
        <v>0</v>
      </c>
    </row>
    <row r="150" spans="9:13" ht="16.5" customHeight="1">
      <c r="I150" s="66">
        <f>IF($E150="","",IF($G150&lt;&gt;"","Pago",IF($F150="","Pendente",IF('Config'!$C$9&gt;$F150,"Atrasado","Pendente"))))</f>
        <v/>
      </c>
      <c r="J150" s="126">
        <f>IF($I150="Atrasado",'Config'!$C$9-$F150,"")</f>
        <v/>
      </c>
      <c r="K150" s="127">
        <f>IF(AND($E150&lt;&gt;"",$G150=""),$E150,0)</f>
        <v>0</v>
      </c>
      <c r="L150" s="127">
        <f>IF($I150="Atrasado",$E150,0)</f>
        <v>0</v>
      </c>
      <c r="M150" s="128">
        <f>IF($I150="Atrasado",$J150+ROW()/1000000,0)</f>
        <v>0</v>
      </c>
    </row>
    <row r="151" spans="9:13" ht="16.5" customHeight="1">
      <c r="I151" s="66">
        <f>IF($E151="","",IF($G151&lt;&gt;"","Pago",IF($F151="","Pendente",IF('Config'!$C$9&gt;$F151,"Atrasado","Pendente"))))</f>
        <v/>
      </c>
      <c r="J151" s="126">
        <f>IF($I151="Atrasado",'Config'!$C$9-$F151,"")</f>
        <v/>
      </c>
      <c r="K151" s="127">
        <f>IF(AND($E151&lt;&gt;"",$G151=""),$E151,0)</f>
        <v>0</v>
      </c>
      <c r="L151" s="127">
        <f>IF($I151="Atrasado",$E151,0)</f>
        <v>0</v>
      </c>
      <c r="M151" s="128">
        <f>IF($I151="Atrasado",$J151+ROW()/1000000,0)</f>
        <v>0</v>
      </c>
    </row>
    <row r="152" spans="9:13" ht="16.5" customHeight="1">
      <c r="I152" s="66">
        <f>IF($E152="","",IF($G152&lt;&gt;"","Pago",IF($F152="","Pendente",IF('Config'!$C$9&gt;$F152,"Atrasado","Pendente"))))</f>
        <v/>
      </c>
      <c r="J152" s="126">
        <f>IF($I152="Atrasado",'Config'!$C$9-$F152,"")</f>
        <v/>
      </c>
      <c r="K152" s="127">
        <f>IF(AND($E152&lt;&gt;"",$G152=""),$E152,0)</f>
        <v>0</v>
      </c>
      <c r="L152" s="127">
        <f>IF($I152="Atrasado",$E152,0)</f>
        <v>0</v>
      </c>
      <c r="M152" s="128">
        <f>IF($I152="Atrasado",$J152+ROW()/1000000,0)</f>
        <v>0</v>
      </c>
    </row>
    <row r="153" spans="9:13" ht="16.5" customHeight="1">
      <c r="I153" s="66">
        <f>IF($E153="","",IF($G153&lt;&gt;"","Pago",IF($F153="","Pendente",IF('Config'!$C$9&gt;$F153,"Atrasado","Pendente"))))</f>
        <v/>
      </c>
      <c r="J153" s="126">
        <f>IF($I153="Atrasado",'Config'!$C$9-$F153,"")</f>
        <v/>
      </c>
      <c r="K153" s="127">
        <f>IF(AND($E153&lt;&gt;"",$G153=""),$E153,0)</f>
        <v>0</v>
      </c>
      <c r="L153" s="127">
        <f>IF($I153="Atrasado",$E153,0)</f>
        <v>0</v>
      </c>
      <c r="M153" s="128">
        <f>IF($I153="Atrasado",$J153+ROW()/1000000,0)</f>
        <v>0</v>
      </c>
    </row>
    <row r="154" spans="9:13" ht="16.5" customHeight="1">
      <c r="I154" s="66">
        <f>IF($E154="","",IF($G154&lt;&gt;"","Pago",IF($F154="","Pendente",IF('Config'!$C$9&gt;$F154,"Atrasado","Pendente"))))</f>
        <v/>
      </c>
      <c r="J154" s="126">
        <f>IF($I154="Atrasado",'Config'!$C$9-$F154,"")</f>
        <v/>
      </c>
      <c r="K154" s="127">
        <f>IF(AND($E154&lt;&gt;"",$G154=""),$E154,0)</f>
        <v>0</v>
      </c>
      <c r="L154" s="127">
        <f>IF($I154="Atrasado",$E154,0)</f>
        <v>0</v>
      </c>
      <c r="M154" s="128">
        <f>IF($I154="Atrasado",$J154+ROW()/1000000,0)</f>
        <v>0</v>
      </c>
    </row>
    <row r="155" spans="9:13" ht="16.5" customHeight="1">
      <c r="I155" s="66">
        <f>IF($E155="","",IF($G155&lt;&gt;"","Pago",IF($F155="","Pendente",IF('Config'!$C$9&gt;$F155,"Atrasado","Pendente"))))</f>
        <v/>
      </c>
      <c r="J155" s="126">
        <f>IF($I155="Atrasado",'Config'!$C$9-$F155,"")</f>
        <v/>
      </c>
      <c r="K155" s="127">
        <f>IF(AND($E155&lt;&gt;"",$G155=""),$E155,0)</f>
        <v>0</v>
      </c>
      <c r="L155" s="127">
        <f>IF($I155="Atrasado",$E155,0)</f>
        <v>0</v>
      </c>
      <c r="M155" s="128">
        <f>IF($I155="Atrasado",$J155+ROW()/1000000,0)</f>
        <v>0</v>
      </c>
    </row>
    <row r="156" spans="9:13" ht="16.5" customHeight="1">
      <c r="I156" s="66">
        <f>IF($E156="","",IF($G156&lt;&gt;"","Pago",IF($F156="","Pendente",IF('Config'!$C$9&gt;$F156,"Atrasado","Pendente"))))</f>
        <v/>
      </c>
      <c r="J156" s="126">
        <f>IF($I156="Atrasado",'Config'!$C$9-$F156,"")</f>
        <v/>
      </c>
      <c r="K156" s="127">
        <f>IF(AND($E156&lt;&gt;"",$G156=""),$E156,0)</f>
        <v>0</v>
      </c>
      <c r="L156" s="127">
        <f>IF($I156="Atrasado",$E156,0)</f>
        <v>0</v>
      </c>
      <c r="M156" s="128">
        <f>IF($I156="Atrasado",$J156+ROW()/1000000,0)</f>
        <v>0</v>
      </c>
    </row>
    <row r="157" spans="9:13" ht="16.5" customHeight="1">
      <c r="I157" s="66">
        <f>IF($E157="","",IF($G157&lt;&gt;"","Pago",IF($F157="","Pendente",IF('Config'!$C$9&gt;$F157,"Atrasado","Pendente"))))</f>
        <v/>
      </c>
      <c r="J157" s="126">
        <f>IF($I157="Atrasado",'Config'!$C$9-$F157,"")</f>
        <v/>
      </c>
      <c r="K157" s="127">
        <f>IF(AND($E157&lt;&gt;"",$G157=""),$E157,0)</f>
        <v>0</v>
      </c>
      <c r="L157" s="127">
        <f>IF($I157="Atrasado",$E157,0)</f>
        <v>0</v>
      </c>
      <c r="M157" s="128">
        <f>IF($I157="Atrasado",$J157+ROW()/1000000,0)</f>
        <v>0</v>
      </c>
    </row>
    <row r="158" spans="9:13" ht="16.5" customHeight="1">
      <c r="I158" s="66">
        <f>IF($E158="","",IF($G158&lt;&gt;"","Pago",IF($F158="","Pendente",IF('Config'!$C$9&gt;$F158,"Atrasado","Pendente"))))</f>
        <v/>
      </c>
      <c r="J158" s="126">
        <f>IF($I158="Atrasado",'Config'!$C$9-$F158,"")</f>
        <v/>
      </c>
      <c r="K158" s="127">
        <f>IF(AND($E158&lt;&gt;"",$G158=""),$E158,0)</f>
        <v>0</v>
      </c>
      <c r="L158" s="127">
        <f>IF($I158="Atrasado",$E158,0)</f>
        <v>0</v>
      </c>
      <c r="M158" s="128">
        <f>IF($I158="Atrasado",$J158+ROW()/1000000,0)</f>
        <v>0</v>
      </c>
    </row>
    <row r="159" spans="9:13" ht="16.5" customHeight="1">
      <c r="I159" s="66">
        <f>IF($E159="","",IF($G159&lt;&gt;"","Pago",IF($F159="","Pendente",IF('Config'!$C$9&gt;$F159,"Atrasado","Pendente"))))</f>
        <v/>
      </c>
      <c r="J159" s="126">
        <f>IF($I159="Atrasado",'Config'!$C$9-$F159,"")</f>
        <v/>
      </c>
      <c r="K159" s="127">
        <f>IF(AND($E159&lt;&gt;"",$G159=""),$E159,0)</f>
        <v>0</v>
      </c>
      <c r="L159" s="127">
        <f>IF($I159="Atrasado",$E159,0)</f>
        <v>0</v>
      </c>
      <c r="M159" s="128">
        <f>IF($I159="Atrasado",$J159+ROW()/1000000,0)</f>
        <v>0</v>
      </c>
    </row>
    <row r="160" spans="9:13" ht="16.5" customHeight="1">
      <c r="I160" s="66">
        <f>IF($E160="","",IF($G160&lt;&gt;"","Pago",IF($F160="","Pendente",IF('Config'!$C$9&gt;$F160,"Atrasado","Pendente"))))</f>
        <v/>
      </c>
      <c r="J160" s="126">
        <f>IF($I160="Atrasado",'Config'!$C$9-$F160,"")</f>
        <v/>
      </c>
      <c r="K160" s="127">
        <f>IF(AND($E160&lt;&gt;"",$G160=""),$E160,0)</f>
        <v>0</v>
      </c>
      <c r="L160" s="127">
        <f>IF($I160="Atrasado",$E160,0)</f>
        <v>0</v>
      </c>
      <c r="M160" s="128">
        <f>IF($I160="Atrasado",$J160+ROW()/1000000,0)</f>
        <v>0</v>
      </c>
    </row>
    <row r="161" spans="9:13" ht="16.5" customHeight="1">
      <c r="I161" s="66">
        <f>IF($E161="","",IF($G161&lt;&gt;"","Pago",IF($F161="","Pendente",IF('Config'!$C$9&gt;$F161,"Atrasado","Pendente"))))</f>
        <v/>
      </c>
      <c r="J161" s="126">
        <f>IF($I161="Atrasado",'Config'!$C$9-$F161,"")</f>
        <v/>
      </c>
      <c r="K161" s="127">
        <f>IF(AND($E161&lt;&gt;"",$G161=""),$E161,0)</f>
        <v>0</v>
      </c>
      <c r="L161" s="127">
        <f>IF($I161="Atrasado",$E161,0)</f>
        <v>0</v>
      </c>
      <c r="M161" s="128">
        <f>IF($I161="Atrasado",$J161+ROW()/1000000,0)</f>
        <v>0</v>
      </c>
    </row>
    <row r="162" spans="9:13" ht="16.5" customHeight="1">
      <c r="I162" s="66">
        <f>IF($E162="","",IF($G162&lt;&gt;"","Pago",IF($F162="","Pendente",IF('Config'!$C$9&gt;$F162,"Atrasado","Pendente"))))</f>
        <v/>
      </c>
      <c r="J162" s="126">
        <f>IF($I162="Atrasado",'Config'!$C$9-$F162,"")</f>
        <v/>
      </c>
      <c r="K162" s="127">
        <f>IF(AND($E162&lt;&gt;"",$G162=""),$E162,0)</f>
        <v>0</v>
      </c>
      <c r="L162" s="127">
        <f>IF($I162="Atrasado",$E162,0)</f>
        <v>0</v>
      </c>
      <c r="M162" s="128">
        <f>IF($I162="Atrasado",$J162+ROW()/1000000,0)</f>
        <v>0</v>
      </c>
    </row>
    <row r="163" spans="9:13" ht="16.5" customHeight="1">
      <c r="I163" s="66">
        <f>IF($E163="","",IF($G163&lt;&gt;"","Pago",IF($F163="","Pendente",IF('Config'!$C$9&gt;$F163,"Atrasado","Pendente"))))</f>
        <v/>
      </c>
      <c r="J163" s="126">
        <f>IF($I163="Atrasado",'Config'!$C$9-$F163,"")</f>
        <v/>
      </c>
      <c r="K163" s="127">
        <f>IF(AND($E163&lt;&gt;"",$G163=""),$E163,0)</f>
        <v>0</v>
      </c>
      <c r="L163" s="127">
        <f>IF($I163="Atrasado",$E163,0)</f>
        <v>0</v>
      </c>
      <c r="M163" s="128">
        <f>IF($I163="Atrasado",$J163+ROW()/1000000,0)</f>
        <v>0</v>
      </c>
    </row>
    <row r="164" spans="9:13" ht="16.5" customHeight="1">
      <c r="I164" s="66">
        <f>IF($E164="","",IF($G164&lt;&gt;"","Pago",IF($F164="","Pendente",IF('Config'!$C$9&gt;$F164,"Atrasado","Pendente"))))</f>
        <v/>
      </c>
      <c r="J164" s="126">
        <f>IF($I164="Atrasado",'Config'!$C$9-$F164,"")</f>
        <v/>
      </c>
      <c r="K164" s="127">
        <f>IF(AND($E164&lt;&gt;"",$G164=""),$E164,0)</f>
        <v>0</v>
      </c>
      <c r="L164" s="127">
        <f>IF($I164="Atrasado",$E164,0)</f>
        <v>0</v>
      </c>
      <c r="M164" s="128">
        <f>IF($I164="Atrasado",$J164+ROW()/1000000,0)</f>
        <v>0</v>
      </c>
    </row>
    <row r="165" spans="9:13" ht="16.5" customHeight="1">
      <c r="I165" s="66">
        <f>IF($E165="","",IF($G165&lt;&gt;"","Pago",IF($F165="","Pendente",IF('Config'!$C$9&gt;$F165,"Atrasado","Pendente"))))</f>
        <v/>
      </c>
      <c r="J165" s="126">
        <f>IF($I165="Atrasado",'Config'!$C$9-$F165,"")</f>
        <v/>
      </c>
      <c r="K165" s="127">
        <f>IF(AND($E165&lt;&gt;"",$G165=""),$E165,0)</f>
        <v>0</v>
      </c>
      <c r="L165" s="127">
        <f>IF($I165="Atrasado",$E165,0)</f>
        <v>0</v>
      </c>
      <c r="M165" s="128">
        <f>IF($I165="Atrasado",$J165+ROW()/1000000,0)</f>
        <v>0</v>
      </c>
    </row>
    <row r="166" spans="9:13" ht="16.5" customHeight="1">
      <c r="I166" s="66">
        <f>IF($E166="","",IF($G166&lt;&gt;"","Pago",IF($F166="","Pendente",IF('Config'!$C$9&gt;$F166,"Atrasado","Pendente"))))</f>
        <v/>
      </c>
      <c r="J166" s="126">
        <f>IF($I166="Atrasado",'Config'!$C$9-$F166,"")</f>
        <v/>
      </c>
      <c r="K166" s="127">
        <f>IF(AND($E166&lt;&gt;"",$G166=""),$E166,0)</f>
        <v>0</v>
      </c>
      <c r="L166" s="127">
        <f>IF($I166="Atrasado",$E166,0)</f>
        <v>0</v>
      </c>
      <c r="M166" s="128">
        <f>IF($I166="Atrasado",$J166+ROW()/1000000,0)</f>
        <v>0</v>
      </c>
    </row>
    <row r="167" spans="9:13" ht="16.5" customHeight="1">
      <c r="I167" s="66">
        <f>IF($E167="","",IF($G167&lt;&gt;"","Pago",IF($F167="","Pendente",IF('Config'!$C$9&gt;$F167,"Atrasado","Pendente"))))</f>
        <v/>
      </c>
      <c r="J167" s="126">
        <f>IF($I167="Atrasado",'Config'!$C$9-$F167,"")</f>
        <v/>
      </c>
      <c r="K167" s="127">
        <f>IF(AND($E167&lt;&gt;"",$G167=""),$E167,0)</f>
        <v>0</v>
      </c>
      <c r="L167" s="127">
        <f>IF($I167="Atrasado",$E167,0)</f>
        <v>0</v>
      </c>
      <c r="M167" s="128">
        <f>IF($I167="Atrasado",$J167+ROW()/1000000,0)</f>
        <v>0</v>
      </c>
    </row>
    <row r="168" spans="9:13" ht="16.5" customHeight="1">
      <c r="I168" s="66">
        <f>IF($E168="","",IF($G168&lt;&gt;"","Pago",IF($F168="","Pendente",IF('Config'!$C$9&gt;$F168,"Atrasado","Pendente"))))</f>
        <v/>
      </c>
      <c r="J168" s="126">
        <f>IF($I168="Atrasado",'Config'!$C$9-$F168,"")</f>
        <v/>
      </c>
      <c r="K168" s="127">
        <f>IF(AND($E168&lt;&gt;"",$G168=""),$E168,0)</f>
        <v>0</v>
      </c>
      <c r="L168" s="127">
        <f>IF($I168="Atrasado",$E168,0)</f>
        <v>0</v>
      </c>
      <c r="M168" s="128">
        <f>IF($I168="Atrasado",$J168+ROW()/1000000,0)</f>
        <v>0</v>
      </c>
    </row>
    <row r="169" spans="9:13" ht="16.5" customHeight="1">
      <c r="I169" s="66">
        <f>IF($E169="","",IF($G169&lt;&gt;"","Pago",IF($F169="","Pendente",IF('Config'!$C$9&gt;$F169,"Atrasado","Pendente"))))</f>
        <v/>
      </c>
      <c r="J169" s="126">
        <f>IF($I169="Atrasado",'Config'!$C$9-$F169,"")</f>
        <v/>
      </c>
      <c r="K169" s="127">
        <f>IF(AND($E169&lt;&gt;"",$G169=""),$E169,0)</f>
        <v>0</v>
      </c>
      <c r="L169" s="127">
        <f>IF($I169="Atrasado",$E169,0)</f>
        <v>0</v>
      </c>
      <c r="M169" s="128">
        <f>IF($I169="Atrasado",$J169+ROW()/1000000,0)</f>
        <v>0</v>
      </c>
    </row>
    <row r="170" spans="9:13" ht="16.5" customHeight="1">
      <c r="I170" s="66">
        <f>IF($E170="","",IF($G170&lt;&gt;"","Pago",IF($F170="","Pendente",IF('Config'!$C$9&gt;$F170,"Atrasado","Pendente"))))</f>
        <v/>
      </c>
      <c r="J170" s="126">
        <f>IF($I170="Atrasado",'Config'!$C$9-$F170,"")</f>
        <v/>
      </c>
      <c r="K170" s="127">
        <f>IF(AND($E170&lt;&gt;"",$G170=""),$E170,0)</f>
        <v>0</v>
      </c>
      <c r="L170" s="127">
        <f>IF($I170="Atrasado",$E170,0)</f>
        <v>0</v>
      </c>
      <c r="M170" s="128">
        <f>IF($I170="Atrasado",$J170+ROW()/1000000,0)</f>
        <v>0</v>
      </c>
    </row>
    <row r="171" spans="9:13" ht="16.5" customHeight="1">
      <c r="I171" s="66">
        <f>IF($E171="","",IF($G171&lt;&gt;"","Pago",IF($F171="","Pendente",IF('Config'!$C$9&gt;$F171,"Atrasado","Pendente"))))</f>
        <v/>
      </c>
      <c r="J171" s="126">
        <f>IF($I171="Atrasado",'Config'!$C$9-$F171,"")</f>
        <v/>
      </c>
      <c r="K171" s="127">
        <f>IF(AND($E171&lt;&gt;"",$G171=""),$E171,0)</f>
        <v>0</v>
      </c>
      <c r="L171" s="127">
        <f>IF($I171="Atrasado",$E171,0)</f>
        <v>0</v>
      </c>
      <c r="M171" s="128">
        <f>IF($I171="Atrasado",$J171+ROW()/1000000,0)</f>
        <v>0</v>
      </c>
    </row>
    <row r="172" spans="9:13" ht="16.5" customHeight="1">
      <c r="I172" s="66">
        <f>IF($E172="","",IF($G172&lt;&gt;"","Pago",IF($F172="","Pendente",IF('Config'!$C$9&gt;$F172,"Atrasado","Pendente"))))</f>
        <v/>
      </c>
      <c r="J172" s="126">
        <f>IF($I172="Atrasado",'Config'!$C$9-$F172,"")</f>
        <v/>
      </c>
      <c r="K172" s="127">
        <f>IF(AND($E172&lt;&gt;"",$G172=""),$E172,0)</f>
        <v>0</v>
      </c>
      <c r="L172" s="127">
        <f>IF($I172="Atrasado",$E172,0)</f>
        <v>0</v>
      </c>
      <c r="M172" s="128">
        <f>IF($I172="Atrasado",$J172+ROW()/1000000,0)</f>
        <v>0</v>
      </c>
    </row>
    <row r="173" spans="9:13" ht="16.5" customHeight="1">
      <c r="I173" s="66">
        <f>IF($E173="","",IF($G173&lt;&gt;"","Pago",IF($F173="","Pendente",IF('Config'!$C$9&gt;$F173,"Atrasado","Pendente"))))</f>
        <v/>
      </c>
      <c r="J173" s="126">
        <f>IF($I173="Atrasado",'Config'!$C$9-$F173,"")</f>
        <v/>
      </c>
      <c r="K173" s="127">
        <f>IF(AND($E173&lt;&gt;"",$G173=""),$E173,0)</f>
        <v>0</v>
      </c>
      <c r="L173" s="127">
        <f>IF($I173="Atrasado",$E173,0)</f>
        <v>0</v>
      </c>
      <c r="M173" s="128">
        <f>IF($I173="Atrasado",$J173+ROW()/1000000,0)</f>
        <v>0</v>
      </c>
    </row>
    <row r="174" spans="9:13" ht="16.5" customHeight="1">
      <c r="I174" s="66">
        <f>IF($E174="","",IF($G174&lt;&gt;"","Pago",IF($F174="","Pendente",IF('Config'!$C$9&gt;$F174,"Atrasado","Pendente"))))</f>
        <v/>
      </c>
      <c r="J174" s="126">
        <f>IF($I174="Atrasado",'Config'!$C$9-$F174,"")</f>
        <v/>
      </c>
      <c r="K174" s="127">
        <f>IF(AND($E174&lt;&gt;"",$G174=""),$E174,0)</f>
        <v>0</v>
      </c>
      <c r="L174" s="127">
        <f>IF($I174="Atrasado",$E174,0)</f>
        <v>0</v>
      </c>
      <c r="M174" s="128">
        <f>IF($I174="Atrasado",$J174+ROW()/1000000,0)</f>
        <v>0</v>
      </c>
    </row>
    <row r="175" spans="9:13" ht="16.5" customHeight="1">
      <c r="I175" s="66">
        <f>IF($E175="","",IF($G175&lt;&gt;"","Pago",IF($F175="","Pendente",IF('Config'!$C$9&gt;$F175,"Atrasado","Pendente"))))</f>
        <v/>
      </c>
      <c r="J175" s="126">
        <f>IF($I175="Atrasado",'Config'!$C$9-$F175,"")</f>
        <v/>
      </c>
      <c r="K175" s="127">
        <f>IF(AND($E175&lt;&gt;"",$G175=""),$E175,0)</f>
        <v>0</v>
      </c>
      <c r="L175" s="127">
        <f>IF($I175="Atrasado",$E175,0)</f>
        <v>0</v>
      </c>
      <c r="M175" s="128">
        <f>IF($I175="Atrasado",$J175+ROW()/1000000,0)</f>
        <v>0</v>
      </c>
    </row>
    <row r="176" spans="9:13" ht="16.5" customHeight="1">
      <c r="I176" s="66">
        <f>IF($E176="","",IF($G176&lt;&gt;"","Pago",IF($F176="","Pendente",IF('Config'!$C$9&gt;$F176,"Atrasado","Pendente"))))</f>
        <v/>
      </c>
      <c r="J176" s="126">
        <f>IF($I176="Atrasado",'Config'!$C$9-$F176,"")</f>
        <v/>
      </c>
      <c r="K176" s="127">
        <f>IF(AND($E176&lt;&gt;"",$G176=""),$E176,0)</f>
        <v>0</v>
      </c>
      <c r="L176" s="127">
        <f>IF($I176="Atrasado",$E176,0)</f>
        <v>0</v>
      </c>
      <c r="M176" s="128">
        <f>IF($I176="Atrasado",$J176+ROW()/1000000,0)</f>
        <v>0</v>
      </c>
    </row>
    <row r="177" spans="9:13" ht="16.5" customHeight="1">
      <c r="I177" s="66">
        <f>IF($E177="","",IF($G177&lt;&gt;"","Pago",IF($F177="","Pendente",IF('Config'!$C$9&gt;$F177,"Atrasado","Pendente"))))</f>
        <v/>
      </c>
      <c r="J177" s="126">
        <f>IF($I177="Atrasado",'Config'!$C$9-$F177,"")</f>
        <v/>
      </c>
      <c r="K177" s="127">
        <f>IF(AND($E177&lt;&gt;"",$G177=""),$E177,0)</f>
        <v>0</v>
      </c>
      <c r="L177" s="127">
        <f>IF($I177="Atrasado",$E177,0)</f>
        <v>0</v>
      </c>
      <c r="M177" s="128">
        <f>IF($I177="Atrasado",$J177+ROW()/1000000,0)</f>
        <v>0</v>
      </c>
    </row>
    <row r="178" spans="9:13" ht="16.5" customHeight="1">
      <c r="I178" s="66">
        <f>IF($E178="","",IF($G178&lt;&gt;"","Pago",IF($F178="","Pendente",IF('Config'!$C$9&gt;$F178,"Atrasado","Pendente"))))</f>
        <v/>
      </c>
      <c r="J178" s="126">
        <f>IF($I178="Atrasado",'Config'!$C$9-$F178,"")</f>
        <v/>
      </c>
      <c r="K178" s="127">
        <f>IF(AND($E178&lt;&gt;"",$G178=""),$E178,0)</f>
        <v>0</v>
      </c>
      <c r="L178" s="127">
        <f>IF($I178="Atrasado",$E178,0)</f>
        <v>0</v>
      </c>
      <c r="M178" s="128">
        <f>IF($I178="Atrasado",$J178+ROW()/1000000,0)</f>
        <v>0</v>
      </c>
    </row>
    <row r="179" spans="9:13" ht="16.5" customHeight="1">
      <c r="I179" s="66">
        <f>IF($E179="","",IF($G179&lt;&gt;"","Pago",IF($F179="","Pendente",IF('Config'!$C$9&gt;$F179,"Atrasado","Pendente"))))</f>
        <v/>
      </c>
      <c r="J179" s="126">
        <f>IF($I179="Atrasado",'Config'!$C$9-$F179,"")</f>
        <v/>
      </c>
      <c r="K179" s="127">
        <f>IF(AND($E179&lt;&gt;"",$G179=""),$E179,0)</f>
        <v>0</v>
      </c>
      <c r="L179" s="127">
        <f>IF($I179="Atrasado",$E179,0)</f>
        <v>0</v>
      </c>
      <c r="M179" s="128">
        <f>IF($I179="Atrasado",$J179+ROW()/1000000,0)</f>
        <v>0</v>
      </c>
    </row>
    <row r="180" spans="9:13" ht="16.5" customHeight="1">
      <c r="I180" s="66">
        <f>IF($E180="","",IF($G180&lt;&gt;"","Pago",IF($F180="","Pendente",IF('Config'!$C$9&gt;$F180,"Atrasado","Pendente"))))</f>
        <v/>
      </c>
      <c r="J180" s="126">
        <f>IF($I180="Atrasado",'Config'!$C$9-$F180,"")</f>
        <v/>
      </c>
      <c r="K180" s="127">
        <f>IF(AND($E180&lt;&gt;"",$G180=""),$E180,0)</f>
        <v>0</v>
      </c>
      <c r="L180" s="127">
        <f>IF($I180="Atrasado",$E180,0)</f>
        <v>0</v>
      </c>
      <c r="M180" s="128">
        <f>IF($I180="Atrasado",$J180+ROW()/1000000,0)</f>
        <v>0</v>
      </c>
    </row>
    <row r="181" spans="9:13" ht="16.5" customHeight="1">
      <c r="I181" s="66">
        <f>IF($E181="","",IF($G181&lt;&gt;"","Pago",IF($F181="","Pendente",IF('Config'!$C$9&gt;$F181,"Atrasado","Pendente"))))</f>
        <v/>
      </c>
      <c r="J181" s="126">
        <f>IF($I181="Atrasado",'Config'!$C$9-$F181,"")</f>
        <v/>
      </c>
      <c r="K181" s="127">
        <f>IF(AND($E181&lt;&gt;"",$G181=""),$E181,0)</f>
        <v>0</v>
      </c>
      <c r="L181" s="127">
        <f>IF($I181="Atrasado",$E181,0)</f>
        <v>0</v>
      </c>
      <c r="M181" s="128">
        <f>IF($I181="Atrasado",$J181+ROW()/1000000,0)</f>
        <v>0</v>
      </c>
    </row>
    <row r="182" spans="9:13" ht="16.5" customHeight="1">
      <c r="I182" s="66">
        <f>IF($E182="","",IF($G182&lt;&gt;"","Pago",IF($F182="","Pendente",IF('Config'!$C$9&gt;$F182,"Atrasado","Pendente"))))</f>
        <v/>
      </c>
      <c r="J182" s="126">
        <f>IF($I182="Atrasado",'Config'!$C$9-$F182,"")</f>
        <v/>
      </c>
      <c r="K182" s="127">
        <f>IF(AND($E182&lt;&gt;"",$G182=""),$E182,0)</f>
        <v>0</v>
      </c>
      <c r="L182" s="127">
        <f>IF($I182="Atrasado",$E182,0)</f>
        <v>0</v>
      </c>
      <c r="M182" s="128">
        <f>IF($I182="Atrasado",$J182+ROW()/1000000,0)</f>
        <v>0</v>
      </c>
    </row>
    <row r="183" spans="9:13" ht="16.5" customHeight="1">
      <c r="I183" s="66">
        <f>IF($E183="","",IF($G183&lt;&gt;"","Pago",IF($F183="","Pendente",IF('Config'!$C$9&gt;$F183,"Atrasado","Pendente"))))</f>
        <v/>
      </c>
      <c r="J183" s="126">
        <f>IF($I183="Atrasado",'Config'!$C$9-$F183,"")</f>
        <v/>
      </c>
      <c r="K183" s="127">
        <f>IF(AND($E183&lt;&gt;"",$G183=""),$E183,0)</f>
        <v>0</v>
      </c>
      <c r="L183" s="127">
        <f>IF($I183="Atrasado",$E183,0)</f>
        <v>0</v>
      </c>
      <c r="M183" s="128">
        <f>IF($I183="Atrasado",$J183+ROW()/1000000,0)</f>
        <v>0</v>
      </c>
    </row>
    <row r="184" spans="9:13" ht="16.5" customHeight="1">
      <c r="I184" s="66">
        <f>IF($E184="","",IF($G184&lt;&gt;"","Pago",IF($F184="","Pendente",IF('Config'!$C$9&gt;$F184,"Atrasado","Pendente"))))</f>
        <v/>
      </c>
      <c r="J184" s="126">
        <f>IF($I184="Atrasado",'Config'!$C$9-$F184,"")</f>
        <v/>
      </c>
      <c r="K184" s="127">
        <f>IF(AND($E184&lt;&gt;"",$G184=""),$E184,0)</f>
        <v>0</v>
      </c>
      <c r="L184" s="127">
        <f>IF($I184="Atrasado",$E184,0)</f>
        <v>0</v>
      </c>
      <c r="M184" s="128">
        <f>IF($I184="Atrasado",$J184+ROW()/1000000,0)</f>
        <v>0</v>
      </c>
    </row>
    <row r="185" spans="9:13" ht="16.5" customHeight="1">
      <c r="I185" s="66">
        <f>IF($E185="","",IF($G185&lt;&gt;"","Pago",IF($F185="","Pendente",IF('Config'!$C$9&gt;$F185,"Atrasado","Pendente"))))</f>
        <v/>
      </c>
      <c r="J185" s="126">
        <f>IF($I185="Atrasado",'Config'!$C$9-$F185,"")</f>
        <v/>
      </c>
      <c r="K185" s="127">
        <f>IF(AND($E185&lt;&gt;"",$G185=""),$E185,0)</f>
        <v>0</v>
      </c>
      <c r="L185" s="127">
        <f>IF($I185="Atrasado",$E185,0)</f>
        <v>0</v>
      </c>
      <c r="M185" s="128">
        <f>IF($I185="Atrasado",$J185+ROW()/1000000,0)</f>
        <v>0</v>
      </c>
    </row>
    <row r="186" spans="9:13" ht="16.5" customHeight="1">
      <c r="I186" s="66">
        <f>IF($E186="","",IF($G186&lt;&gt;"","Pago",IF($F186="","Pendente",IF('Config'!$C$9&gt;$F186,"Atrasado","Pendente"))))</f>
        <v/>
      </c>
      <c r="J186" s="126">
        <f>IF($I186="Atrasado",'Config'!$C$9-$F186,"")</f>
        <v/>
      </c>
      <c r="K186" s="127">
        <f>IF(AND($E186&lt;&gt;"",$G186=""),$E186,0)</f>
        <v>0</v>
      </c>
      <c r="L186" s="127">
        <f>IF($I186="Atrasado",$E186,0)</f>
        <v>0</v>
      </c>
      <c r="M186" s="128">
        <f>IF($I186="Atrasado",$J186+ROW()/1000000,0)</f>
        <v>0</v>
      </c>
    </row>
    <row r="187" spans="9:13" ht="16.5" customHeight="1">
      <c r="I187" s="66">
        <f>IF($E187="","",IF($G187&lt;&gt;"","Pago",IF($F187="","Pendente",IF('Config'!$C$9&gt;$F187,"Atrasado","Pendente"))))</f>
        <v/>
      </c>
      <c r="J187" s="126">
        <f>IF($I187="Atrasado",'Config'!$C$9-$F187,"")</f>
        <v/>
      </c>
      <c r="K187" s="127">
        <f>IF(AND($E187&lt;&gt;"",$G187=""),$E187,0)</f>
        <v>0</v>
      </c>
      <c r="L187" s="127">
        <f>IF($I187="Atrasado",$E187,0)</f>
        <v>0</v>
      </c>
      <c r="M187" s="128">
        <f>IF($I187="Atrasado",$J187+ROW()/1000000,0)</f>
        <v>0</v>
      </c>
    </row>
    <row r="188" spans="9:13" ht="16.5" customHeight="1">
      <c r="I188" s="66">
        <f>IF($E188="","",IF($G188&lt;&gt;"","Pago",IF($F188="","Pendente",IF('Config'!$C$9&gt;$F188,"Atrasado","Pendente"))))</f>
        <v/>
      </c>
      <c r="J188" s="126">
        <f>IF($I188="Atrasado",'Config'!$C$9-$F188,"")</f>
        <v/>
      </c>
      <c r="K188" s="127">
        <f>IF(AND($E188&lt;&gt;"",$G188=""),$E188,0)</f>
        <v>0</v>
      </c>
      <c r="L188" s="127">
        <f>IF($I188="Atrasado",$E188,0)</f>
        <v>0</v>
      </c>
      <c r="M188" s="128">
        <f>IF($I188="Atrasado",$J188+ROW()/1000000,0)</f>
        <v>0</v>
      </c>
    </row>
    <row r="189" spans="9:13" ht="16.5" customHeight="1">
      <c r="I189" s="66">
        <f>IF($E189="","",IF($G189&lt;&gt;"","Pago",IF($F189="","Pendente",IF('Config'!$C$9&gt;$F189,"Atrasado","Pendente"))))</f>
        <v/>
      </c>
      <c r="J189" s="126">
        <f>IF($I189="Atrasado",'Config'!$C$9-$F189,"")</f>
        <v/>
      </c>
      <c r="K189" s="127">
        <f>IF(AND($E189&lt;&gt;"",$G189=""),$E189,0)</f>
        <v>0</v>
      </c>
      <c r="L189" s="127">
        <f>IF($I189="Atrasado",$E189,0)</f>
        <v>0</v>
      </c>
      <c r="M189" s="128">
        <f>IF($I189="Atrasado",$J189+ROW()/1000000,0)</f>
        <v>0</v>
      </c>
    </row>
    <row r="190" spans="9:13" ht="16.5" customHeight="1">
      <c r="I190" s="66">
        <f>IF($E190="","",IF($G190&lt;&gt;"","Pago",IF($F190="","Pendente",IF('Config'!$C$9&gt;$F190,"Atrasado","Pendente"))))</f>
        <v/>
      </c>
      <c r="J190" s="126">
        <f>IF($I190="Atrasado",'Config'!$C$9-$F190,"")</f>
        <v/>
      </c>
      <c r="K190" s="127">
        <f>IF(AND($E190&lt;&gt;"",$G190=""),$E190,0)</f>
        <v>0</v>
      </c>
      <c r="L190" s="127">
        <f>IF($I190="Atrasado",$E190,0)</f>
        <v>0</v>
      </c>
      <c r="M190" s="128">
        <f>IF($I190="Atrasado",$J190+ROW()/1000000,0)</f>
        <v>0</v>
      </c>
    </row>
    <row r="191" spans="9:13" ht="16.5" customHeight="1">
      <c r="I191" s="66">
        <f>IF($E191="","",IF($G191&lt;&gt;"","Pago",IF($F191="","Pendente",IF('Config'!$C$9&gt;$F191,"Atrasado","Pendente"))))</f>
        <v/>
      </c>
      <c r="J191" s="126">
        <f>IF($I191="Atrasado",'Config'!$C$9-$F191,"")</f>
        <v/>
      </c>
      <c r="K191" s="127">
        <f>IF(AND($E191&lt;&gt;"",$G191=""),$E191,0)</f>
        <v>0</v>
      </c>
      <c r="L191" s="127">
        <f>IF($I191="Atrasado",$E191,0)</f>
        <v>0</v>
      </c>
      <c r="M191" s="128">
        <f>IF($I191="Atrasado",$J191+ROW()/1000000,0)</f>
        <v>0</v>
      </c>
    </row>
    <row r="192" spans="9:13" ht="16.5" customHeight="1">
      <c r="I192" s="66">
        <f>IF($E192="","",IF($G192&lt;&gt;"","Pago",IF($F192="","Pendente",IF('Config'!$C$9&gt;$F192,"Atrasado","Pendente"))))</f>
        <v/>
      </c>
      <c r="J192" s="126">
        <f>IF($I192="Atrasado",'Config'!$C$9-$F192,"")</f>
        <v/>
      </c>
      <c r="K192" s="127">
        <f>IF(AND($E192&lt;&gt;"",$G192=""),$E192,0)</f>
        <v>0</v>
      </c>
      <c r="L192" s="127">
        <f>IF($I192="Atrasado",$E192,0)</f>
        <v>0</v>
      </c>
      <c r="M192" s="128">
        <f>IF($I192="Atrasado",$J192+ROW()/1000000,0)</f>
        <v>0</v>
      </c>
    </row>
    <row r="193" spans="9:13" ht="16.5" customHeight="1">
      <c r="I193" s="66">
        <f>IF($E193="","",IF($G193&lt;&gt;"","Pago",IF($F193="","Pendente",IF('Config'!$C$9&gt;$F193,"Atrasado","Pendente"))))</f>
        <v/>
      </c>
      <c r="J193" s="126">
        <f>IF($I193="Atrasado",'Config'!$C$9-$F193,"")</f>
        <v/>
      </c>
      <c r="K193" s="127">
        <f>IF(AND($E193&lt;&gt;"",$G193=""),$E193,0)</f>
        <v>0</v>
      </c>
      <c r="L193" s="127">
        <f>IF($I193="Atrasado",$E193,0)</f>
        <v>0</v>
      </c>
      <c r="M193" s="128">
        <f>IF($I193="Atrasado",$J193+ROW()/1000000,0)</f>
        <v>0</v>
      </c>
    </row>
    <row r="194" spans="9:13" ht="16.5" customHeight="1">
      <c r="I194" s="66">
        <f>IF($E194="","",IF($G194&lt;&gt;"","Pago",IF($F194="","Pendente",IF('Config'!$C$9&gt;$F194,"Atrasado","Pendente"))))</f>
        <v/>
      </c>
      <c r="J194" s="126">
        <f>IF($I194="Atrasado",'Config'!$C$9-$F194,"")</f>
        <v/>
      </c>
      <c r="K194" s="127">
        <f>IF(AND($E194&lt;&gt;"",$G194=""),$E194,0)</f>
        <v>0</v>
      </c>
      <c r="L194" s="127">
        <f>IF($I194="Atrasado",$E194,0)</f>
        <v>0</v>
      </c>
      <c r="M194" s="128">
        <f>IF($I194="Atrasado",$J194+ROW()/1000000,0)</f>
        <v>0</v>
      </c>
    </row>
    <row r="195" spans="9:13" ht="16.5" customHeight="1">
      <c r="I195" s="66">
        <f>IF($E195="","",IF($G195&lt;&gt;"","Pago",IF($F195="","Pendente",IF('Config'!$C$9&gt;$F195,"Atrasado","Pendente"))))</f>
        <v/>
      </c>
      <c r="J195" s="126">
        <f>IF($I195="Atrasado",'Config'!$C$9-$F195,"")</f>
        <v/>
      </c>
      <c r="K195" s="127">
        <f>IF(AND($E195&lt;&gt;"",$G195=""),$E195,0)</f>
        <v>0</v>
      </c>
      <c r="L195" s="127">
        <f>IF($I195="Atrasado",$E195,0)</f>
        <v>0</v>
      </c>
      <c r="M195" s="128">
        <f>IF($I195="Atrasado",$J195+ROW()/1000000,0)</f>
        <v>0</v>
      </c>
    </row>
    <row r="196" spans="9:13" ht="16.5" customHeight="1">
      <c r="I196" s="66">
        <f>IF($E196="","",IF($G196&lt;&gt;"","Pago",IF($F196="","Pendente",IF('Config'!$C$9&gt;$F196,"Atrasado","Pendente"))))</f>
        <v/>
      </c>
      <c r="J196" s="126">
        <f>IF($I196="Atrasado",'Config'!$C$9-$F196,"")</f>
        <v/>
      </c>
      <c r="K196" s="127">
        <f>IF(AND($E196&lt;&gt;"",$G196=""),$E196,0)</f>
        <v>0</v>
      </c>
      <c r="L196" s="127">
        <f>IF($I196="Atrasado",$E196,0)</f>
        <v>0</v>
      </c>
      <c r="M196" s="128">
        <f>IF($I196="Atrasado",$J196+ROW()/1000000,0)</f>
        <v>0</v>
      </c>
    </row>
    <row r="197" spans="9:13" ht="16.5" customHeight="1">
      <c r="I197" s="66">
        <f>IF($E197="","",IF($G197&lt;&gt;"","Pago",IF($F197="","Pendente",IF('Config'!$C$9&gt;$F197,"Atrasado","Pendente"))))</f>
        <v/>
      </c>
      <c r="J197" s="126">
        <f>IF($I197="Atrasado",'Config'!$C$9-$F197,"")</f>
        <v/>
      </c>
      <c r="K197" s="127">
        <f>IF(AND($E197&lt;&gt;"",$G197=""),$E197,0)</f>
        <v>0</v>
      </c>
      <c r="L197" s="127">
        <f>IF($I197="Atrasado",$E197,0)</f>
        <v>0</v>
      </c>
      <c r="M197" s="128">
        <f>IF($I197="Atrasado",$J197+ROW()/1000000,0)</f>
        <v>0</v>
      </c>
    </row>
    <row r="198" spans="9:13" ht="16.5" customHeight="1">
      <c r="I198" s="66">
        <f>IF($E198="","",IF($G198&lt;&gt;"","Pago",IF($F198="","Pendente",IF('Config'!$C$9&gt;$F198,"Atrasado","Pendente"))))</f>
        <v/>
      </c>
      <c r="J198" s="126">
        <f>IF($I198="Atrasado",'Config'!$C$9-$F198,"")</f>
        <v/>
      </c>
      <c r="K198" s="127">
        <f>IF(AND($E198&lt;&gt;"",$G198=""),$E198,0)</f>
        <v>0</v>
      </c>
      <c r="L198" s="127">
        <f>IF($I198="Atrasado",$E198,0)</f>
        <v>0</v>
      </c>
      <c r="M198" s="128">
        <f>IF($I198="Atrasado",$J198+ROW()/1000000,0)</f>
        <v>0</v>
      </c>
    </row>
    <row r="199" spans="9:13" ht="16.5" customHeight="1">
      <c r="I199" s="66">
        <f>IF($E199="","",IF($G199&lt;&gt;"","Pago",IF($F199="","Pendente",IF('Config'!$C$9&gt;$F199,"Atrasado","Pendente"))))</f>
        <v/>
      </c>
      <c r="J199" s="126">
        <f>IF($I199="Atrasado",'Config'!$C$9-$F199,"")</f>
        <v/>
      </c>
      <c r="K199" s="127">
        <f>IF(AND($E199&lt;&gt;"",$G199=""),$E199,0)</f>
        <v>0</v>
      </c>
      <c r="L199" s="127">
        <f>IF($I199="Atrasado",$E199,0)</f>
        <v>0</v>
      </c>
      <c r="M199" s="128">
        <f>IF($I199="Atrasado",$J199+ROW()/1000000,0)</f>
        <v>0</v>
      </c>
    </row>
    <row r="200" spans="9:13" ht="16.5" customHeight="1">
      <c r="I200" s="66">
        <f>IF($E200="","",IF($G200&lt;&gt;"","Pago",IF($F200="","Pendente",IF('Config'!$C$9&gt;$F200,"Atrasado","Pendente"))))</f>
        <v/>
      </c>
      <c r="J200" s="126">
        <f>IF($I200="Atrasado",'Config'!$C$9-$F200,"")</f>
        <v/>
      </c>
      <c r="K200" s="127">
        <f>IF(AND($E200&lt;&gt;"",$G200=""),$E200,0)</f>
        <v>0</v>
      </c>
      <c r="L200" s="127">
        <f>IF($I200="Atrasado",$E200,0)</f>
        <v>0</v>
      </c>
      <c r="M200" s="128">
        <f>IF($I200="Atrasado",$J200+ROW()/1000000,0)</f>
        <v>0</v>
      </c>
    </row>
    <row r="201" spans="9:13" ht="16.5" customHeight="1">
      <c r="I201" s="66">
        <f>IF($E201="","",IF($G201&lt;&gt;"","Pago",IF($F201="","Pendente",IF('Config'!$C$9&gt;$F201,"Atrasado","Pendente"))))</f>
        <v/>
      </c>
      <c r="J201" s="126">
        <f>IF($I201="Atrasado",'Config'!$C$9-$F201,"")</f>
        <v/>
      </c>
      <c r="K201" s="127">
        <f>IF(AND($E201&lt;&gt;"",$G201=""),$E201,0)</f>
        <v>0</v>
      </c>
      <c r="L201" s="127">
        <f>IF($I201="Atrasado",$E201,0)</f>
        <v>0</v>
      </c>
      <c r="M201" s="128">
        <f>IF($I201="Atrasado",$J201+ROW()/1000000,0)</f>
        <v>0</v>
      </c>
    </row>
    <row r="202" spans="9:13" ht="16.5" customHeight="1">
      <c r="I202" s="66">
        <f>IF($E202="","",IF($G202&lt;&gt;"","Pago",IF($F202="","Pendente",IF('Config'!$C$9&gt;$F202,"Atrasado","Pendente"))))</f>
        <v/>
      </c>
      <c r="J202" s="126">
        <f>IF($I202="Atrasado",'Config'!$C$9-$F202,"")</f>
        <v/>
      </c>
      <c r="K202" s="127">
        <f>IF(AND($E202&lt;&gt;"",$G202=""),$E202,0)</f>
        <v>0</v>
      </c>
      <c r="L202" s="127">
        <f>IF($I202="Atrasado",$E202,0)</f>
        <v>0</v>
      </c>
      <c r="M202" s="128">
        <f>IF($I202="Atrasado",$J202+ROW()/1000000,0)</f>
        <v>0</v>
      </c>
    </row>
    <row r="203" spans="9:13" ht="16.5" customHeight="1">
      <c r="I203" s="66">
        <f>IF($E203="","",IF($G203&lt;&gt;"","Pago",IF($F203="","Pendente",IF('Config'!$C$9&gt;$F203,"Atrasado","Pendente"))))</f>
        <v/>
      </c>
      <c r="J203" s="126">
        <f>IF($I203="Atrasado",'Config'!$C$9-$F203,"")</f>
        <v/>
      </c>
      <c r="K203" s="127">
        <f>IF(AND($E203&lt;&gt;"",$G203=""),$E203,0)</f>
        <v>0</v>
      </c>
      <c r="L203" s="127">
        <f>IF($I203="Atrasado",$E203,0)</f>
        <v>0</v>
      </c>
      <c r="M203" s="128">
        <f>IF($I203="Atrasado",$J203+ROW()/1000000,0)</f>
        <v>0</v>
      </c>
    </row>
    <row r="204" spans="9:13" ht="16.5" customHeight="1">
      <c r="I204" s="66">
        <f>IF($E204="","",IF($G204&lt;&gt;"","Pago",IF($F204="","Pendente",IF('Config'!$C$9&gt;$F204,"Atrasado","Pendente"))))</f>
        <v/>
      </c>
      <c r="J204" s="126">
        <f>IF($I204="Atrasado",'Config'!$C$9-$F204,"")</f>
        <v/>
      </c>
      <c r="K204" s="127">
        <f>IF(AND($E204&lt;&gt;"",$G204=""),$E204,0)</f>
        <v>0</v>
      </c>
      <c r="L204" s="127">
        <f>IF($I204="Atrasado",$E204,0)</f>
        <v>0</v>
      </c>
      <c r="M204" s="128">
        <f>IF($I204="Atrasado",$J204+ROW()/1000000,0)</f>
        <v>0</v>
      </c>
    </row>
    <row r="205" spans="9:13" ht="16.5" customHeight="1">
      <c r="I205" s="66">
        <f>IF($E205="","",IF($G205&lt;&gt;"","Pago",IF($F205="","Pendente",IF('Config'!$C$9&gt;$F205,"Atrasado","Pendente"))))</f>
        <v/>
      </c>
      <c r="J205" s="126">
        <f>IF($I205="Atrasado",'Config'!$C$9-$F205,"")</f>
        <v/>
      </c>
      <c r="K205" s="127">
        <f>IF(AND($E205&lt;&gt;"",$G205=""),$E205,0)</f>
        <v>0</v>
      </c>
      <c r="L205" s="127">
        <f>IF($I205="Atrasado",$E205,0)</f>
        <v>0</v>
      </c>
      <c r="M205" s="128">
        <f>IF($I205="Atrasado",$J205+ROW()/1000000,0)</f>
        <v>0</v>
      </c>
    </row>
    <row r="206" spans="9:13" ht="16.5" customHeight="1">
      <c r="I206" s="66">
        <f>IF($E206="","",IF($G206&lt;&gt;"","Pago",IF($F206="","Pendente",IF('Config'!$C$9&gt;$F206,"Atrasado","Pendente"))))</f>
        <v/>
      </c>
      <c r="J206" s="126">
        <f>IF($I206="Atrasado",'Config'!$C$9-$F206,"")</f>
        <v/>
      </c>
      <c r="K206" s="127">
        <f>IF(AND($E206&lt;&gt;"",$G206=""),$E206,0)</f>
        <v>0</v>
      </c>
      <c r="L206" s="127">
        <f>IF($I206="Atrasado",$E206,0)</f>
        <v>0</v>
      </c>
      <c r="M206" s="128">
        <f>IF($I206="Atrasado",$J206+ROW()/1000000,0)</f>
        <v>0</v>
      </c>
    </row>
    <row r="207" spans="9:13" ht="16.5" customHeight="1">
      <c r="I207" s="66">
        <f>IF($E207="","",IF($G207&lt;&gt;"","Pago",IF($F207="","Pendente",IF('Config'!$C$9&gt;$F207,"Atrasado","Pendente"))))</f>
        <v/>
      </c>
      <c r="J207" s="126">
        <f>IF($I207="Atrasado",'Config'!$C$9-$F207,"")</f>
        <v/>
      </c>
      <c r="K207" s="127">
        <f>IF(AND($E207&lt;&gt;"",$G207=""),$E207,0)</f>
        <v>0</v>
      </c>
      <c r="L207" s="127">
        <f>IF($I207="Atrasado",$E207,0)</f>
        <v>0</v>
      </c>
      <c r="M207" s="128">
        <f>IF($I207="Atrasado",$J207+ROW()/1000000,0)</f>
        <v>0</v>
      </c>
    </row>
    <row r="208" spans="9:13" ht="16.5" customHeight="1">
      <c r="I208" s="66">
        <f>IF($E208="","",IF($G208&lt;&gt;"","Pago",IF($F208="","Pendente",IF('Config'!$C$9&gt;$F208,"Atrasado","Pendente"))))</f>
        <v/>
      </c>
      <c r="J208" s="126">
        <f>IF($I208="Atrasado",'Config'!$C$9-$F208,"")</f>
        <v/>
      </c>
      <c r="K208" s="127">
        <f>IF(AND($E208&lt;&gt;"",$G208=""),$E208,0)</f>
        <v>0</v>
      </c>
      <c r="L208" s="127">
        <f>IF($I208="Atrasado",$E208,0)</f>
        <v>0</v>
      </c>
      <c r="M208" s="128">
        <f>IF($I208="Atrasado",$J208+ROW()/1000000,0)</f>
        <v>0</v>
      </c>
    </row>
    <row r="209" spans="9:13" ht="16.5" customHeight="1">
      <c r="I209" s="66">
        <f>IF($E209="","",IF($G209&lt;&gt;"","Pago",IF($F209="","Pendente",IF('Config'!$C$9&gt;$F209,"Atrasado","Pendente"))))</f>
        <v/>
      </c>
      <c r="J209" s="126">
        <f>IF($I209="Atrasado",'Config'!$C$9-$F209,"")</f>
        <v/>
      </c>
      <c r="K209" s="127">
        <f>IF(AND($E209&lt;&gt;"",$G209=""),$E209,0)</f>
        <v>0</v>
      </c>
      <c r="L209" s="127">
        <f>IF($I209="Atrasado",$E209,0)</f>
        <v>0</v>
      </c>
      <c r="M209" s="128">
        <f>IF($I209="Atrasado",$J209+ROW()/1000000,0)</f>
        <v>0</v>
      </c>
    </row>
    <row r="210" spans="9:13" ht="16.5" customHeight="1">
      <c r="I210" s="66">
        <f>IF($E210="","",IF($G210&lt;&gt;"","Pago",IF($F210="","Pendente",IF('Config'!$C$9&gt;$F210,"Atrasado","Pendente"))))</f>
        <v/>
      </c>
      <c r="J210" s="126">
        <f>IF($I210="Atrasado",'Config'!$C$9-$F210,"")</f>
        <v/>
      </c>
      <c r="K210" s="127">
        <f>IF(AND($E210&lt;&gt;"",$G210=""),$E210,0)</f>
        <v>0</v>
      </c>
      <c r="L210" s="127">
        <f>IF($I210="Atrasado",$E210,0)</f>
        <v>0</v>
      </c>
      <c r="M210" s="128">
        <f>IF($I210="Atrasado",$J210+ROW()/1000000,0)</f>
        <v>0</v>
      </c>
    </row>
    <row r="211" spans="9:13" ht="16.5" customHeight="1">
      <c r="I211" s="66">
        <f>IF($E211="","",IF($G211&lt;&gt;"","Pago",IF($F211="","Pendente",IF('Config'!$C$9&gt;$F211,"Atrasado","Pendente"))))</f>
        <v/>
      </c>
      <c r="J211" s="126">
        <f>IF($I211="Atrasado",'Config'!$C$9-$F211,"")</f>
        <v/>
      </c>
      <c r="K211" s="127">
        <f>IF(AND($E211&lt;&gt;"",$G211=""),$E211,0)</f>
        <v>0</v>
      </c>
      <c r="L211" s="127">
        <f>IF($I211="Atrasado",$E211,0)</f>
        <v>0</v>
      </c>
      <c r="M211" s="128">
        <f>IF($I211="Atrasado",$J211+ROW()/1000000,0)</f>
        <v>0</v>
      </c>
    </row>
    <row r="212" spans="9:13" ht="16.5" customHeight="1">
      <c r="I212" s="66">
        <f>IF($E212="","",IF($G212&lt;&gt;"","Pago",IF($F212="","Pendente",IF('Config'!$C$9&gt;$F212,"Atrasado","Pendente"))))</f>
        <v/>
      </c>
      <c r="J212" s="126">
        <f>IF($I212="Atrasado",'Config'!$C$9-$F212,"")</f>
        <v/>
      </c>
      <c r="K212" s="127">
        <f>IF(AND($E212&lt;&gt;"",$G212=""),$E212,0)</f>
        <v>0</v>
      </c>
      <c r="L212" s="127">
        <f>IF($I212="Atrasado",$E212,0)</f>
        <v>0</v>
      </c>
      <c r="M212" s="128">
        <f>IF($I212="Atrasado",$J212+ROW()/1000000,0)</f>
        <v>0</v>
      </c>
    </row>
    <row r="213" spans="9:13" ht="16.5" customHeight="1">
      <c r="I213" s="66">
        <f>IF($E213="","",IF($G213&lt;&gt;"","Pago",IF($F213="","Pendente",IF('Config'!$C$9&gt;$F213,"Atrasado","Pendente"))))</f>
        <v/>
      </c>
      <c r="J213" s="126">
        <f>IF($I213="Atrasado",'Config'!$C$9-$F213,"")</f>
        <v/>
      </c>
      <c r="K213" s="127">
        <f>IF(AND($E213&lt;&gt;"",$G213=""),$E213,0)</f>
        <v>0</v>
      </c>
      <c r="L213" s="127">
        <f>IF($I213="Atrasado",$E213,0)</f>
        <v>0</v>
      </c>
      <c r="M213" s="128">
        <f>IF($I213="Atrasado",$J213+ROW()/1000000,0)</f>
        <v>0</v>
      </c>
    </row>
    <row r="214" spans="9:13" ht="16.5" customHeight="1">
      <c r="I214" s="66">
        <f>IF($E214="","",IF($G214&lt;&gt;"","Pago",IF($F214="","Pendente",IF('Config'!$C$9&gt;$F214,"Atrasado","Pendente"))))</f>
        <v/>
      </c>
      <c r="J214" s="126">
        <f>IF($I214="Atrasado",'Config'!$C$9-$F214,"")</f>
        <v/>
      </c>
      <c r="K214" s="127">
        <f>IF(AND($E214&lt;&gt;"",$G214=""),$E214,0)</f>
        <v>0</v>
      </c>
      <c r="L214" s="127">
        <f>IF($I214="Atrasado",$E214,0)</f>
        <v>0</v>
      </c>
      <c r="M214" s="128">
        <f>IF($I214="Atrasado",$J214+ROW()/1000000,0)</f>
        <v>0</v>
      </c>
    </row>
    <row r="215" spans="9:13" ht="16.5" customHeight="1">
      <c r="I215" s="66">
        <f>IF($E215="","",IF($G215&lt;&gt;"","Pago",IF($F215="","Pendente",IF('Config'!$C$9&gt;$F215,"Atrasado","Pendente"))))</f>
        <v/>
      </c>
      <c r="J215" s="126">
        <f>IF($I215="Atrasado",'Config'!$C$9-$F215,"")</f>
        <v/>
      </c>
      <c r="K215" s="127">
        <f>IF(AND($E215&lt;&gt;"",$G215=""),$E215,0)</f>
        <v>0</v>
      </c>
      <c r="L215" s="127">
        <f>IF($I215="Atrasado",$E215,0)</f>
        <v>0</v>
      </c>
      <c r="M215" s="128">
        <f>IF($I215="Atrasado",$J215+ROW()/1000000,0)</f>
        <v>0</v>
      </c>
    </row>
    <row r="216" spans="9:13" ht="16.5" customHeight="1">
      <c r="I216" s="66">
        <f>IF($E216="","",IF($G216&lt;&gt;"","Pago",IF($F216="","Pendente",IF('Config'!$C$9&gt;$F216,"Atrasado","Pendente"))))</f>
        <v/>
      </c>
      <c r="J216" s="126">
        <f>IF($I216="Atrasado",'Config'!$C$9-$F216,"")</f>
        <v/>
      </c>
      <c r="K216" s="127">
        <f>IF(AND($E216&lt;&gt;"",$G216=""),$E216,0)</f>
        <v>0</v>
      </c>
      <c r="L216" s="127">
        <f>IF($I216="Atrasado",$E216,0)</f>
        <v>0</v>
      </c>
      <c r="M216" s="128">
        <f>IF($I216="Atrasado",$J216+ROW()/1000000,0)</f>
        <v>0</v>
      </c>
    </row>
    <row r="217" spans="9:13" ht="16.5" customHeight="1">
      <c r="I217" s="66">
        <f>IF($E217="","",IF($G217&lt;&gt;"","Pago",IF($F217="","Pendente",IF('Config'!$C$9&gt;$F217,"Atrasado","Pendente"))))</f>
        <v/>
      </c>
      <c r="J217" s="126">
        <f>IF($I217="Atrasado",'Config'!$C$9-$F217,"")</f>
        <v/>
      </c>
      <c r="K217" s="127">
        <f>IF(AND($E217&lt;&gt;"",$G217=""),$E217,0)</f>
        <v>0</v>
      </c>
      <c r="L217" s="127">
        <f>IF($I217="Atrasado",$E217,0)</f>
        <v>0</v>
      </c>
      <c r="M217" s="128">
        <f>IF($I217="Atrasado",$J217+ROW()/1000000,0)</f>
        <v>0</v>
      </c>
    </row>
    <row r="218" spans="9:13" ht="16.5" customHeight="1">
      <c r="I218" s="66">
        <f>IF($E218="","",IF($G218&lt;&gt;"","Pago",IF($F218="","Pendente",IF('Config'!$C$9&gt;$F218,"Atrasado","Pendente"))))</f>
        <v/>
      </c>
      <c r="J218" s="126">
        <f>IF($I218="Atrasado",'Config'!$C$9-$F218,"")</f>
        <v/>
      </c>
      <c r="K218" s="127">
        <f>IF(AND($E218&lt;&gt;"",$G218=""),$E218,0)</f>
        <v>0</v>
      </c>
      <c r="L218" s="127">
        <f>IF($I218="Atrasado",$E218,0)</f>
        <v>0</v>
      </c>
      <c r="M218" s="128">
        <f>IF($I218="Atrasado",$J218+ROW()/1000000,0)</f>
        <v>0</v>
      </c>
    </row>
    <row r="219" spans="9:13" ht="16.5" customHeight="1">
      <c r="I219" s="66">
        <f>IF($E219="","",IF($G219&lt;&gt;"","Pago",IF($F219="","Pendente",IF('Config'!$C$9&gt;$F219,"Atrasado","Pendente"))))</f>
        <v/>
      </c>
      <c r="J219" s="126">
        <f>IF($I219="Atrasado",'Config'!$C$9-$F219,"")</f>
        <v/>
      </c>
      <c r="K219" s="127">
        <f>IF(AND($E219&lt;&gt;"",$G219=""),$E219,0)</f>
        <v>0</v>
      </c>
      <c r="L219" s="127">
        <f>IF($I219="Atrasado",$E219,0)</f>
        <v>0</v>
      </c>
      <c r="M219" s="128">
        <f>IF($I219="Atrasado",$J219+ROW()/1000000,0)</f>
        <v>0</v>
      </c>
    </row>
    <row r="220" spans="9:13" ht="16.5" customHeight="1">
      <c r="I220" s="66">
        <f>IF($E220="","",IF($G220&lt;&gt;"","Pago",IF($F220="","Pendente",IF('Config'!$C$9&gt;$F220,"Atrasado","Pendente"))))</f>
        <v/>
      </c>
      <c r="J220" s="126">
        <f>IF($I220="Atrasado",'Config'!$C$9-$F220,"")</f>
        <v/>
      </c>
      <c r="K220" s="127">
        <f>IF(AND($E220&lt;&gt;"",$G220=""),$E220,0)</f>
        <v>0</v>
      </c>
      <c r="L220" s="127">
        <f>IF($I220="Atrasado",$E220,0)</f>
        <v>0</v>
      </c>
      <c r="M220" s="128">
        <f>IF($I220="Atrasado",$J220+ROW()/1000000,0)</f>
        <v>0</v>
      </c>
    </row>
    <row r="221" spans="9:13" ht="16.5" customHeight="1">
      <c r="I221" s="66">
        <f>IF($E221="","",IF($G221&lt;&gt;"","Pago",IF($F221="","Pendente",IF('Config'!$C$9&gt;$F221,"Atrasado","Pendente"))))</f>
        <v/>
      </c>
      <c r="J221" s="126">
        <f>IF($I221="Atrasado",'Config'!$C$9-$F221,"")</f>
        <v/>
      </c>
      <c r="K221" s="127">
        <f>IF(AND($E221&lt;&gt;"",$G221=""),$E221,0)</f>
        <v>0</v>
      </c>
      <c r="L221" s="127">
        <f>IF($I221="Atrasado",$E221,0)</f>
        <v>0</v>
      </c>
      <c r="M221" s="128">
        <f>IF($I221="Atrasado",$J221+ROW()/1000000,0)</f>
        <v>0</v>
      </c>
    </row>
    <row r="222" spans="9:13" ht="16.5" customHeight="1">
      <c r="I222" s="66">
        <f>IF($E222="","",IF($G222&lt;&gt;"","Pago",IF($F222="","Pendente",IF('Config'!$C$9&gt;$F222,"Atrasado","Pendente"))))</f>
        <v/>
      </c>
      <c r="J222" s="126">
        <f>IF($I222="Atrasado",'Config'!$C$9-$F222,"")</f>
        <v/>
      </c>
      <c r="K222" s="127">
        <f>IF(AND($E222&lt;&gt;"",$G222=""),$E222,0)</f>
        <v>0</v>
      </c>
      <c r="L222" s="127">
        <f>IF($I222="Atrasado",$E222,0)</f>
        <v>0</v>
      </c>
      <c r="M222" s="128">
        <f>IF($I222="Atrasado",$J222+ROW()/1000000,0)</f>
        <v>0</v>
      </c>
    </row>
    <row r="223" spans="9:13" ht="16.5" customHeight="1">
      <c r="I223" s="66">
        <f>IF($E223="","",IF($G223&lt;&gt;"","Pago",IF($F223="","Pendente",IF('Config'!$C$9&gt;$F223,"Atrasado","Pendente"))))</f>
        <v/>
      </c>
      <c r="J223" s="126">
        <f>IF($I223="Atrasado",'Config'!$C$9-$F223,"")</f>
        <v/>
      </c>
      <c r="K223" s="127">
        <f>IF(AND($E223&lt;&gt;"",$G223=""),$E223,0)</f>
        <v>0</v>
      </c>
      <c r="L223" s="127">
        <f>IF($I223="Atrasado",$E223,0)</f>
        <v>0</v>
      </c>
      <c r="M223" s="128">
        <f>IF($I223="Atrasado",$J223+ROW()/1000000,0)</f>
        <v>0</v>
      </c>
    </row>
    <row r="224" spans="9:13" ht="16.5" customHeight="1">
      <c r="I224" s="66">
        <f>IF($E224="","",IF($G224&lt;&gt;"","Pago",IF($F224="","Pendente",IF('Config'!$C$9&gt;$F224,"Atrasado","Pendente"))))</f>
        <v/>
      </c>
      <c r="J224" s="126">
        <f>IF($I224="Atrasado",'Config'!$C$9-$F224,"")</f>
        <v/>
      </c>
      <c r="K224" s="127">
        <f>IF(AND($E224&lt;&gt;"",$G224=""),$E224,0)</f>
        <v>0</v>
      </c>
      <c r="L224" s="127">
        <f>IF($I224="Atrasado",$E224,0)</f>
        <v>0</v>
      </c>
      <c r="M224" s="128">
        <f>IF($I224="Atrasado",$J224+ROW()/1000000,0)</f>
        <v>0</v>
      </c>
    </row>
    <row r="225" spans="9:13" ht="16.5" customHeight="1">
      <c r="I225" s="66">
        <f>IF($E225="","",IF($G225&lt;&gt;"","Pago",IF($F225="","Pendente",IF('Config'!$C$9&gt;$F225,"Atrasado","Pendente"))))</f>
        <v/>
      </c>
      <c r="J225" s="126">
        <f>IF($I225="Atrasado",'Config'!$C$9-$F225,"")</f>
        <v/>
      </c>
      <c r="K225" s="127">
        <f>IF(AND($E225&lt;&gt;"",$G225=""),$E225,0)</f>
        <v>0</v>
      </c>
      <c r="L225" s="127">
        <f>IF($I225="Atrasado",$E225,0)</f>
        <v>0</v>
      </c>
      <c r="M225" s="128">
        <f>IF($I225="Atrasado",$J225+ROW()/1000000,0)</f>
        <v>0</v>
      </c>
    </row>
    <row r="226" spans="9:13" ht="16.5" customHeight="1">
      <c r="I226" s="66">
        <f>IF($E226="","",IF($G226&lt;&gt;"","Pago",IF($F226="","Pendente",IF('Config'!$C$9&gt;$F226,"Atrasado","Pendente"))))</f>
        <v/>
      </c>
      <c r="J226" s="126">
        <f>IF($I226="Atrasado",'Config'!$C$9-$F226,"")</f>
        <v/>
      </c>
      <c r="K226" s="127">
        <f>IF(AND($E226&lt;&gt;"",$G226=""),$E226,0)</f>
        <v>0</v>
      </c>
      <c r="L226" s="127">
        <f>IF($I226="Atrasado",$E226,0)</f>
        <v>0</v>
      </c>
      <c r="M226" s="128">
        <f>IF($I226="Atrasado",$J226+ROW()/1000000,0)</f>
        <v>0</v>
      </c>
    </row>
    <row r="227" spans="9:13" ht="16.5" customHeight="1">
      <c r="I227" s="66">
        <f>IF($E227="","",IF($G227&lt;&gt;"","Pago",IF($F227="","Pendente",IF('Config'!$C$9&gt;$F227,"Atrasado","Pendente"))))</f>
        <v/>
      </c>
      <c r="J227" s="126">
        <f>IF($I227="Atrasado",'Config'!$C$9-$F227,"")</f>
        <v/>
      </c>
      <c r="K227" s="127">
        <f>IF(AND($E227&lt;&gt;"",$G227=""),$E227,0)</f>
        <v>0</v>
      </c>
      <c r="L227" s="127">
        <f>IF($I227="Atrasado",$E227,0)</f>
        <v>0</v>
      </c>
      <c r="M227" s="128">
        <f>IF($I227="Atrasado",$J227+ROW()/1000000,0)</f>
        <v>0</v>
      </c>
    </row>
    <row r="228" spans="9:13" ht="16.5" customHeight="1">
      <c r="I228" s="66">
        <f>IF($E228="","",IF($G228&lt;&gt;"","Pago",IF($F228="","Pendente",IF('Config'!$C$9&gt;$F228,"Atrasado","Pendente"))))</f>
        <v/>
      </c>
      <c r="J228" s="126">
        <f>IF($I228="Atrasado",'Config'!$C$9-$F228,"")</f>
        <v/>
      </c>
      <c r="K228" s="127">
        <f>IF(AND($E228&lt;&gt;"",$G228=""),$E228,0)</f>
        <v>0</v>
      </c>
      <c r="L228" s="127">
        <f>IF($I228="Atrasado",$E228,0)</f>
        <v>0</v>
      </c>
      <c r="M228" s="128">
        <f>IF($I228="Atrasado",$J228+ROW()/1000000,0)</f>
        <v>0</v>
      </c>
    </row>
    <row r="229" spans="9:13" ht="16.5" customHeight="1">
      <c r="I229" s="66">
        <f>IF($E229="","",IF($G229&lt;&gt;"","Pago",IF($F229="","Pendente",IF('Config'!$C$9&gt;$F229,"Atrasado","Pendente"))))</f>
        <v/>
      </c>
      <c r="J229" s="126">
        <f>IF($I229="Atrasado",'Config'!$C$9-$F229,"")</f>
        <v/>
      </c>
      <c r="K229" s="127">
        <f>IF(AND($E229&lt;&gt;"",$G229=""),$E229,0)</f>
        <v>0</v>
      </c>
      <c r="L229" s="127">
        <f>IF($I229="Atrasado",$E229,0)</f>
        <v>0</v>
      </c>
      <c r="M229" s="128">
        <f>IF($I229="Atrasado",$J229+ROW()/1000000,0)</f>
        <v>0</v>
      </c>
    </row>
    <row r="230" spans="9:13" ht="16.5" customHeight="1">
      <c r="I230" s="66">
        <f>IF($E230="","",IF($G230&lt;&gt;"","Pago",IF($F230="","Pendente",IF('Config'!$C$9&gt;$F230,"Atrasado","Pendente"))))</f>
        <v/>
      </c>
      <c r="J230" s="126">
        <f>IF($I230="Atrasado",'Config'!$C$9-$F230,"")</f>
        <v/>
      </c>
      <c r="K230" s="127">
        <f>IF(AND($E230&lt;&gt;"",$G230=""),$E230,0)</f>
        <v>0</v>
      </c>
      <c r="L230" s="127">
        <f>IF($I230="Atrasado",$E230,0)</f>
        <v>0</v>
      </c>
      <c r="M230" s="128">
        <f>IF($I230="Atrasado",$J230+ROW()/1000000,0)</f>
        <v>0</v>
      </c>
    </row>
    <row r="231" spans="9:13" ht="16.5" customHeight="1">
      <c r="I231" s="66">
        <f>IF($E231="","",IF($G231&lt;&gt;"","Pago",IF($F231="","Pendente",IF('Config'!$C$9&gt;$F231,"Atrasado","Pendente"))))</f>
        <v/>
      </c>
      <c r="J231" s="126">
        <f>IF($I231="Atrasado",'Config'!$C$9-$F231,"")</f>
        <v/>
      </c>
      <c r="K231" s="127">
        <f>IF(AND($E231&lt;&gt;"",$G231=""),$E231,0)</f>
        <v>0</v>
      </c>
      <c r="L231" s="127">
        <f>IF($I231="Atrasado",$E231,0)</f>
        <v>0</v>
      </c>
      <c r="M231" s="128">
        <f>IF($I231="Atrasado",$J231+ROW()/1000000,0)</f>
        <v>0</v>
      </c>
    </row>
    <row r="232" spans="9:13" ht="16.5" customHeight="1">
      <c r="I232" s="66">
        <f>IF($E232="","",IF($G232&lt;&gt;"","Pago",IF($F232="","Pendente",IF('Config'!$C$9&gt;$F232,"Atrasado","Pendente"))))</f>
        <v/>
      </c>
      <c r="J232" s="126">
        <f>IF($I232="Atrasado",'Config'!$C$9-$F232,"")</f>
        <v/>
      </c>
      <c r="K232" s="127">
        <f>IF(AND($E232&lt;&gt;"",$G232=""),$E232,0)</f>
        <v>0</v>
      </c>
      <c r="L232" s="127">
        <f>IF($I232="Atrasado",$E232,0)</f>
        <v>0</v>
      </c>
      <c r="M232" s="128">
        <f>IF($I232="Atrasado",$J232+ROW()/1000000,0)</f>
        <v>0</v>
      </c>
    </row>
    <row r="233" spans="9:13" ht="16.5" customHeight="1">
      <c r="I233" s="66">
        <f>IF($E233="","",IF($G233&lt;&gt;"","Pago",IF($F233="","Pendente",IF('Config'!$C$9&gt;$F233,"Atrasado","Pendente"))))</f>
        <v/>
      </c>
      <c r="J233" s="126">
        <f>IF($I233="Atrasado",'Config'!$C$9-$F233,"")</f>
        <v/>
      </c>
      <c r="K233" s="127">
        <f>IF(AND($E233&lt;&gt;"",$G233=""),$E233,0)</f>
        <v>0</v>
      </c>
      <c r="L233" s="127">
        <f>IF($I233="Atrasado",$E233,0)</f>
        <v>0</v>
      </c>
      <c r="M233" s="128">
        <f>IF($I233="Atrasado",$J233+ROW()/1000000,0)</f>
        <v>0</v>
      </c>
    </row>
    <row r="234" spans="9:13" ht="16.5" customHeight="1">
      <c r="I234" s="66">
        <f>IF($E234="","",IF($G234&lt;&gt;"","Pago",IF($F234="","Pendente",IF('Config'!$C$9&gt;$F234,"Atrasado","Pendente"))))</f>
        <v/>
      </c>
      <c r="J234" s="126">
        <f>IF($I234="Atrasado",'Config'!$C$9-$F234,"")</f>
        <v/>
      </c>
      <c r="K234" s="127">
        <f>IF(AND($E234&lt;&gt;"",$G234=""),$E234,0)</f>
        <v>0</v>
      </c>
      <c r="L234" s="127">
        <f>IF($I234="Atrasado",$E234,0)</f>
        <v>0</v>
      </c>
      <c r="M234" s="128">
        <f>IF($I234="Atrasado",$J234+ROW()/1000000,0)</f>
        <v>0</v>
      </c>
    </row>
    <row r="235" spans="9:13" ht="16.5" customHeight="1">
      <c r="I235" s="66">
        <f>IF($E235="","",IF($G235&lt;&gt;"","Pago",IF($F235="","Pendente",IF('Config'!$C$9&gt;$F235,"Atrasado","Pendente"))))</f>
        <v/>
      </c>
      <c r="J235" s="126">
        <f>IF($I235="Atrasado",'Config'!$C$9-$F235,"")</f>
        <v/>
      </c>
      <c r="K235" s="127">
        <f>IF(AND($E235&lt;&gt;"",$G235=""),$E235,0)</f>
        <v>0</v>
      </c>
      <c r="L235" s="127">
        <f>IF($I235="Atrasado",$E235,0)</f>
        <v>0</v>
      </c>
      <c r="M235" s="128">
        <f>IF($I235="Atrasado",$J235+ROW()/1000000,0)</f>
        <v>0</v>
      </c>
    </row>
    <row r="236" spans="9:13" ht="16.5" customHeight="1">
      <c r="I236" s="66">
        <f>IF($E236="","",IF($G236&lt;&gt;"","Pago",IF($F236="","Pendente",IF('Config'!$C$9&gt;$F236,"Atrasado","Pendente"))))</f>
        <v/>
      </c>
      <c r="J236" s="126">
        <f>IF($I236="Atrasado",'Config'!$C$9-$F236,"")</f>
        <v/>
      </c>
      <c r="K236" s="127">
        <f>IF(AND($E236&lt;&gt;"",$G236=""),$E236,0)</f>
        <v>0</v>
      </c>
      <c r="L236" s="127">
        <f>IF($I236="Atrasado",$E236,0)</f>
        <v>0</v>
      </c>
      <c r="M236" s="128">
        <f>IF($I236="Atrasado",$J236+ROW()/1000000,0)</f>
        <v>0</v>
      </c>
    </row>
    <row r="237" spans="9:13" ht="16.5" customHeight="1">
      <c r="I237" s="66">
        <f>IF($E237="","",IF($G237&lt;&gt;"","Pago",IF($F237="","Pendente",IF('Config'!$C$9&gt;$F237,"Atrasado","Pendente"))))</f>
        <v/>
      </c>
      <c r="J237" s="126">
        <f>IF($I237="Atrasado",'Config'!$C$9-$F237,"")</f>
        <v/>
      </c>
      <c r="K237" s="127">
        <f>IF(AND($E237&lt;&gt;"",$G237=""),$E237,0)</f>
        <v>0</v>
      </c>
      <c r="L237" s="127">
        <f>IF($I237="Atrasado",$E237,0)</f>
        <v>0</v>
      </c>
      <c r="M237" s="128">
        <f>IF($I237="Atrasado",$J237+ROW()/1000000,0)</f>
        <v>0</v>
      </c>
    </row>
    <row r="238" spans="9:13" ht="16.5" customHeight="1">
      <c r="I238" s="66">
        <f>IF($E238="","",IF($G238&lt;&gt;"","Pago",IF($F238="","Pendente",IF('Config'!$C$9&gt;$F238,"Atrasado","Pendente"))))</f>
        <v/>
      </c>
      <c r="J238" s="126">
        <f>IF($I238="Atrasado",'Config'!$C$9-$F238,"")</f>
        <v/>
      </c>
      <c r="K238" s="127">
        <f>IF(AND($E238&lt;&gt;"",$G238=""),$E238,0)</f>
        <v>0</v>
      </c>
      <c r="L238" s="127">
        <f>IF($I238="Atrasado",$E238,0)</f>
        <v>0</v>
      </c>
      <c r="M238" s="128">
        <f>IF($I238="Atrasado",$J238+ROW()/1000000,0)</f>
        <v>0</v>
      </c>
    </row>
    <row r="239" spans="9:13" ht="16.5" customHeight="1">
      <c r="I239" s="66">
        <f>IF($E239="","",IF($G239&lt;&gt;"","Pago",IF($F239="","Pendente",IF('Config'!$C$9&gt;$F239,"Atrasado","Pendente"))))</f>
        <v/>
      </c>
      <c r="J239" s="126">
        <f>IF($I239="Atrasado",'Config'!$C$9-$F239,"")</f>
        <v/>
      </c>
      <c r="K239" s="127">
        <f>IF(AND($E239&lt;&gt;"",$G239=""),$E239,0)</f>
        <v>0</v>
      </c>
      <c r="L239" s="127">
        <f>IF($I239="Atrasado",$E239,0)</f>
        <v>0</v>
      </c>
      <c r="M239" s="128">
        <f>IF($I239="Atrasado",$J239+ROW()/1000000,0)</f>
        <v>0</v>
      </c>
    </row>
    <row r="240" spans="9:13" ht="16.5" customHeight="1">
      <c r="I240" s="66">
        <f>IF($E240="","",IF($G240&lt;&gt;"","Pago",IF($F240="","Pendente",IF('Config'!$C$9&gt;$F240,"Atrasado","Pendente"))))</f>
        <v/>
      </c>
      <c r="J240" s="126">
        <f>IF($I240="Atrasado",'Config'!$C$9-$F240,"")</f>
        <v/>
      </c>
      <c r="K240" s="127">
        <f>IF(AND($E240&lt;&gt;"",$G240=""),$E240,0)</f>
        <v>0</v>
      </c>
      <c r="L240" s="127">
        <f>IF($I240="Atrasado",$E240,0)</f>
        <v>0</v>
      </c>
      <c r="M240" s="128">
        <f>IF($I240="Atrasado",$J240+ROW()/1000000,0)</f>
        <v>0</v>
      </c>
    </row>
    <row r="241" spans="9:13" ht="16.5" customHeight="1">
      <c r="I241" s="66">
        <f>IF($E241="","",IF($G241&lt;&gt;"","Pago",IF($F241="","Pendente",IF('Config'!$C$9&gt;$F241,"Atrasado","Pendente"))))</f>
        <v/>
      </c>
      <c r="J241" s="126">
        <f>IF($I241="Atrasado",'Config'!$C$9-$F241,"")</f>
        <v/>
      </c>
      <c r="K241" s="127">
        <f>IF(AND($E241&lt;&gt;"",$G241=""),$E241,0)</f>
        <v>0</v>
      </c>
      <c r="L241" s="127">
        <f>IF($I241="Atrasado",$E241,0)</f>
        <v>0</v>
      </c>
      <c r="M241" s="128">
        <f>IF($I241="Atrasado",$J241+ROW()/1000000,0)</f>
        <v>0</v>
      </c>
    </row>
    <row r="242" spans="9:13" ht="16.5" customHeight="1">
      <c r="I242" s="66">
        <f>IF($E242="","",IF($G242&lt;&gt;"","Pago",IF($F242="","Pendente",IF('Config'!$C$9&gt;$F242,"Atrasado","Pendente"))))</f>
        <v/>
      </c>
      <c r="J242" s="126">
        <f>IF($I242="Atrasado",'Config'!$C$9-$F242,"")</f>
        <v/>
      </c>
      <c r="K242" s="127">
        <f>IF(AND($E242&lt;&gt;"",$G242=""),$E242,0)</f>
        <v>0</v>
      </c>
      <c r="L242" s="127">
        <f>IF($I242="Atrasado",$E242,0)</f>
        <v>0</v>
      </c>
      <c r="M242" s="128">
        <f>IF($I242="Atrasado",$J242+ROW()/1000000,0)</f>
        <v>0</v>
      </c>
    </row>
    <row r="243" spans="9:13" ht="16.5" customHeight="1">
      <c r="I243" s="66">
        <f>IF($E243="","",IF($G243&lt;&gt;"","Pago",IF($F243="","Pendente",IF('Config'!$C$9&gt;$F243,"Atrasado","Pendente"))))</f>
        <v/>
      </c>
      <c r="J243" s="126">
        <f>IF($I243="Atrasado",'Config'!$C$9-$F243,"")</f>
        <v/>
      </c>
      <c r="K243" s="127">
        <f>IF(AND($E243&lt;&gt;"",$G243=""),$E243,0)</f>
        <v>0</v>
      </c>
      <c r="L243" s="127">
        <f>IF($I243="Atrasado",$E243,0)</f>
        <v>0</v>
      </c>
      <c r="M243" s="128">
        <f>IF($I243="Atrasado",$J243+ROW()/1000000,0)</f>
        <v>0</v>
      </c>
    </row>
    <row r="244" spans="9:13" ht="16.5" customHeight="1">
      <c r="I244" s="66">
        <f>IF($E244="","",IF($G244&lt;&gt;"","Pago",IF($F244="","Pendente",IF('Config'!$C$9&gt;$F244,"Atrasado","Pendente"))))</f>
        <v/>
      </c>
      <c r="J244" s="126">
        <f>IF($I244="Atrasado",'Config'!$C$9-$F244,"")</f>
        <v/>
      </c>
      <c r="K244" s="127">
        <f>IF(AND($E244&lt;&gt;"",$G244=""),$E244,0)</f>
        <v>0</v>
      </c>
      <c r="L244" s="127">
        <f>IF($I244="Atrasado",$E244,0)</f>
        <v>0</v>
      </c>
      <c r="M244" s="128">
        <f>IF($I244="Atrasado",$J244+ROW()/1000000,0)</f>
        <v>0</v>
      </c>
    </row>
    <row r="245" spans="9:13" ht="16.5" customHeight="1">
      <c r="I245" s="66">
        <f>IF($E245="","",IF($G245&lt;&gt;"","Pago",IF($F245="","Pendente",IF('Config'!$C$9&gt;$F245,"Atrasado","Pendente"))))</f>
        <v/>
      </c>
      <c r="J245" s="126">
        <f>IF($I245="Atrasado",'Config'!$C$9-$F245,"")</f>
        <v/>
      </c>
      <c r="K245" s="127">
        <f>IF(AND($E245&lt;&gt;"",$G245=""),$E245,0)</f>
        <v>0</v>
      </c>
      <c r="L245" s="127">
        <f>IF($I245="Atrasado",$E245,0)</f>
        <v>0</v>
      </c>
      <c r="M245" s="128">
        <f>IF($I245="Atrasado",$J245+ROW()/1000000,0)</f>
        <v>0</v>
      </c>
    </row>
    <row r="246" spans="9:13" ht="16.5" customHeight="1">
      <c r="I246" s="66">
        <f>IF($E246="","",IF($G246&lt;&gt;"","Pago",IF($F246="","Pendente",IF('Config'!$C$9&gt;$F246,"Atrasado","Pendente"))))</f>
        <v/>
      </c>
      <c r="J246" s="126">
        <f>IF($I246="Atrasado",'Config'!$C$9-$F246,"")</f>
        <v/>
      </c>
      <c r="K246" s="127">
        <f>IF(AND($E246&lt;&gt;"",$G246=""),$E246,0)</f>
        <v>0</v>
      </c>
      <c r="L246" s="127">
        <f>IF($I246="Atrasado",$E246,0)</f>
        <v>0</v>
      </c>
      <c r="M246" s="128">
        <f>IF($I246="Atrasado",$J246+ROW()/1000000,0)</f>
        <v>0</v>
      </c>
    </row>
    <row r="247" spans="9:13" ht="16.5" customHeight="1">
      <c r="I247" s="66">
        <f>IF($E247="","",IF($G247&lt;&gt;"","Pago",IF($F247="","Pendente",IF('Config'!$C$9&gt;$F247,"Atrasado","Pendente"))))</f>
        <v/>
      </c>
      <c r="J247" s="126">
        <f>IF($I247="Atrasado",'Config'!$C$9-$F247,"")</f>
        <v/>
      </c>
      <c r="K247" s="127">
        <f>IF(AND($E247&lt;&gt;"",$G247=""),$E247,0)</f>
        <v>0</v>
      </c>
      <c r="L247" s="127">
        <f>IF($I247="Atrasado",$E247,0)</f>
        <v>0</v>
      </c>
      <c r="M247" s="128">
        <f>IF($I247="Atrasado",$J247+ROW()/1000000,0)</f>
        <v>0</v>
      </c>
    </row>
    <row r="248" spans="9:13" ht="16.5" customHeight="1">
      <c r="I248" s="66">
        <f>IF($E248="","",IF($G248&lt;&gt;"","Pago",IF($F248="","Pendente",IF('Config'!$C$9&gt;$F248,"Atrasado","Pendente"))))</f>
        <v/>
      </c>
      <c r="J248" s="126">
        <f>IF($I248="Atrasado",'Config'!$C$9-$F248,"")</f>
        <v/>
      </c>
      <c r="K248" s="127">
        <f>IF(AND($E248&lt;&gt;"",$G248=""),$E248,0)</f>
        <v>0</v>
      </c>
      <c r="L248" s="127">
        <f>IF($I248="Atrasado",$E248,0)</f>
        <v>0</v>
      </c>
      <c r="M248" s="128">
        <f>IF($I248="Atrasado",$J248+ROW()/1000000,0)</f>
        <v>0</v>
      </c>
    </row>
    <row r="249" spans="9:13" ht="16.5" customHeight="1">
      <c r="I249" s="66">
        <f>IF($E249="","",IF($G249&lt;&gt;"","Pago",IF($F249="","Pendente",IF('Config'!$C$9&gt;$F249,"Atrasado","Pendente"))))</f>
        <v/>
      </c>
      <c r="J249" s="126">
        <f>IF($I249="Atrasado",'Config'!$C$9-$F249,"")</f>
        <v/>
      </c>
      <c r="K249" s="127">
        <f>IF(AND($E249&lt;&gt;"",$G249=""),$E249,0)</f>
        <v>0</v>
      </c>
      <c r="L249" s="127">
        <f>IF($I249="Atrasado",$E249,0)</f>
        <v>0</v>
      </c>
      <c r="M249" s="128">
        <f>IF($I249="Atrasado",$J249+ROW()/1000000,0)</f>
        <v>0</v>
      </c>
    </row>
    <row r="250" spans="9:13" ht="16.5" customHeight="1">
      <c r="I250" s="66">
        <f>IF($E250="","",IF($G250&lt;&gt;"","Pago",IF($F250="","Pendente",IF('Config'!$C$9&gt;$F250,"Atrasado","Pendente"))))</f>
        <v/>
      </c>
      <c r="J250" s="126">
        <f>IF($I250="Atrasado",'Config'!$C$9-$F250,"")</f>
        <v/>
      </c>
      <c r="K250" s="127">
        <f>IF(AND($E250&lt;&gt;"",$G250=""),$E250,0)</f>
        <v>0</v>
      </c>
      <c r="L250" s="127">
        <f>IF($I250="Atrasado",$E250,0)</f>
        <v>0</v>
      </c>
      <c r="M250" s="128">
        <f>IF($I250="Atrasado",$J250+ROW()/1000000,0)</f>
        <v>0</v>
      </c>
    </row>
    <row r="251" spans="9:13" ht="16.5" customHeight="1">
      <c r="I251" s="66">
        <f>IF($E251="","",IF($G251&lt;&gt;"","Pago",IF($F251="","Pendente",IF('Config'!$C$9&gt;$F251,"Atrasado","Pendente"))))</f>
        <v/>
      </c>
      <c r="J251" s="126">
        <f>IF($I251="Atrasado",'Config'!$C$9-$F251,"")</f>
        <v/>
      </c>
      <c r="K251" s="127">
        <f>IF(AND($E251&lt;&gt;"",$G251=""),$E251,0)</f>
        <v>0</v>
      </c>
      <c r="L251" s="127">
        <f>IF($I251="Atrasado",$E251,0)</f>
        <v>0</v>
      </c>
      <c r="M251" s="128">
        <f>IF($I251="Atrasado",$J251+ROW()/1000000,0)</f>
        <v>0</v>
      </c>
    </row>
    <row r="252" spans="9:13" ht="16.5" customHeight="1">
      <c r="I252" s="66">
        <f>IF($E252="","",IF($G252&lt;&gt;"","Pago",IF($F252="","Pendente",IF('Config'!$C$9&gt;$F252,"Atrasado","Pendente"))))</f>
        <v/>
      </c>
      <c r="J252" s="126">
        <f>IF($I252="Atrasado",'Config'!$C$9-$F252,"")</f>
        <v/>
      </c>
      <c r="K252" s="127">
        <f>IF(AND($E252&lt;&gt;"",$G252=""),$E252,0)</f>
        <v>0</v>
      </c>
      <c r="L252" s="127">
        <f>IF($I252="Atrasado",$E252,0)</f>
        <v>0</v>
      </c>
      <c r="M252" s="128">
        <f>IF($I252="Atrasado",$J252+ROW()/1000000,0)</f>
        <v>0</v>
      </c>
    </row>
    <row r="253" spans="9:13" ht="16.5" customHeight="1">
      <c r="I253" s="66">
        <f>IF($E253="","",IF($G253&lt;&gt;"","Pago",IF($F253="","Pendente",IF('Config'!$C$9&gt;$F253,"Atrasado","Pendente"))))</f>
        <v/>
      </c>
      <c r="J253" s="126">
        <f>IF($I253="Atrasado",'Config'!$C$9-$F253,"")</f>
        <v/>
      </c>
      <c r="K253" s="127">
        <f>IF(AND($E253&lt;&gt;"",$G253=""),$E253,0)</f>
        <v>0</v>
      </c>
      <c r="L253" s="127">
        <f>IF($I253="Atrasado",$E253,0)</f>
        <v>0</v>
      </c>
      <c r="M253" s="128">
        <f>IF($I253="Atrasado",$J253+ROW()/1000000,0)</f>
        <v>0</v>
      </c>
    </row>
    <row r="254" spans="9:13" ht="16.5" customHeight="1">
      <c r="I254" s="66">
        <f>IF($E254="","",IF($G254&lt;&gt;"","Pago",IF($F254="","Pendente",IF('Config'!$C$9&gt;$F254,"Atrasado","Pendente"))))</f>
        <v/>
      </c>
      <c r="J254" s="126">
        <f>IF($I254="Atrasado",'Config'!$C$9-$F254,"")</f>
        <v/>
      </c>
      <c r="K254" s="127">
        <f>IF(AND($E254&lt;&gt;"",$G254=""),$E254,0)</f>
        <v>0</v>
      </c>
      <c r="L254" s="127">
        <f>IF($I254="Atrasado",$E254,0)</f>
        <v>0</v>
      </c>
      <c r="M254" s="128">
        <f>IF($I254="Atrasado",$J254+ROW()/1000000,0)</f>
        <v>0</v>
      </c>
    </row>
    <row r="255" spans="9:13" ht="16.5" customHeight="1">
      <c r="I255" s="66">
        <f>IF($E255="","",IF($G255&lt;&gt;"","Pago",IF($F255="","Pendente",IF('Config'!$C$9&gt;$F255,"Atrasado","Pendente"))))</f>
        <v/>
      </c>
      <c r="J255" s="126">
        <f>IF($I255="Atrasado",'Config'!$C$9-$F255,"")</f>
        <v/>
      </c>
      <c r="K255" s="127">
        <f>IF(AND($E255&lt;&gt;"",$G255=""),$E255,0)</f>
        <v>0</v>
      </c>
      <c r="L255" s="127">
        <f>IF($I255="Atrasado",$E255,0)</f>
        <v>0</v>
      </c>
      <c r="M255" s="128">
        <f>IF($I255="Atrasado",$J255+ROW()/1000000,0)</f>
        <v>0</v>
      </c>
    </row>
    <row r="256" spans="9:13" ht="16.5" customHeight="1">
      <c r="I256" s="66">
        <f>IF($E256="","",IF($G256&lt;&gt;"","Pago",IF($F256="","Pendente",IF('Config'!$C$9&gt;$F256,"Atrasado","Pendente"))))</f>
        <v/>
      </c>
      <c r="J256" s="126">
        <f>IF($I256="Atrasado",'Config'!$C$9-$F256,"")</f>
        <v/>
      </c>
      <c r="K256" s="127">
        <f>IF(AND($E256&lt;&gt;"",$G256=""),$E256,0)</f>
        <v>0</v>
      </c>
      <c r="L256" s="127">
        <f>IF($I256="Atrasado",$E256,0)</f>
        <v>0</v>
      </c>
      <c r="M256" s="128">
        <f>IF($I256="Atrasado",$J256+ROW()/1000000,0)</f>
        <v>0</v>
      </c>
    </row>
    <row r="257" spans="9:13" ht="16.5" customHeight="1">
      <c r="I257" s="66">
        <f>IF($E257="","",IF($G257&lt;&gt;"","Pago",IF($F257="","Pendente",IF('Config'!$C$9&gt;$F257,"Atrasado","Pendente"))))</f>
        <v/>
      </c>
      <c r="J257" s="126">
        <f>IF($I257="Atrasado",'Config'!$C$9-$F257,"")</f>
        <v/>
      </c>
      <c r="K257" s="127">
        <f>IF(AND($E257&lt;&gt;"",$G257=""),$E257,0)</f>
        <v>0</v>
      </c>
      <c r="L257" s="127">
        <f>IF($I257="Atrasado",$E257,0)</f>
        <v>0</v>
      </c>
      <c r="M257" s="128">
        <f>IF($I257="Atrasado",$J257+ROW()/1000000,0)</f>
        <v>0</v>
      </c>
    </row>
    <row r="258" spans="9:13" ht="16.5" customHeight="1">
      <c r="I258" s="66">
        <f>IF($E258="","",IF($G258&lt;&gt;"","Pago",IF($F258="","Pendente",IF('Config'!$C$9&gt;$F258,"Atrasado","Pendente"))))</f>
        <v/>
      </c>
      <c r="J258" s="126">
        <f>IF($I258="Atrasado",'Config'!$C$9-$F258,"")</f>
        <v/>
      </c>
      <c r="K258" s="127">
        <f>IF(AND($E258&lt;&gt;"",$G258=""),$E258,0)</f>
        <v>0</v>
      </c>
      <c r="L258" s="127">
        <f>IF($I258="Atrasado",$E258,0)</f>
        <v>0</v>
      </c>
      <c r="M258" s="128">
        <f>IF($I258="Atrasado",$J258+ROW()/1000000,0)</f>
        <v>0</v>
      </c>
    </row>
    <row r="259" spans="9:13" ht="16.5" customHeight="1">
      <c r="I259" s="66">
        <f>IF($E259="","",IF($G259&lt;&gt;"","Pago",IF($F259="","Pendente",IF('Config'!$C$9&gt;$F259,"Atrasado","Pendente"))))</f>
        <v/>
      </c>
      <c r="J259" s="126">
        <f>IF($I259="Atrasado",'Config'!$C$9-$F259,"")</f>
        <v/>
      </c>
      <c r="K259" s="127">
        <f>IF(AND($E259&lt;&gt;"",$G259=""),$E259,0)</f>
        <v>0</v>
      </c>
      <c r="L259" s="127">
        <f>IF($I259="Atrasado",$E259,0)</f>
        <v>0</v>
      </c>
      <c r="M259" s="128">
        <f>IF($I259="Atrasado",$J259+ROW()/1000000,0)</f>
        <v>0</v>
      </c>
    </row>
    <row r="260" spans="9:13" ht="16.5" customHeight="1">
      <c r="I260" s="66">
        <f>IF($E260="","",IF($G260&lt;&gt;"","Pago",IF($F260="","Pendente",IF('Config'!$C$9&gt;$F260,"Atrasado","Pendente"))))</f>
        <v/>
      </c>
      <c r="J260" s="126">
        <f>IF($I260="Atrasado",'Config'!$C$9-$F260,"")</f>
        <v/>
      </c>
      <c r="K260" s="127">
        <f>IF(AND($E260&lt;&gt;"",$G260=""),$E260,0)</f>
        <v>0</v>
      </c>
      <c r="L260" s="127">
        <f>IF($I260="Atrasado",$E260,0)</f>
        <v>0</v>
      </c>
      <c r="M260" s="128">
        <f>IF($I260="Atrasado",$J260+ROW()/1000000,0)</f>
        <v>0</v>
      </c>
    </row>
    <row r="261" spans="9:13" ht="16.5" customHeight="1">
      <c r="I261" s="66">
        <f>IF($E261="","",IF($G261&lt;&gt;"","Pago",IF($F261="","Pendente",IF('Config'!$C$9&gt;$F261,"Atrasado","Pendente"))))</f>
        <v/>
      </c>
      <c r="J261" s="126">
        <f>IF($I261="Atrasado",'Config'!$C$9-$F261,"")</f>
        <v/>
      </c>
      <c r="K261" s="127">
        <f>IF(AND($E261&lt;&gt;"",$G261=""),$E261,0)</f>
        <v>0</v>
      </c>
      <c r="L261" s="127">
        <f>IF($I261="Atrasado",$E261,0)</f>
        <v>0</v>
      </c>
      <c r="M261" s="128">
        <f>IF($I261="Atrasado",$J261+ROW()/1000000,0)</f>
        <v>0</v>
      </c>
    </row>
    <row r="262" spans="9:13" ht="16.5" customHeight="1">
      <c r="I262" s="66">
        <f>IF($E262="","",IF($G262&lt;&gt;"","Pago",IF($F262="","Pendente",IF('Config'!$C$9&gt;$F262,"Atrasado","Pendente"))))</f>
        <v/>
      </c>
      <c r="J262" s="126">
        <f>IF($I262="Atrasado",'Config'!$C$9-$F262,"")</f>
        <v/>
      </c>
      <c r="K262" s="127">
        <f>IF(AND($E262&lt;&gt;"",$G262=""),$E262,0)</f>
        <v>0</v>
      </c>
      <c r="L262" s="127">
        <f>IF($I262="Atrasado",$E262,0)</f>
        <v>0</v>
      </c>
      <c r="M262" s="128">
        <f>IF($I262="Atrasado",$J262+ROW()/1000000,0)</f>
        <v>0</v>
      </c>
    </row>
    <row r="263" spans="9:13" ht="16.5" customHeight="1">
      <c r="I263" s="66">
        <f>IF($E263="","",IF($G263&lt;&gt;"","Pago",IF($F263="","Pendente",IF('Config'!$C$9&gt;$F263,"Atrasado","Pendente"))))</f>
        <v/>
      </c>
      <c r="J263" s="126">
        <f>IF($I263="Atrasado",'Config'!$C$9-$F263,"")</f>
        <v/>
      </c>
      <c r="K263" s="127">
        <f>IF(AND($E263&lt;&gt;"",$G263=""),$E263,0)</f>
        <v>0</v>
      </c>
      <c r="L263" s="127">
        <f>IF($I263="Atrasado",$E263,0)</f>
        <v>0</v>
      </c>
      <c r="M263" s="128">
        <f>IF($I263="Atrasado",$J263+ROW()/1000000,0)</f>
        <v>0</v>
      </c>
    </row>
    <row r="264" spans="9:13" ht="16.5" customHeight="1">
      <c r="I264" s="66">
        <f>IF($E264="","",IF($G264&lt;&gt;"","Pago",IF($F264="","Pendente",IF('Config'!$C$9&gt;$F264,"Atrasado","Pendente"))))</f>
        <v/>
      </c>
      <c r="J264" s="126">
        <f>IF($I264="Atrasado",'Config'!$C$9-$F264,"")</f>
        <v/>
      </c>
      <c r="K264" s="127">
        <f>IF(AND($E264&lt;&gt;"",$G264=""),$E264,0)</f>
        <v>0</v>
      </c>
      <c r="L264" s="127">
        <f>IF($I264="Atrasado",$E264,0)</f>
        <v>0</v>
      </c>
      <c r="M264" s="128">
        <f>IF($I264="Atrasado",$J264+ROW()/1000000,0)</f>
        <v>0</v>
      </c>
    </row>
    <row r="265" spans="9:13" ht="16.5" customHeight="1">
      <c r="I265" s="66">
        <f>IF($E265="","",IF($G265&lt;&gt;"","Pago",IF($F265="","Pendente",IF('Config'!$C$9&gt;$F265,"Atrasado","Pendente"))))</f>
        <v/>
      </c>
      <c r="J265" s="126">
        <f>IF($I265="Atrasado",'Config'!$C$9-$F265,"")</f>
        <v/>
      </c>
      <c r="K265" s="127">
        <f>IF(AND($E265&lt;&gt;"",$G265=""),$E265,0)</f>
        <v>0</v>
      </c>
      <c r="L265" s="127">
        <f>IF($I265="Atrasado",$E265,0)</f>
        <v>0</v>
      </c>
      <c r="M265" s="128">
        <f>IF($I265="Atrasado",$J265+ROW()/1000000,0)</f>
        <v>0</v>
      </c>
    </row>
    <row r="266" spans="9:13" ht="16.5" customHeight="1">
      <c r="I266" s="66">
        <f>IF($E266="","",IF($G266&lt;&gt;"","Pago",IF($F266="","Pendente",IF('Config'!$C$9&gt;$F266,"Atrasado","Pendente"))))</f>
        <v/>
      </c>
      <c r="J266" s="126">
        <f>IF($I266="Atrasado",'Config'!$C$9-$F266,"")</f>
        <v/>
      </c>
      <c r="K266" s="127">
        <f>IF(AND($E266&lt;&gt;"",$G266=""),$E266,0)</f>
        <v>0</v>
      </c>
      <c r="L266" s="127">
        <f>IF($I266="Atrasado",$E266,0)</f>
        <v>0</v>
      </c>
      <c r="M266" s="128">
        <f>IF($I266="Atrasado",$J266+ROW()/1000000,0)</f>
        <v>0</v>
      </c>
    </row>
    <row r="267" spans="9:13" ht="16.5" customHeight="1">
      <c r="I267" s="66">
        <f>IF($E267="","",IF($G267&lt;&gt;"","Pago",IF($F267="","Pendente",IF('Config'!$C$9&gt;$F267,"Atrasado","Pendente"))))</f>
        <v/>
      </c>
      <c r="J267" s="126">
        <f>IF($I267="Atrasado",'Config'!$C$9-$F267,"")</f>
        <v/>
      </c>
      <c r="K267" s="127">
        <f>IF(AND($E267&lt;&gt;"",$G267=""),$E267,0)</f>
        <v>0</v>
      </c>
      <c r="L267" s="127">
        <f>IF($I267="Atrasado",$E267,0)</f>
        <v>0</v>
      </c>
      <c r="M267" s="128">
        <f>IF($I267="Atrasado",$J267+ROW()/1000000,0)</f>
        <v>0</v>
      </c>
    </row>
    <row r="268" spans="9:13" ht="16.5" customHeight="1">
      <c r="I268" s="66">
        <f>IF($E268="","",IF($G268&lt;&gt;"","Pago",IF($F268="","Pendente",IF('Config'!$C$9&gt;$F268,"Atrasado","Pendente"))))</f>
        <v/>
      </c>
      <c r="J268" s="126">
        <f>IF($I268="Atrasado",'Config'!$C$9-$F268,"")</f>
        <v/>
      </c>
      <c r="K268" s="127">
        <f>IF(AND($E268&lt;&gt;"",$G268=""),$E268,0)</f>
        <v>0</v>
      </c>
      <c r="L268" s="127">
        <f>IF($I268="Atrasado",$E268,0)</f>
        <v>0</v>
      </c>
      <c r="M268" s="128">
        <f>IF($I268="Atrasado",$J268+ROW()/1000000,0)</f>
        <v>0</v>
      </c>
    </row>
    <row r="269" spans="9:13" ht="16.5" customHeight="1">
      <c r="I269" s="66">
        <f>IF($E269="","",IF($G269&lt;&gt;"","Pago",IF($F269="","Pendente",IF('Config'!$C$9&gt;$F269,"Atrasado","Pendente"))))</f>
        <v/>
      </c>
      <c r="J269" s="126">
        <f>IF($I269="Atrasado",'Config'!$C$9-$F269,"")</f>
        <v/>
      </c>
      <c r="K269" s="127">
        <f>IF(AND($E269&lt;&gt;"",$G269=""),$E269,0)</f>
        <v>0</v>
      </c>
      <c r="L269" s="127">
        <f>IF($I269="Atrasado",$E269,0)</f>
        <v>0</v>
      </c>
      <c r="M269" s="128">
        <f>IF($I269="Atrasado",$J269+ROW()/1000000,0)</f>
        <v>0</v>
      </c>
    </row>
    <row r="270" spans="9:13" ht="16.5" customHeight="1">
      <c r="I270" s="66">
        <f>IF($E270="","",IF($G270&lt;&gt;"","Pago",IF($F270="","Pendente",IF('Config'!$C$9&gt;$F270,"Atrasado","Pendente"))))</f>
        <v/>
      </c>
      <c r="J270" s="126">
        <f>IF($I270="Atrasado",'Config'!$C$9-$F270,"")</f>
        <v/>
      </c>
      <c r="K270" s="127">
        <f>IF(AND($E270&lt;&gt;"",$G270=""),$E270,0)</f>
        <v>0</v>
      </c>
      <c r="L270" s="127">
        <f>IF($I270="Atrasado",$E270,0)</f>
        <v>0</v>
      </c>
      <c r="M270" s="128">
        <f>IF($I270="Atrasado",$J270+ROW()/1000000,0)</f>
        <v>0</v>
      </c>
    </row>
    <row r="271" spans="9:13" ht="16.5" customHeight="1">
      <c r="I271" s="66">
        <f>IF($E271="","",IF($G271&lt;&gt;"","Pago",IF($F271="","Pendente",IF('Config'!$C$9&gt;$F271,"Atrasado","Pendente"))))</f>
        <v/>
      </c>
      <c r="J271" s="126">
        <f>IF($I271="Atrasado",'Config'!$C$9-$F271,"")</f>
        <v/>
      </c>
      <c r="K271" s="127">
        <f>IF(AND($E271&lt;&gt;"",$G271=""),$E271,0)</f>
        <v>0</v>
      </c>
      <c r="L271" s="127">
        <f>IF($I271="Atrasado",$E271,0)</f>
        <v>0</v>
      </c>
      <c r="M271" s="128">
        <f>IF($I271="Atrasado",$J271+ROW()/1000000,0)</f>
        <v>0</v>
      </c>
    </row>
    <row r="272" spans="9:13" ht="16.5" customHeight="1">
      <c r="I272" s="66">
        <f>IF($E272="","",IF($G272&lt;&gt;"","Pago",IF($F272="","Pendente",IF('Config'!$C$9&gt;$F272,"Atrasado","Pendente"))))</f>
        <v/>
      </c>
      <c r="J272" s="126">
        <f>IF($I272="Atrasado",'Config'!$C$9-$F272,"")</f>
        <v/>
      </c>
      <c r="K272" s="127">
        <f>IF(AND($E272&lt;&gt;"",$G272=""),$E272,0)</f>
        <v>0</v>
      </c>
      <c r="L272" s="127">
        <f>IF($I272="Atrasado",$E272,0)</f>
        <v>0</v>
      </c>
      <c r="M272" s="128">
        <f>IF($I272="Atrasado",$J272+ROW()/1000000,0)</f>
        <v>0</v>
      </c>
    </row>
    <row r="273" spans="9:13" ht="16.5" customHeight="1">
      <c r="I273" s="66">
        <f>IF($E273="","",IF($G273&lt;&gt;"","Pago",IF($F273="","Pendente",IF('Config'!$C$9&gt;$F273,"Atrasado","Pendente"))))</f>
        <v/>
      </c>
      <c r="J273" s="126">
        <f>IF($I273="Atrasado",'Config'!$C$9-$F273,"")</f>
        <v/>
      </c>
      <c r="K273" s="127">
        <f>IF(AND($E273&lt;&gt;"",$G273=""),$E273,0)</f>
        <v>0</v>
      </c>
      <c r="L273" s="127">
        <f>IF($I273="Atrasado",$E273,0)</f>
        <v>0</v>
      </c>
      <c r="M273" s="128">
        <f>IF($I273="Atrasado",$J273+ROW()/1000000,0)</f>
        <v>0</v>
      </c>
    </row>
    <row r="274" spans="9:13" ht="16.5" customHeight="1">
      <c r="I274" s="66">
        <f>IF($E274="","",IF($G274&lt;&gt;"","Pago",IF($F274="","Pendente",IF('Config'!$C$9&gt;$F274,"Atrasado","Pendente"))))</f>
        <v/>
      </c>
      <c r="J274" s="126">
        <f>IF($I274="Atrasado",'Config'!$C$9-$F274,"")</f>
        <v/>
      </c>
      <c r="K274" s="127">
        <f>IF(AND($E274&lt;&gt;"",$G274=""),$E274,0)</f>
        <v>0</v>
      </c>
      <c r="L274" s="127">
        <f>IF($I274="Atrasado",$E274,0)</f>
        <v>0</v>
      </c>
      <c r="M274" s="128">
        <f>IF($I274="Atrasado",$J274+ROW()/1000000,0)</f>
        <v>0</v>
      </c>
    </row>
    <row r="275" spans="9:13" ht="16.5" customHeight="1">
      <c r="I275" s="66">
        <f>IF($E275="","",IF($G275&lt;&gt;"","Pago",IF($F275="","Pendente",IF('Config'!$C$9&gt;$F275,"Atrasado","Pendente"))))</f>
        <v/>
      </c>
      <c r="J275" s="126">
        <f>IF($I275="Atrasado",'Config'!$C$9-$F275,"")</f>
        <v/>
      </c>
      <c r="K275" s="127">
        <f>IF(AND($E275&lt;&gt;"",$G275=""),$E275,0)</f>
        <v>0</v>
      </c>
      <c r="L275" s="127">
        <f>IF($I275="Atrasado",$E275,0)</f>
        <v>0</v>
      </c>
      <c r="M275" s="128">
        <f>IF($I275="Atrasado",$J275+ROW()/1000000,0)</f>
        <v>0</v>
      </c>
    </row>
    <row r="276" spans="9:13" ht="16.5" customHeight="1">
      <c r="I276" s="66">
        <f>IF($E276="","",IF($G276&lt;&gt;"","Pago",IF($F276="","Pendente",IF('Config'!$C$9&gt;$F276,"Atrasado","Pendente"))))</f>
        <v/>
      </c>
      <c r="J276" s="126">
        <f>IF($I276="Atrasado",'Config'!$C$9-$F276,"")</f>
        <v/>
      </c>
      <c r="K276" s="127">
        <f>IF(AND($E276&lt;&gt;"",$G276=""),$E276,0)</f>
        <v>0</v>
      </c>
      <c r="L276" s="127">
        <f>IF($I276="Atrasado",$E276,0)</f>
        <v>0</v>
      </c>
      <c r="M276" s="128">
        <f>IF($I276="Atrasado",$J276+ROW()/1000000,0)</f>
        <v>0</v>
      </c>
    </row>
    <row r="277" spans="9:13" ht="16.5" customHeight="1">
      <c r="I277" s="66">
        <f>IF($E277="","",IF($G277&lt;&gt;"","Pago",IF($F277="","Pendente",IF('Config'!$C$9&gt;$F277,"Atrasado","Pendente"))))</f>
        <v/>
      </c>
      <c r="J277" s="126">
        <f>IF($I277="Atrasado",'Config'!$C$9-$F277,"")</f>
        <v/>
      </c>
      <c r="K277" s="127">
        <f>IF(AND($E277&lt;&gt;"",$G277=""),$E277,0)</f>
        <v>0</v>
      </c>
      <c r="L277" s="127">
        <f>IF($I277="Atrasado",$E277,0)</f>
        <v>0</v>
      </c>
      <c r="M277" s="128">
        <f>IF($I277="Atrasado",$J277+ROW()/1000000,0)</f>
        <v>0</v>
      </c>
    </row>
    <row r="278" spans="9:13" ht="16.5" customHeight="1">
      <c r="I278" s="66">
        <f>IF($E278="","",IF($G278&lt;&gt;"","Pago",IF($F278="","Pendente",IF('Config'!$C$9&gt;$F278,"Atrasado","Pendente"))))</f>
        <v/>
      </c>
      <c r="J278" s="126">
        <f>IF($I278="Atrasado",'Config'!$C$9-$F278,"")</f>
        <v/>
      </c>
      <c r="K278" s="127">
        <f>IF(AND($E278&lt;&gt;"",$G278=""),$E278,0)</f>
        <v>0</v>
      </c>
      <c r="L278" s="127">
        <f>IF($I278="Atrasado",$E278,0)</f>
        <v>0</v>
      </c>
      <c r="M278" s="128">
        <f>IF($I278="Atrasado",$J278+ROW()/1000000,0)</f>
        <v>0</v>
      </c>
    </row>
    <row r="279" spans="9:13" ht="16.5" customHeight="1">
      <c r="I279" s="66">
        <f>IF($E279="","",IF($G279&lt;&gt;"","Pago",IF($F279="","Pendente",IF('Config'!$C$9&gt;$F279,"Atrasado","Pendente"))))</f>
        <v/>
      </c>
      <c r="J279" s="126">
        <f>IF($I279="Atrasado",'Config'!$C$9-$F279,"")</f>
        <v/>
      </c>
      <c r="K279" s="127">
        <f>IF(AND($E279&lt;&gt;"",$G279=""),$E279,0)</f>
        <v>0</v>
      </c>
      <c r="L279" s="127">
        <f>IF($I279="Atrasado",$E279,0)</f>
        <v>0</v>
      </c>
      <c r="M279" s="128">
        <f>IF($I279="Atrasado",$J279+ROW()/1000000,0)</f>
        <v>0</v>
      </c>
    </row>
    <row r="280" spans="9:13" ht="16.5" customHeight="1">
      <c r="I280" s="66">
        <f>IF($E280="","",IF($G280&lt;&gt;"","Pago",IF($F280="","Pendente",IF('Config'!$C$9&gt;$F280,"Atrasado","Pendente"))))</f>
        <v/>
      </c>
      <c r="J280" s="126">
        <f>IF($I280="Atrasado",'Config'!$C$9-$F280,"")</f>
        <v/>
      </c>
      <c r="K280" s="127">
        <f>IF(AND($E280&lt;&gt;"",$G280=""),$E280,0)</f>
        <v>0</v>
      </c>
      <c r="L280" s="127">
        <f>IF($I280="Atrasado",$E280,0)</f>
        <v>0</v>
      </c>
      <c r="M280" s="128">
        <f>IF($I280="Atrasado",$J280+ROW()/1000000,0)</f>
        <v>0</v>
      </c>
    </row>
    <row r="281" spans="9:13" ht="16.5" customHeight="1">
      <c r="I281" s="66">
        <f>IF($E281="","",IF($G281&lt;&gt;"","Pago",IF($F281="","Pendente",IF('Config'!$C$9&gt;$F281,"Atrasado","Pendente"))))</f>
        <v/>
      </c>
      <c r="J281" s="126">
        <f>IF($I281="Atrasado",'Config'!$C$9-$F281,"")</f>
        <v/>
      </c>
      <c r="K281" s="127">
        <f>IF(AND($E281&lt;&gt;"",$G281=""),$E281,0)</f>
        <v>0</v>
      </c>
      <c r="L281" s="127">
        <f>IF($I281="Atrasado",$E281,0)</f>
        <v>0</v>
      </c>
      <c r="M281" s="128">
        <f>IF($I281="Atrasado",$J281+ROW()/1000000,0)</f>
        <v>0</v>
      </c>
    </row>
    <row r="282" spans="9:13" ht="16.5" customHeight="1">
      <c r="I282" s="66">
        <f>IF($E282="","",IF($G282&lt;&gt;"","Pago",IF($F282="","Pendente",IF('Config'!$C$9&gt;$F282,"Atrasado","Pendente"))))</f>
        <v/>
      </c>
      <c r="J282" s="126">
        <f>IF($I282="Atrasado",'Config'!$C$9-$F282,"")</f>
        <v/>
      </c>
      <c r="K282" s="127">
        <f>IF(AND($E282&lt;&gt;"",$G282=""),$E282,0)</f>
        <v>0</v>
      </c>
      <c r="L282" s="127">
        <f>IF($I282="Atrasado",$E282,0)</f>
        <v>0</v>
      </c>
      <c r="M282" s="128">
        <f>IF($I282="Atrasado",$J282+ROW()/1000000,0)</f>
        <v>0</v>
      </c>
    </row>
    <row r="283" spans="9:13" ht="16.5" customHeight="1">
      <c r="I283" s="66">
        <f>IF($E283="","",IF($G283&lt;&gt;"","Pago",IF($F283="","Pendente",IF('Config'!$C$9&gt;$F283,"Atrasado","Pendente"))))</f>
        <v/>
      </c>
      <c r="J283" s="126">
        <f>IF($I283="Atrasado",'Config'!$C$9-$F283,"")</f>
        <v/>
      </c>
      <c r="K283" s="127">
        <f>IF(AND($E283&lt;&gt;"",$G283=""),$E283,0)</f>
        <v>0</v>
      </c>
      <c r="L283" s="127">
        <f>IF($I283="Atrasado",$E283,0)</f>
        <v>0</v>
      </c>
      <c r="M283" s="128">
        <f>IF($I283="Atrasado",$J283+ROW()/1000000,0)</f>
        <v>0</v>
      </c>
    </row>
    <row r="284" spans="9:13" ht="16.5" customHeight="1">
      <c r="I284" s="66">
        <f>IF($E284="","",IF($G284&lt;&gt;"","Pago",IF($F284="","Pendente",IF('Config'!$C$9&gt;$F284,"Atrasado","Pendente"))))</f>
        <v/>
      </c>
      <c r="J284" s="126">
        <f>IF($I284="Atrasado",'Config'!$C$9-$F284,"")</f>
        <v/>
      </c>
      <c r="K284" s="127">
        <f>IF(AND($E284&lt;&gt;"",$G284=""),$E284,0)</f>
        <v>0</v>
      </c>
      <c r="L284" s="127">
        <f>IF($I284="Atrasado",$E284,0)</f>
        <v>0</v>
      </c>
      <c r="M284" s="128">
        <f>IF($I284="Atrasado",$J284+ROW()/1000000,0)</f>
        <v>0</v>
      </c>
    </row>
    <row r="285" spans="9:13" ht="16.5" customHeight="1">
      <c r="I285" s="66">
        <f>IF($E285="","",IF($G285&lt;&gt;"","Pago",IF($F285="","Pendente",IF('Config'!$C$9&gt;$F285,"Atrasado","Pendente"))))</f>
        <v/>
      </c>
      <c r="J285" s="126">
        <f>IF($I285="Atrasado",'Config'!$C$9-$F285,"")</f>
        <v/>
      </c>
      <c r="K285" s="127">
        <f>IF(AND($E285&lt;&gt;"",$G285=""),$E285,0)</f>
        <v>0</v>
      </c>
      <c r="L285" s="127">
        <f>IF($I285="Atrasado",$E285,0)</f>
        <v>0</v>
      </c>
      <c r="M285" s="128">
        <f>IF($I285="Atrasado",$J285+ROW()/1000000,0)</f>
        <v>0</v>
      </c>
    </row>
    <row r="286" spans="9:13" ht="16.5" customHeight="1">
      <c r="I286" s="66">
        <f>IF($E286="","",IF($G286&lt;&gt;"","Pago",IF($F286="","Pendente",IF('Config'!$C$9&gt;$F286,"Atrasado","Pendente"))))</f>
        <v/>
      </c>
      <c r="J286" s="126">
        <f>IF($I286="Atrasado",'Config'!$C$9-$F286,"")</f>
        <v/>
      </c>
      <c r="K286" s="127">
        <f>IF(AND($E286&lt;&gt;"",$G286=""),$E286,0)</f>
        <v>0</v>
      </c>
      <c r="L286" s="127">
        <f>IF($I286="Atrasado",$E286,0)</f>
        <v>0</v>
      </c>
      <c r="M286" s="128">
        <f>IF($I286="Atrasado",$J286+ROW()/1000000,0)</f>
        <v>0</v>
      </c>
    </row>
    <row r="287" spans="9:13" ht="16.5" customHeight="1">
      <c r="I287" s="66">
        <f>IF($E287="","",IF($G287&lt;&gt;"","Pago",IF($F287="","Pendente",IF('Config'!$C$9&gt;$F287,"Atrasado","Pendente"))))</f>
        <v/>
      </c>
      <c r="J287" s="126">
        <f>IF($I287="Atrasado",'Config'!$C$9-$F287,"")</f>
        <v/>
      </c>
      <c r="K287" s="127">
        <f>IF(AND($E287&lt;&gt;"",$G287=""),$E287,0)</f>
        <v>0</v>
      </c>
      <c r="L287" s="127">
        <f>IF($I287="Atrasado",$E287,0)</f>
        <v>0</v>
      </c>
      <c r="M287" s="128">
        <f>IF($I287="Atrasado",$J287+ROW()/1000000,0)</f>
        <v>0</v>
      </c>
    </row>
    <row r="288" spans="9:13" ht="16.5" customHeight="1">
      <c r="I288" s="66">
        <f>IF($E288="","",IF($G288&lt;&gt;"","Pago",IF($F288="","Pendente",IF('Config'!$C$9&gt;$F288,"Atrasado","Pendente"))))</f>
        <v/>
      </c>
      <c r="J288" s="126">
        <f>IF($I288="Atrasado",'Config'!$C$9-$F288,"")</f>
        <v/>
      </c>
      <c r="K288" s="127">
        <f>IF(AND($E288&lt;&gt;"",$G288=""),$E288,0)</f>
        <v>0</v>
      </c>
      <c r="L288" s="127">
        <f>IF($I288="Atrasado",$E288,0)</f>
        <v>0</v>
      </c>
      <c r="M288" s="128">
        <f>IF($I288="Atrasado",$J288+ROW()/1000000,0)</f>
        <v>0</v>
      </c>
    </row>
    <row r="289" spans="9:13" ht="16.5" customHeight="1">
      <c r="I289" s="66">
        <f>IF($E289="","",IF($G289&lt;&gt;"","Pago",IF($F289="","Pendente",IF('Config'!$C$9&gt;$F289,"Atrasado","Pendente"))))</f>
        <v/>
      </c>
      <c r="J289" s="126">
        <f>IF($I289="Atrasado",'Config'!$C$9-$F289,"")</f>
        <v/>
      </c>
      <c r="K289" s="127">
        <f>IF(AND($E289&lt;&gt;"",$G289=""),$E289,0)</f>
        <v>0</v>
      </c>
      <c r="L289" s="127">
        <f>IF($I289="Atrasado",$E289,0)</f>
        <v>0</v>
      </c>
      <c r="M289" s="128">
        <f>IF($I289="Atrasado",$J289+ROW()/1000000,0)</f>
        <v>0</v>
      </c>
    </row>
    <row r="290" spans="9:13" ht="16.5" customHeight="1">
      <c r="I290" s="66">
        <f>IF($E290="","",IF($G290&lt;&gt;"","Pago",IF($F290="","Pendente",IF('Config'!$C$9&gt;$F290,"Atrasado","Pendente"))))</f>
        <v/>
      </c>
      <c r="J290" s="126">
        <f>IF($I290="Atrasado",'Config'!$C$9-$F290,"")</f>
        <v/>
      </c>
      <c r="K290" s="127">
        <f>IF(AND($E290&lt;&gt;"",$G290=""),$E290,0)</f>
        <v>0</v>
      </c>
      <c r="L290" s="127">
        <f>IF($I290="Atrasado",$E290,0)</f>
        <v>0</v>
      </c>
      <c r="M290" s="128">
        <f>IF($I290="Atrasado",$J290+ROW()/1000000,0)</f>
        <v>0</v>
      </c>
    </row>
    <row r="291" spans="9:13" ht="16.5" customHeight="1">
      <c r="I291" s="66">
        <f>IF($E291="","",IF($G291&lt;&gt;"","Pago",IF($F291="","Pendente",IF('Config'!$C$9&gt;$F291,"Atrasado","Pendente"))))</f>
        <v/>
      </c>
      <c r="J291" s="126">
        <f>IF($I291="Atrasado",'Config'!$C$9-$F291,"")</f>
        <v/>
      </c>
      <c r="K291" s="127">
        <f>IF(AND($E291&lt;&gt;"",$G291=""),$E291,0)</f>
        <v>0</v>
      </c>
      <c r="L291" s="127">
        <f>IF($I291="Atrasado",$E291,0)</f>
        <v>0</v>
      </c>
      <c r="M291" s="128">
        <f>IF($I291="Atrasado",$J291+ROW()/1000000,0)</f>
        <v>0</v>
      </c>
    </row>
    <row r="292" spans="9:13" ht="16.5" customHeight="1">
      <c r="I292" s="66">
        <f>IF($E292="","",IF($G292&lt;&gt;"","Pago",IF($F292="","Pendente",IF('Config'!$C$9&gt;$F292,"Atrasado","Pendente"))))</f>
        <v/>
      </c>
      <c r="J292" s="126">
        <f>IF($I292="Atrasado",'Config'!$C$9-$F292,"")</f>
        <v/>
      </c>
      <c r="K292" s="127">
        <f>IF(AND($E292&lt;&gt;"",$G292=""),$E292,0)</f>
        <v>0</v>
      </c>
      <c r="L292" s="127">
        <f>IF($I292="Atrasado",$E292,0)</f>
        <v>0</v>
      </c>
      <c r="M292" s="128">
        <f>IF($I292="Atrasado",$J292+ROW()/1000000,0)</f>
        <v>0</v>
      </c>
    </row>
    <row r="293" spans="9:13" ht="16.5" customHeight="1">
      <c r="I293" s="66">
        <f>IF($E293="","",IF($G293&lt;&gt;"","Pago",IF($F293="","Pendente",IF('Config'!$C$9&gt;$F293,"Atrasado","Pendente"))))</f>
        <v/>
      </c>
      <c r="J293" s="126">
        <f>IF($I293="Atrasado",'Config'!$C$9-$F293,"")</f>
        <v/>
      </c>
      <c r="K293" s="127">
        <f>IF(AND($E293&lt;&gt;"",$G293=""),$E293,0)</f>
        <v>0</v>
      </c>
      <c r="L293" s="127">
        <f>IF($I293="Atrasado",$E293,0)</f>
        <v>0</v>
      </c>
      <c r="M293" s="128">
        <f>IF($I293="Atrasado",$J293+ROW()/1000000,0)</f>
        <v>0</v>
      </c>
    </row>
    <row r="294" spans="9:13" ht="16.5" customHeight="1">
      <c r="I294" s="66">
        <f>IF($E294="","",IF($G294&lt;&gt;"","Pago",IF($F294="","Pendente",IF('Config'!$C$9&gt;$F294,"Atrasado","Pendente"))))</f>
        <v/>
      </c>
      <c r="J294" s="126">
        <f>IF($I294="Atrasado",'Config'!$C$9-$F294,"")</f>
        <v/>
      </c>
      <c r="K294" s="127">
        <f>IF(AND($E294&lt;&gt;"",$G294=""),$E294,0)</f>
        <v>0</v>
      </c>
      <c r="L294" s="127">
        <f>IF($I294="Atrasado",$E294,0)</f>
        <v>0</v>
      </c>
      <c r="M294" s="128">
        <f>IF($I294="Atrasado",$J294+ROW()/1000000,0)</f>
        <v>0</v>
      </c>
    </row>
    <row r="295" spans="9:13" ht="16.5" customHeight="1">
      <c r="I295" s="66">
        <f>IF($E295="","",IF($G295&lt;&gt;"","Pago",IF($F295="","Pendente",IF('Config'!$C$9&gt;$F295,"Atrasado","Pendente"))))</f>
        <v/>
      </c>
      <c r="J295" s="126">
        <f>IF($I295="Atrasado",'Config'!$C$9-$F295,"")</f>
        <v/>
      </c>
      <c r="K295" s="127">
        <f>IF(AND($E295&lt;&gt;"",$G295=""),$E295,0)</f>
        <v>0</v>
      </c>
      <c r="L295" s="127">
        <f>IF($I295="Atrasado",$E295,0)</f>
        <v>0</v>
      </c>
      <c r="M295" s="128">
        <f>IF($I295="Atrasado",$J295+ROW()/1000000,0)</f>
        <v>0</v>
      </c>
    </row>
    <row r="296" spans="9:13" ht="16.5" customHeight="1">
      <c r="I296" s="66">
        <f>IF($E296="","",IF($G296&lt;&gt;"","Pago",IF($F296="","Pendente",IF('Config'!$C$9&gt;$F296,"Atrasado","Pendente"))))</f>
        <v/>
      </c>
      <c r="J296" s="126">
        <f>IF($I296="Atrasado",'Config'!$C$9-$F296,"")</f>
        <v/>
      </c>
      <c r="K296" s="127">
        <f>IF(AND($E296&lt;&gt;"",$G296=""),$E296,0)</f>
        <v>0</v>
      </c>
      <c r="L296" s="127">
        <f>IF($I296="Atrasado",$E296,0)</f>
        <v>0</v>
      </c>
      <c r="M296" s="128">
        <f>IF($I296="Atrasado",$J296+ROW()/1000000,0)</f>
        <v>0</v>
      </c>
    </row>
    <row r="297" spans="9:13" ht="16.5" customHeight="1">
      <c r="I297" s="66">
        <f>IF($E297="","",IF($G297&lt;&gt;"","Pago",IF($F297="","Pendente",IF('Config'!$C$9&gt;$F297,"Atrasado","Pendente"))))</f>
        <v/>
      </c>
      <c r="J297" s="126">
        <f>IF($I297="Atrasado",'Config'!$C$9-$F297,"")</f>
        <v/>
      </c>
      <c r="K297" s="127">
        <f>IF(AND($E297&lt;&gt;"",$G297=""),$E297,0)</f>
        <v>0</v>
      </c>
      <c r="L297" s="127">
        <f>IF($I297="Atrasado",$E297,0)</f>
        <v>0</v>
      </c>
      <c r="M297" s="128">
        <f>IF($I297="Atrasado",$J297+ROW()/1000000,0)</f>
        <v>0</v>
      </c>
    </row>
    <row r="298" spans="9:13" ht="16.5" customHeight="1">
      <c r="I298" s="66">
        <f>IF($E298="","",IF($G298&lt;&gt;"","Pago",IF($F298="","Pendente",IF('Config'!$C$9&gt;$F298,"Atrasado","Pendente"))))</f>
        <v/>
      </c>
      <c r="J298" s="126">
        <f>IF($I298="Atrasado",'Config'!$C$9-$F298,"")</f>
        <v/>
      </c>
      <c r="K298" s="127">
        <f>IF(AND($E298&lt;&gt;"",$G298=""),$E298,0)</f>
        <v>0</v>
      </c>
      <c r="L298" s="127">
        <f>IF($I298="Atrasado",$E298,0)</f>
        <v>0</v>
      </c>
      <c r="M298" s="128">
        <f>IF($I298="Atrasado",$J298+ROW()/1000000,0)</f>
        <v>0</v>
      </c>
    </row>
    <row r="299" spans="9:13" ht="16.5" customHeight="1">
      <c r="I299" s="66">
        <f>IF($E299="","",IF($G299&lt;&gt;"","Pago",IF($F299="","Pendente",IF('Config'!$C$9&gt;$F299,"Atrasado","Pendente"))))</f>
        <v/>
      </c>
      <c r="J299" s="126">
        <f>IF($I299="Atrasado",'Config'!$C$9-$F299,"")</f>
        <v/>
      </c>
      <c r="K299" s="127">
        <f>IF(AND($E299&lt;&gt;"",$G299=""),$E299,0)</f>
        <v>0</v>
      </c>
      <c r="L299" s="127">
        <f>IF($I299="Atrasado",$E299,0)</f>
        <v>0</v>
      </c>
      <c r="M299" s="128">
        <f>IF($I299="Atrasado",$J299+ROW()/1000000,0)</f>
        <v>0</v>
      </c>
    </row>
    <row r="300" spans="9:13" ht="16.5" customHeight="1">
      <c r="I300" s="66">
        <f>IF($E300="","",IF($G300&lt;&gt;"","Pago",IF($F300="","Pendente",IF('Config'!$C$9&gt;$F300,"Atrasado","Pendente"))))</f>
        <v/>
      </c>
      <c r="J300" s="126">
        <f>IF($I300="Atrasado",'Config'!$C$9-$F300,"")</f>
        <v/>
      </c>
      <c r="K300" s="127">
        <f>IF(AND($E300&lt;&gt;"",$G300=""),$E300,0)</f>
        <v>0</v>
      </c>
      <c r="L300" s="127">
        <f>IF($I300="Atrasado",$E300,0)</f>
        <v>0</v>
      </c>
      <c r="M300" s="128">
        <f>IF($I300="Atrasado",$J300+ROW()/1000000,0)</f>
        <v>0</v>
      </c>
    </row>
    <row r="301" spans="9:13" ht="16.5" customHeight="1">
      <c r="I301" s="66">
        <f>IF($E301="","",IF($G301&lt;&gt;"","Pago",IF($F301="","Pendente",IF('Config'!$C$9&gt;$F301,"Atrasado","Pendente"))))</f>
        <v/>
      </c>
      <c r="J301" s="126">
        <f>IF($I301="Atrasado",'Config'!$C$9-$F301,"")</f>
        <v/>
      </c>
      <c r="K301" s="127">
        <f>IF(AND($E301&lt;&gt;"",$G301=""),$E301,0)</f>
        <v>0</v>
      </c>
      <c r="L301" s="127">
        <f>IF($I301="Atrasado",$E301,0)</f>
        <v>0</v>
      </c>
      <c r="M301" s="128">
        <f>IF($I301="Atrasado",$J301+ROW()/1000000,0)</f>
        <v>0</v>
      </c>
    </row>
    <row r="302" spans="9:13" ht="16.5" customHeight="1">
      <c r="I302" s="66">
        <f>IF($E302="","",IF($G302&lt;&gt;"","Pago",IF($F302="","Pendente",IF('Config'!$C$9&gt;$F302,"Atrasado","Pendente"))))</f>
        <v/>
      </c>
      <c r="J302" s="126">
        <f>IF($I302="Atrasado",'Config'!$C$9-$F302,"")</f>
        <v/>
      </c>
      <c r="K302" s="127">
        <f>IF(AND($E302&lt;&gt;"",$G302=""),$E302,0)</f>
        <v>0</v>
      </c>
      <c r="L302" s="127">
        <f>IF($I302="Atrasado",$E302,0)</f>
        <v>0</v>
      </c>
      <c r="M302" s="128">
        <f>IF($I302="Atrasado",$J302+ROW()/1000000,0)</f>
        <v>0</v>
      </c>
    </row>
    <row r="303" spans="9:13" ht="16.5" customHeight="1">
      <c r="I303" s="66">
        <f>IF($E303="","",IF($G303&lt;&gt;"","Pago",IF($F303="","Pendente",IF('Config'!$C$9&gt;$F303,"Atrasado","Pendente"))))</f>
        <v/>
      </c>
      <c r="J303" s="126">
        <f>IF($I303="Atrasado",'Config'!$C$9-$F303,"")</f>
        <v/>
      </c>
      <c r="K303" s="127">
        <f>IF(AND($E303&lt;&gt;"",$G303=""),$E303,0)</f>
        <v>0</v>
      </c>
      <c r="L303" s="127">
        <f>IF($I303="Atrasado",$E303,0)</f>
        <v>0</v>
      </c>
      <c r="M303" s="128">
        <f>IF($I303="Atrasado",$J303+ROW()/1000000,0)</f>
        <v>0</v>
      </c>
    </row>
    <row r="304" spans="9:13" ht="16.5" customHeight="1">
      <c r="I304" s="66">
        <f>IF($E304="","",IF($G304&lt;&gt;"","Pago",IF($F304="","Pendente",IF('Config'!$C$9&gt;$F304,"Atrasado","Pendente"))))</f>
        <v/>
      </c>
      <c r="J304" s="126">
        <f>IF($I304="Atrasado",'Config'!$C$9-$F304,"")</f>
        <v/>
      </c>
      <c r="K304" s="127">
        <f>IF(AND($E304&lt;&gt;"",$G304=""),$E304,0)</f>
        <v>0</v>
      </c>
      <c r="L304" s="127">
        <f>IF($I304="Atrasado",$E304,0)</f>
        <v>0</v>
      </c>
      <c r="M304" s="128">
        <f>IF($I304="Atrasado",$J304+ROW()/1000000,0)</f>
        <v>0</v>
      </c>
    </row>
    <row r="305" spans="9:13" ht="16.5" customHeight="1">
      <c r="I305" s="66">
        <f>IF($E305="","",IF($G305&lt;&gt;"","Pago",IF($F305="","Pendente",IF('Config'!$C$9&gt;$F305,"Atrasado","Pendente"))))</f>
        <v/>
      </c>
      <c r="J305" s="126">
        <f>IF($I305="Atrasado",'Config'!$C$9-$F305,"")</f>
        <v/>
      </c>
      <c r="K305" s="127">
        <f>IF(AND($E305&lt;&gt;"",$G305=""),$E305,0)</f>
        <v>0</v>
      </c>
      <c r="L305" s="127">
        <f>IF($I305="Atrasado",$E305,0)</f>
        <v>0</v>
      </c>
      <c r="M305" s="128">
        <f>IF($I305="Atrasado",$J305+ROW()/1000000,0)</f>
        <v>0</v>
      </c>
    </row>
    <row r="306" spans="9:13" ht="16.5" customHeight="1">
      <c r="I306" s="66">
        <f>IF($E306="","",IF($G306&lt;&gt;"","Pago",IF($F306="","Pendente",IF('Config'!$C$9&gt;$F306,"Atrasado","Pendente"))))</f>
        <v/>
      </c>
      <c r="J306" s="126">
        <f>IF($I306="Atrasado",'Config'!$C$9-$F306,"")</f>
        <v/>
      </c>
      <c r="K306" s="127">
        <f>IF(AND($E306&lt;&gt;"",$G306=""),$E306,0)</f>
        <v>0</v>
      </c>
      <c r="L306" s="127">
        <f>IF($I306="Atrasado",$E306,0)</f>
        <v>0</v>
      </c>
      <c r="M306" s="128">
        <f>IF($I306="Atrasado",$J306+ROW()/1000000,0)</f>
        <v>0</v>
      </c>
    </row>
    <row r="307" spans="9:13" ht="16.5" customHeight="1">
      <c r="I307" s="66">
        <f>IF($E307="","",IF($G307&lt;&gt;"","Pago",IF($F307="","Pendente",IF('Config'!$C$9&gt;$F307,"Atrasado","Pendente"))))</f>
        <v/>
      </c>
      <c r="J307" s="126">
        <f>IF($I307="Atrasado",'Config'!$C$9-$F307,"")</f>
        <v/>
      </c>
      <c r="K307" s="127">
        <f>IF(AND($E307&lt;&gt;"",$G307=""),$E307,0)</f>
        <v>0</v>
      </c>
      <c r="L307" s="127">
        <f>IF($I307="Atrasado",$E307,0)</f>
        <v>0</v>
      </c>
      <c r="M307" s="128">
        <f>IF($I307="Atrasado",$J307+ROW()/1000000,0)</f>
        <v>0</v>
      </c>
    </row>
    <row r="308" spans="9:13" ht="16.5" customHeight="1">
      <c r="I308" s="66">
        <f>IF($E308="","",IF($G308&lt;&gt;"","Pago",IF($F308="","Pendente",IF('Config'!$C$9&gt;$F308,"Atrasado","Pendente"))))</f>
        <v/>
      </c>
      <c r="J308" s="126">
        <f>IF($I308="Atrasado",'Config'!$C$9-$F308,"")</f>
        <v/>
      </c>
      <c r="K308" s="127">
        <f>IF(AND($E308&lt;&gt;"",$G308=""),$E308,0)</f>
        <v>0</v>
      </c>
      <c r="L308" s="127">
        <f>IF($I308="Atrasado",$E308,0)</f>
        <v>0</v>
      </c>
      <c r="M308" s="128">
        <f>IF($I308="Atrasado",$J308+ROW()/1000000,0)</f>
        <v>0</v>
      </c>
    </row>
    <row r="309" spans="9:13" ht="16.5" customHeight="1">
      <c r="I309" s="66">
        <f>IF($E309="","",IF($G309&lt;&gt;"","Pago",IF($F309="","Pendente",IF('Config'!$C$9&gt;$F309,"Atrasado","Pendente"))))</f>
        <v/>
      </c>
      <c r="J309" s="126">
        <f>IF($I309="Atrasado",'Config'!$C$9-$F309,"")</f>
        <v/>
      </c>
      <c r="K309" s="127">
        <f>IF(AND($E309&lt;&gt;"",$G309=""),$E309,0)</f>
        <v>0</v>
      </c>
      <c r="L309" s="127">
        <f>IF($I309="Atrasado",$E309,0)</f>
        <v>0</v>
      </c>
      <c r="M309" s="128">
        <f>IF($I309="Atrasado",$J309+ROW()/1000000,0)</f>
        <v>0</v>
      </c>
    </row>
    <row r="310" spans="9:13" ht="16.5" customHeight="1">
      <c r="I310" s="66">
        <f>IF($E310="","",IF($G310&lt;&gt;"","Pago",IF($F310="","Pendente",IF('Config'!$C$9&gt;$F310,"Atrasado","Pendente"))))</f>
        <v/>
      </c>
      <c r="J310" s="126">
        <f>IF($I310="Atrasado",'Config'!$C$9-$F310,"")</f>
        <v/>
      </c>
      <c r="K310" s="127">
        <f>IF(AND($E310&lt;&gt;"",$G310=""),$E310,0)</f>
        <v>0</v>
      </c>
      <c r="L310" s="127">
        <f>IF($I310="Atrasado",$E310,0)</f>
        <v>0</v>
      </c>
      <c r="M310" s="128">
        <f>IF($I310="Atrasado",$J310+ROW()/1000000,0)</f>
        <v>0</v>
      </c>
    </row>
    <row r="311" spans="9:13" ht="16.5" customHeight="1">
      <c r="I311" s="66">
        <f>IF($E311="","",IF($G311&lt;&gt;"","Pago",IF($F311="","Pendente",IF('Config'!$C$9&gt;$F311,"Atrasado","Pendente"))))</f>
        <v/>
      </c>
      <c r="J311" s="126">
        <f>IF($I311="Atrasado",'Config'!$C$9-$F311,"")</f>
        <v/>
      </c>
      <c r="K311" s="127">
        <f>IF(AND($E311&lt;&gt;"",$G311=""),$E311,0)</f>
        <v>0</v>
      </c>
      <c r="L311" s="127">
        <f>IF($I311="Atrasado",$E311,0)</f>
        <v>0</v>
      </c>
      <c r="M311" s="128">
        <f>IF($I311="Atrasado",$J311+ROW()/1000000,0)</f>
        <v>0</v>
      </c>
    </row>
    <row r="312" spans="9:13" ht="16.5" customHeight="1">
      <c r="I312" s="66">
        <f>IF($E312="","",IF($G312&lt;&gt;"","Pago",IF($F312="","Pendente",IF('Config'!$C$9&gt;$F312,"Atrasado","Pendente"))))</f>
        <v/>
      </c>
      <c r="J312" s="126">
        <f>IF($I312="Atrasado",'Config'!$C$9-$F312,"")</f>
        <v/>
      </c>
      <c r="K312" s="127">
        <f>IF(AND($E312&lt;&gt;"",$G312=""),$E312,0)</f>
        <v>0</v>
      </c>
      <c r="L312" s="127">
        <f>IF($I312="Atrasado",$E312,0)</f>
        <v>0</v>
      </c>
      <c r="M312" s="128">
        <f>IF($I312="Atrasado",$J312+ROW()/1000000,0)</f>
        <v>0</v>
      </c>
    </row>
    <row r="313" spans="9:13" ht="16.5" customHeight="1">
      <c r="I313" s="66">
        <f>IF($E313="","",IF($G313&lt;&gt;"","Pago",IF($F313="","Pendente",IF('Config'!$C$9&gt;$F313,"Atrasado","Pendente"))))</f>
        <v/>
      </c>
      <c r="J313" s="126">
        <f>IF($I313="Atrasado",'Config'!$C$9-$F313,"")</f>
        <v/>
      </c>
      <c r="K313" s="127">
        <f>IF(AND($E313&lt;&gt;"",$G313=""),$E313,0)</f>
        <v>0</v>
      </c>
      <c r="L313" s="127">
        <f>IF($I313="Atrasado",$E313,0)</f>
        <v>0</v>
      </c>
      <c r="M313" s="128">
        <f>IF($I313="Atrasado",$J313+ROW()/1000000,0)</f>
        <v>0</v>
      </c>
    </row>
    <row r="314" spans="9:13" ht="16.5" customHeight="1">
      <c r="I314" s="66">
        <f>IF($E314="","",IF($G314&lt;&gt;"","Pago",IF($F314="","Pendente",IF('Config'!$C$9&gt;$F314,"Atrasado","Pendente"))))</f>
        <v/>
      </c>
      <c r="J314" s="126">
        <f>IF($I314="Atrasado",'Config'!$C$9-$F314,"")</f>
        <v/>
      </c>
      <c r="K314" s="127">
        <f>IF(AND($E314&lt;&gt;"",$G314=""),$E314,0)</f>
        <v>0</v>
      </c>
      <c r="L314" s="127">
        <f>IF($I314="Atrasado",$E314,0)</f>
        <v>0</v>
      </c>
      <c r="M314" s="128">
        <f>IF($I314="Atrasado",$J314+ROW()/1000000,0)</f>
        <v>0</v>
      </c>
    </row>
    <row r="315" spans="9:13" ht="16.5" customHeight="1">
      <c r="I315" s="66">
        <f>IF($E315="","",IF($G315&lt;&gt;"","Pago",IF($F315="","Pendente",IF('Config'!$C$9&gt;$F315,"Atrasado","Pendente"))))</f>
        <v/>
      </c>
      <c r="J315" s="126">
        <f>IF($I315="Atrasado",'Config'!$C$9-$F315,"")</f>
        <v/>
      </c>
      <c r="K315" s="127">
        <f>IF(AND($E315&lt;&gt;"",$G315=""),$E315,0)</f>
        <v>0</v>
      </c>
      <c r="L315" s="127">
        <f>IF($I315="Atrasado",$E315,0)</f>
        <v>0</v>
      </c>
      <c r="M315" s="128">
        <f>IF($I315="Atrasado",$J315+ROW()/1000000,0)</f>
        <v>0</v>
      </c>
    </row>
    <row r="316" spans="9:13" ht="16.5" customHeight="1">
      <c r="I316" s="66">
        <f>IF($E316="","",IF($G316&lt;&gt;"","Pago",IF($F316="","Pendente",IF('Config'!$C$9&gt;$F316,"Atrasado","Pendente"))))</f>
        <v/>
      </c>
      <c r="J316" s="126">
        <f>IF($I316="Atrasado",'Config'!$C$9-$F316,"")</f>
        <v/>
      </c>
      <c r="K316" s="127">
        <f>IF(AND($E316&lt;&gt;"",$G316=""),$E316,0)</f>
        <v>0</v>
      </c>
      <c r="L316" s="127">
        <f>IF($I316="Atrasado",$E316,0)</f>
        <v>0</v>
      </c>
      <c r="M316" s="128">
        <f>IF($I316="Atrasado",$J316+ROW()/1000000,0)</f>
        <v>0</v>
      </c>
    </row>
    <row r="317" spans="9:13" ht="16.5" customHeight="1">
      <c r="I317" s="66">
        <f>IF($E317="","",IF($G317&lt;&gt;"","Pago",IF($F317="","Pendente",IF('Config'!$C$9&gt;$F317,"Atrasado","Pendente"))))</f>
        <v/>
      </c>
      <c r="J317" s="126">
        <f>IF($I317="Atrasado",'Config'!$C$9-$F317,"")</f>
        <v/>
      </c>
      <c r="K317" s="127">
        <f>IF(AND($E317&lt;&gt;"",$G317=""),$E317,0)</f>
        <v>0</v>
      </c>
      <c r="L317" s="127">
        <f>IF($I317="Atrasado",$E317,0)</f>
        <v>0</v>
      </c>
      <c r="M317" s="128">
        <f>IF($I317="Atrasado",$J317+ROW()/1000000,0)</f>
        <v>0</v>
      </c>
    </row>
    <row r="318" spans="9:13" ht="16.5" customHeight="1">
      <c r="I318" s="66">
        <f>IF($E318="","",IF($G318&lt;&gt;"","Pago",IF($F318="","Pendente",IF('Config'!$C$9&gt;$F318,"Atrasado","Pendente"))))</f>
        <v/>
      </c>
      <c r="J318" s="126">
        <f>IF($I318="Atrasado",'Config'!$C$9-$F318,"")</f>
        <v/>
      </c>
      <c r="K318" s="127">
        <f>IF(AND($E318&lt;&gt;"",$G318=""),$E318,0)</f>
        <v>0</v>
      </c>
      <c r="L318" s="127">
        <f>IF($I318="Atrasado",$E318,0)</f>
        <v>0</v>
      </c>
      <c r="M318" s="128">
        <f>IF($I318="Atrasado",$J318+ROW()/1000000,0)</f>
        <v>0</v>
      </c>
    </row>
    <row r="319" spans="9:13" ht="16.5" customHeight="1">
      <c r="I319" s="66">
        <f>IF($E319="","",IF($G319&lt;&gt;"","Pago",IF($F319="","Pendente",IF('Config'!$C$9&gt;$F319,"Atrasado","Pendente"))))</f>
        <v/>
      </c>
      <c r="J319" s="126">
        <f>IF($I319="Atrasado",'Config'!$C$9-$F319,"")</f>
        <v/>
      </c>
      <c r="K319" s="127">
        <f>IF(AND($E319&lt;&gt;"",$G319=""),$E319,0)</f>
        <v>0</v>
      </c>
      <c r="L319" s="127">
        <f>IF($I319="Atrasado",$E319,0)</f>
        <v>0</v>
      </c>
      <c r="M319" s="128">
        <f>IF($I319="Atrasado",$J319+ROW()/1000000,0)</f>
        <v>0</v>
      </c>
    </row>
    <row r="320" spans="9:13" ht="16.5" customHeight="1">
      <c r="I320" s="66">
        <f>IF($E320="","",IF($G320&lt;&gt;"","Pago",IF($F320="","Pendente",IF('Config'!$C$9&gt;$F320,"Atrasado","Pendente"))))</f>
        <v/>
      </c>
      <c r="J320" s="126">
        <f>IF($I320="Atrasado",'Config'!$C$9-$F320,"")</f>
        <v/>
      </c>
      <c r="K320" s="127">
        <f>IF(AND($E320&lt;&gt;"",$G320=""),$E320,0)</f>
        <v>0</v>
      </c>
      <c r="L320" s="127">
        <f>IF($I320="Atrasado",$E320,0)</f>
        <v>0</v>
      </c>
      <c r="M320" s="128">
        <f>IF($I320="Atrasado",$J320+ROW()/1000000,0)</f>
        <v>0</v>
      </c>
    </row>
    <row r="321" spans="9:13" ht="16.5" customHeight="1">
      <c r="I321" s="66">
        <f>IF($E321="","",IF($G321&lt;&gt;"","Pago",IF($F321="","Pendente",IF('Config'!$C$9&gt;$F321,"Atrasado","Pendente"))))</f>
        <v/>
      </c>
      <c r="J321" s="126">
        <f>IF($I321="Atrasado",'Config'!$C$9-$F321,"")</f>
        <v/>
      </c>
      <c r="K321" s="127">
        <f>IF(AND($E321&lt;&gt;"",$G321=""),$E321,0)</f>
        <v>0</v>
      </c>
      <c r="L321" s="127">
        <f>IF($I321="Atrasado",$E321,0)</f>
        <v>0</v>
      </c>
      <c r="M321" s="128">
        <f>IF($I321="Atrasado",$J321+ROW()/1000000,0)</f>
        <v>0</v>
      </c>
    </row>
    <row r="322" spans="9:13" ht="16.5" customHeight="1">
      <c r="I322" s="66">
        <f>IF($E322="","",IF($G322&lt;&gt;"","Pago",IF($F322="","Pendente",IF('Config'!$C$9&gt;$F322,"Atrasado","Pendente"))))</f>
        <v/>
      </c>
      <c r="J322" s="126">
        <f>IF($I322="Atrasado",'Config'!$C$9-$F322,"")</f>
        <v/>
      </c>
      <c r="K322" s="127">
        <f>IF(AND($E322&lt;&gt;"",$G322=""),$E322,0)</f>
        <v>0</v>
      </c>
      <c r="L322" s="127">
        <f>IF($I322="Atrasado",$E322,0)</f>
        <v>0</v>
      </c>
      <c r="M322" s="128">
        <f>IF($I322="Atrasado",$J322+ROW()/1000000,0)</f>
        <v>0</v>
      </c>
    </row>
    <row r="323" spans="9:13" ht="16.5" customHeight="1">
      <c r="I323" s="66">
        <f>IF($E323="","",IF($G323&lt;&gt;"","Pago",IF($F323="","Pendente",IF('Config'!$C$9&gt;$F323,"Atrasado","Pendente"))))</f>
        <v/>
      </c>
      <c r="J323" s="126">
        <f>IF($I323="Atrasado",'Config'!$C$9-$F323,"")</f>
        <v/>
      </c>
      <c r="K323" s="127">
        <f>IF(AND($E323&lt;&gt;"",$G323=""),$E323,0)</f>
        <v>0</v>
      </c>
      <c r="L323" s="127">
        <f>IF($I323="Atrasado",$E323,0)</f>
        <v>0</v>
      </c>
      <c r="M323" s="128">
        <f>IF($I323="Atrasado",$J323+ROW()/1000000,0)</f>
        <v>0</v>
      </c>
    </row>
    <row r="324" spans="9:13" ht="16.5" customHeight="1">
      <c r="I324" s="66">
        <f>IF($E324="","",IF($G324&lt;&gt;"","Pago",IF($F324="","Pendente",IF('Config'!$C$9&gt;$F324,"Atrasado","Pendente"))))</f>
        <v/>
      </c>
      <c r="J324" s="126">
        <f>IF($I324="Atrasado",'Config'!$C$9-$F324,"")</f>
        <v/>
      </c>
      <c r="K324" s="127">
        <f>IF(AND($E324&lt;&gt;"",$G324=""),$E324,0)</f>
        <v>0</v>
      </c>
      <c r="L324" s="127">
        <f>IF($I324="Atrasado",$E324,0)</f>
        <v>0</v>
      </c>
      <c r="M324" s="128">
        <f>IF($I324="Atrasado",$J324+ROW()/1000000,0)</f>
        <v>0</v>
      </c>
    </row>
    <row r="325" spans="9:13" ht="16.5" customHeight="1">
      <c r="I325" s="66">
        <f>IF($E325="","",IF($G325&lt;&gt;"","Pago",IF($F325="","Pendente",IF('Config'!$C$9&gt;$F325,"Atrasado","Pendente"))))</f>
        <v/>
      </c>
      <c r="J325" s="126">
        <f>IF($I325="Atrasado",'Config'!$C$9-$F325,"")</f>
        <v/>
      </c>
      <c r="K325" s="127">
        <f>IF(AND($E325&lt;&gt;"",$G325=""),$E325,0)</f>
        <v>0</v>
      </c>
      <c r="L325" s="127">
        <f>IF($I325="Atrasado",$E325,0)</f>
        <v>0</v>
      </c>
      <c r="M325" s="128">
        <f>IF($I325="Atrasado",$J325+ROW()/1000000,0)</f>
        <v>0</v>
      </c>
    </row>
    <row r="326" spans="9:13" ht="16.5" customHeight="1">
      <c r="I326" s="66">
        <f>IF($E326="","",IF($G326&lt;&gt;"","Pago",IF($F326="","Pendente",IF('Config'!$C$9&gt;$F326,"Atrasado","Pendente"))))</f>
        <v/>
      </c>
      <c r="J326" s="126">
        <f>IF($I326="Atrasado",'Config'!$C$9-$F326,"")</f>
        <v/>
      </c>
      <c r="K326" s="127">
        <f>IF(AND($E326&lt;&gt;"",$G326=""),$E326,0)</f>
        <v>0</v>
      </c>
      <c r="L326" s="127">
        <f>IF($I326="Atrasado",$E326,0)</f>
        <v>0</v>
      </c>
      <c r="M326" s="128">
        <f>IF($I326="Atrasado",$J326+ROW()/1000000,0)</f>
        <v>0</v>
      </c>
    </row>
    <row r="327" spans="9:13" ht="16.5" customHeight="1">
      <c r="I327" s="66">
        <f>IF($E327="","",IF($G327&lt;&gt;"","Pago",IF($F327="","Pendente",IF('Config'!$C$9&gt;$F327,"Atrasado","Pendente"))))</f>
        <v/>
      </c>
      <c r="J327" s="126">
        <f>IF($I327="Atrasado",'Config'!$C$9-$F327,"")</f>
        <v/>
      </c>
      <c r="K327" s="127">
        <f>IF(AND($E327&lt;&gt;"",$G327=""),$E327,0)</f>
        <v>0</v>
      </c>
      <c r="L327" s="127">
        <f>IF($I327="Atrasado",$E327,0)</f>
        <v>0</v>
      </c>
      <c r="M327" s="128">
        <f>IF($I327="Atrasado",$J327+ROW()/1000000,0)</f>
        <v>0</v>
      </c>
    </row>
    <row r="328" spans="9:13" ht="16.5" customHeight="1">
      <c r="I328" s="66">
        <f>IF($E328="","",IF($G328&lt;&gt;"","Pago",IF($F328="","Pendente",IF('Config'!$C$9&gt;$F328,"Atrasado","Pendente"))))</f>
        <v/>
      </c>
      <c r="J328" s="126">
        <f>IF($I328="Atrasado",'Config'!$C$9-$F328,"")</f>
        <v/>
      </c>
      <c r="K328" s="127">
        <f>IF(AND($E328&lt;&gt;"",$G328=""),$E328,0)</f>
        <v>0</v>
      </c>
      <c r="L328" s="127">
        <f>IF($I328="Atrasado",$E328,0)</f>
        <v>0</v>
      </c>
      <c r="M328" s="128">
        <f>IF($I328="Atrasado",$J328+ROW()/1000000,0)</f>
        <v>0</v>
      </c>
    </row>
    <row r="329" spans="9:13" ht="16.5" customHeight="1">
      <c r="I329" s="66">
        <f>IF($E329="","",IF($G329&lt;&gt;"","Pago",IF($F329="","Pendente",IF('Config'!$C$9&gt;$F329,"Atrasado","Pendente"))))</f>
        <v/>
      </c>
      <c r="J329" s="126">
        <f>IF($I329="Atrasado",'Config'!$C$9-$F329,"")</f>
        <v/>
      </c>
      <c r="K329" s="127">
        <f>IF(AND($E329&lt;&gt;"",$G329=""),$E329,0)</f>
        <v>0</v>
      </c>
      <c r="L329" s="127">
        <f>IF($I329="Atrasado",$E329,0)</f>
        <v>0</v>
      </c>
      <c r="M329" s="128">
        <f>IF($I329="Atrasado",$J329+ROW()/1000000,0)</f>
        <v>0</v>
      </c>
    </row>
    <row r="330" spans="9:13" ht="16.5" customHeight="1">
      <c r="I330" s="66">
        <f>IF($E330="","",IF($G330&lt;&gt;"","Pago",IF($F330="","Pendente",IF('Config'!$C$9&gt;$F330,"Atrasado","Pendente"))))</f>
        <v/>
      </c>
      <c r="J330" s="126">
        <f>IF($I330="Atrasado",'Config'!$C$9-$F330,"")</f>
        <v/>
      </c>
      <c r="K330" s="127">
        <f>IF(AND($E330&lt;&gt;"",$G330=""),$E330,0)</f>
        <v>0</v>
      </c>
      <c r="L330" s="127">
        <f>IF($I330="Atrasado",$E330,0)</f>
        <v>0</v>
      </c>
      <c r="M330" s="128">
        <f>IF($I330="Atrasado",$J330+ROW()/1000000,0)</f>
        <v>0</v>
      </c>
    </row>
    <row r="331" spans="9:13" ht="16.5" customHeight="1">
      <c r="I331" s="66">
        <f>IF($E331="","",IF($G331&lt;&gt;"","Pago",IF($F331="","Pendente",IF('Config'!$C$9&gt;$F331,"Atrasado","Pendente"))))</f>
        <v/>
      </c>
      <c r="J331" s="126">
        <f>IF($I331="Atrasado",'Config'!$C$9-$F331,"")</f>
        <v/>
      </c>
      <c r="K331" s="127">
        <f>IF(AND($E331&lt;&gt;"",$G331=""),$E331,0)</f>
        <v>0</v>
      </c>
      <c r="L331" s="127">
        <f>IF($I331="Atrasado",$E331,0)</f>
        <v>0</v>
      </c>
      <c r="M331" s="128">
        <f>IF($I331="Atrasado",$J331+ROW()/1000000,0)</f>
        <v>0</v>
      </c>
    </row>
    <row r="332" spans="9:13" ht="16.5" customHeight="1">
      <c r="I332" s="66">
        <f>IF($E332="","",IF($G332&lt;&gt;"","Pago",IF($F332="","Pendente",IF('Config'!$C$9&gt;$F332,"Atrasado","Pendente"))))</f>
        <v/>
      </c>
      <c r="J332" s="126">
        <f>IF($I332="Atrasado",'Config'!$C$9-$F332,"")</f>
        <v/>
      </c>
      <c r="K332" s="127">
        <f>IF(AND($E332&lt;&gt;"",$G332=""),$E332,0)</f>
        <v>0</v>
      </c>
      <c r="L332" s="127">
        <f>IF($I332="Atrasado",$E332,0)</f>
        <v>0</v>
      </c>
      <c r="M332" s="128">
        <f>IF($I332="Atrasado",$J332+ROW()/1000000,0)</f>
        <v>0</v>
      </c>
    </row>
    <row r="333" spans="9:13" ht="16.5" customHeight="1">
      <c r="I333" s="66">
        <f>IF($E333="","",IF($G333&lt;&gt;"","Pago",IF($F333="","Pendente",IF('Config'!$C$9&gt;$F333,"Atrasado","Pendente"))))</f>
        <v/>
      </c>
      <c r="J333" s="126">
        <f>IF($I333="Atrasado",'Config'!$C$9-$F333,"")</f>
        <v/>
      </c>
      <c r="K333" s="127">
        <f>IF(AND($E333&lt;&gt;"",$G333=""),$E333,0)</f>
        <v>0</v>
      </c>
      <c r="L333" s="127">
        <f>IF($I333="Atrasado",$E333,0)</f>
        <v>0</v>
      </c>
      <c r="M333" s="128">
        <f>IF($I333="Atrasado",$J333+ROW()/1000000,0)</f>
        <v>0</v>
      </c>
    </row>
    <row r="334" spans="9:13" ht="16.5" customHeight="1">
      <c r="I334" s="66">
        <f>IF($E334="","",IF($G334&lt;&gt;"","Pago",IF($F334="","Pendente",IF('Config'!$C$9&gt;$F334,"Atrasado","Pendente"))))</f>
        <v/>
      </c>
      <c r="J334" s="126">
        <f>IF($I334="Atrasado",'Config'!$C$9-$F334,"")</f>
        <v/>
      </c>
      <c r="K334" s="127">
        <f>IF(AND($E334&lt;&gt;"",$G334=""),$E334,0)</f>
        <v>0</v>
      </c>
      <c r="L334" s="127">
        <f>IF($I334="Atrasado",$E334,0)</f>
        <v>0</v>
      </c>
      <c r="M334" s="128">
        <f>IF($I334="Atrasado",$J334+ROW()/1000000,0)</f>
        <v>0</v>
      </c>
    </row>
    <row r="335" spans="9:13" ht="16.5" customHeight="1">
      <c r="I335" s="66">
        <f>IF($E335="","",IF($G335&lt;&gt;"","Pago",IF($F335="","Pendente",IF('Config'!$C$9&gt;$F335,"Atrasado","Pendente"))))</f>
        <v/>
      </c>
      <c r="J335" s="126">
        <f>IF($I335="Atrasado",'Config'!$C$9-$F335,"")</f>
        <v/>
      </c>
      <c r="K335" s="127">
        <f>IF(AND($E335&lt;&gt;"",$G335=""),$E335,0)</f>
        <v>0</v>
      </c>
      <c r="L335" s="127">
        <f>IF($I335="Atrasado",$E335,0)</f>
        <v>0</v>
      </c>
      <c r="M335" s="128">
        <f>IF($I335="Atrasado",$J335+ROW()/1000000,0)</f>
        <v>0</v>
      </c>
    </row>
    <row r="336" spans="9:13" ht="16.5" customHeight="1">
      <c r="I336" s="66">
        <f>IF($E336="","",IF($G336&lt;&gt;"","Pago",IF($F336="","Pendente",IF('Config'!$C$9&gt;$F336,"Atrasado","Pendente"))))</f>
        <v/>
      </c>
      <c r="J336" s="126">
        <f>IF($I336="Atrasado",'Config'!$C$9-$F336,"")</f>
        <v/>
      </c>
      <c r="K336" s="127">
        <f>IF(AND($E336&lt;&gt;"",$G336=""),$E336,0)</f>
        <v>0</v>
      </c>
      <c r="L336" s="127">
        <f>IF($I336="Atrasado",$E336,0)</f>
        <v>0</v>
      </c>
      <c r="M336" s="128">
        <f>IF($I336="Atrasado",$J336+ROW()/1000000,0)</f>
        <v>0</v>
      </c>
    </row>
    <row r="337" spans="9:13" ht="16.5" customHeight="1">
      <c r="I337" s="66">
        <f>IF($E337="","",IF($G337&lt;&gt;"","Pago",IF($F337="","Pendente",IF('Config'!$C$9&gt;$F337,"Atrasado","Pendente"))))</f>
        <v/>
      </c>
      <c r="J337" s="126">
        <f>IF($I337="Atrasado",'Config'!$C$9-$F337,"")</f>
        <v/>
      </c>
      <c r="K337" s="127">
        <f>IF(AND($E337&lt;&gt;"",$G337=""),$E337,0)</f>
        <v>0</v>
      </c>
      <c r="L337" s="127">
        <f>IF($I337="Atrasado",$E337,0)</f>
        <v>0</v>
      </c>
      <c r="M337" s="128">
        <f>IF($I337="Atrasado",$J337+ROW()/1000000,0)</f>
        <v>0</v>
      </c>
    </row>
    <row r="338" spans="9:13" ht="16.5" customHeight="1">
      <c r="I338" s="66">
        <f>IF($E338="","",IF($G338&lt;&gt;"","Pago",IF($F338="","Pendente",IF('Config'!$C$9&gt;$F338,"Atrasado","Pendente"))))</f>
        <v/>
      </c>
      <c r="J338" s="126">
        <f>IF($I338="Atrasado",'Config'!$C$9-$F338,"")</f>
        <v/>
      </c>
      <c r="K338" s="127">
        <f>IF(AND($E338&lt;&gt;"",$G338=""),$E338,0)</f>
        <v>0</v>
      </c>
      <c r="L338" s="127">
        <f>IF($I338="Atrasado",$E338,0)</f>
        <v>0</v>
      </c>
      <c r="M338" s="128">
        <f>IF($I338="Atrasado",$J338+ROW()/1000000,0)</f>
        <v>0</v>
      </c>
    </row>
    <row r="339" spans="9:13" ht="16.5" customHeight="1">
      <c r="I339" s="66">
        <f>IF($E339="","",IF($G339&lt;&gt;"","Pago",IF($F339="","Pendente",IF('Config'!$C$9&gt;$F339,"Atrasado","Pendente"))))</f>
        <v/>
      </c>
      <c r="J339" s="126">
        <f>IF($I339="Atrasado",'Config'!$C$9-$F339,"")</f>
        <v/>
      </c>
      <c r="K339" s="127">
        <f>IF(AND($E339&lt;&gt;"",$G339=""),$E339,0)</f>
        <v>0</v>
      </c>
      <c r="L339" s="127">
        <f>IF($I339="Atrasado",$E339,0)</f>
        <v>0</v>
      </c>
      <c r="M339" s="128">
        <f>IF($I339="Atrasado",$J339+ROW()/1000000,0)</f>
        <v>0</v>
      </c>
    </row>
    <row r="340" spans="9:13" ht="16.5" customHeight="1">
      <c r="I340" s="66">
        <f>IF($E340="","",IF($G340&lt;&gt;"","Pago",IF($F340="","Pendente",IF('Config'!$C$9&gt;$F340,"Atrasado","Pendente"))))</f>
        <v/>
      </c>
      <c r="J340" s="126">
        <f>IF($I340="Atrasado",'Config'!$C$9-$F340,"")</f>
        <v/>
      </c>
      <c r="K340" s="127">
        <f>IF(AND($E340&lt;&gt;"",$G340=""),$E340,0)</f>
        <v>0</v>
      </c>
      <c r="L340" s="127">
        <f>IF($I340="Atrasado",$E340,0)</f>
        <v>0</v>
      </c>
      <c r="M340" s="128">
        <f>IF($I340="Atrasado",$J340+ROW()/1000000,0)</f>
        <v>0</v>
      </c>
    </row>
    <row r="341" spans="9:13" ht="16.5" customHeight="1">
      <c r="I341" s="66">
        <f>IF($E341="","",IF($G341&lt;&gt;"","Pago",IF($F341="","Pendente",IF('Config'!$C$9&gt;$F341,"Atrasado","Pendente"))))</f>
        <v/>
      </c>
      <c r="J341" s="126">
        <f>IF($I341="Atrasado",'Config'!$C$9-$F341,"")</f>
        <v/>
      </c>
      <c r="K341" s="127">
        <f>IF(AND($E341&lt;&gt;"",$G341=""),$E341,0)</f>
        <v>0</v>
      </c>
      <c r="L341" s="127">
        <f>IF($I341="Atrasado",$E341,0)</f>
        <v>0</v>
      </c>
      <c r="M341" s="128">
        <f>IF($I341="Atrasado",$J341+ROW()/1000000,0)</f>
        <v>0</v>
      </c>
    </row>
    <row r="342" spans="9:13" ht="16.5" customHeight="1">
      <c r="I342" s="66">
        <f>IF($E342="","",IF($G342&lt;&gt;"","Pago",IF($F342="","Pendente",IF('Config'!$C$9&gt;$F342,"Atrasado","Pendente"))))</f>
        <v/>
      </c>
      <c r="J342" s="126">
        <f>IF($I342="Atrasado",'Config'!$C$9-$F342,"")</f>
        <v/>
      </c>
      <c r="K342" s="127">
        <f>IF(AND($E342&lt;&gt;"",$G342=""),$E342,0)</f>
        <v>0</v>
      </c>
      <c r="L342" s="127">
        <f>IF($I342="Atrasado",$E342,0)</f>
        <v>0</v>
      </c>
      <c r="M342" s="128">
        <f>IF($I342="Atrasado",$J342+ROW()/1000000,0)</f>
        <v>0</v>
      </c>
    </row>
    <row r="343" spans="9:13" ht="16.5" customHeight="1">
      <c r="I343" s="66">
        <f>IF($E343="","",IF($G343&lt;&gt;"","Pago",IF($F343="","Pendente",IF('Config'!$C$9&gt;$F343,"Atrasado","Pendente"))))</f>
        <v/>
      </c>
      <c r="J343" s="126">
        <f>IF($I343="Atrasado",'Config'!$C$9-$F343,"")</f>
        <v/>
      </c>
      <c r="K343" s="127">
        <f>IF(AND($E343&lt;&gt;"",$G343=""),$E343,0)</f>
        <v>0</v>
      </c>
      <c r="L343" s="127">
        <f>IF($I343="Atrasado",$E343,0)</f>
        <v>0</v>
      </c>
      <c r="M343" s="128">
        <f>IF($I343="Atrasado",$J343+ROW()/1000000,0)</f>
        <v>0</v>
      </c>
    </row>
    <row r="344" spans="9:13" ht="16.5" customHeight="1">
      <c r="I344" s="66">
        <f>IF($E344="","",IF($G344&lt;&gt;"","Pago",IF($F344="","Pendente",IF('Config'!$C$9&gt;$F344,"Atrasado","Pendente"))))</f>
        <v/>
      </c>
      <c r="J344" s="126">
        <f>IF($I344="Atrasado",'Config'!$C$9-$F344,"")</f>
        <v/>
      </c>
      <c r="K344" s="127">
        <f>IF(AND($E344&lt;&gt;"",$G344=""),$E344,0)</f>
        <v>0</v>
      </c>
      <c r="L344" s="127">
        <f>IF($I344="Atrasado",$E344,0)</f>
        <v>0</v>
      </c>
      <c r="M344" s="128">
        <f>IF($I344="Atrasado",$J344+ROW()/1000000,0)</f>
        <v>0</v>
      </c>
    </row>
    <row r="345" spans="9:13" ht="16.5" customHeight="1">
      <c r="I345" s="66">
        <f>IF($E345="","",IF($G345&lt;&gt;"","Pago",IF($F345="","Pendente",IF('Config'!$C$9&gt;$F345,"Atrasado","Pendente"))))</f>
        <v/>
      </c>
      <c r="J345" s="126">
        <f>IF($I345="Atrasado",'Config'!$C$9-$F345,"")</f>
        <v/>
      </c>
      <c r="K345" s="127">
        <f>IF(AND($E345&lt;&gt;"",$G345=""),$E345,0)</f>
        <v>0</v>
      </c>
      <c r="L345" s="127">
        <f>IF($I345="Atrasado",$E345,0)</f>
        <v>0</v>
      </c>
      <c r="M345" s="128">
        <f>IF($I345="Atrasado",$J345+ROW()/1000000,0)</f>
        <v>0</v>
      </c>
    </row>
    <row r="346" spans="9:13" ht="16.5" customHeight="1">
      <c r="I346" s="66">
        <f>IF($E346="","",IF($G346&lt;&gt;"","Pago",IF($F346="","Pendente",IF('Config'!$C$9&gt;$F346,"Atrasado","Pendente"))))</f>
        <v/>
      </c>
      <c r="J346" s="126">
        <f>IF($I346="Atrasado",'Config'!$C$9-$F346,"")</f>
        <v/>
      </c>
      <c r="K346" s="127">
        <f>IF(AND($E346&lt;&gt;"",$G346=""),$E346,0)</f>
        <v>0</v>
      </c>
      <c r="L346" s="127">
        <f>IF($I346="Atrasado",$E346,0)</f>
        <v>0</v>
      </c>
      <c r="M346" s="128">
        <f>IF($I346="Atrasado",$J346+ROW()/1000000,0)</f>
        <v>0</v>
      </c>
    </row>
    <row r="347" spans="9:13" ht="16.5" customHeight="1">
      <c r="I347" s="66">
        <f>IF($E347="","",IF($G347&lt;&gt;"","Pago",IF($F347="","Pendente",IF('Config'!$C$9&gt;$F347,"Atrasado","Pendente"))))</f>
        <v/>
      </c>
      <c r="J347" s="126">
        <f>IF($I347="Atrasado",'Config'!$C$9-$F347,"")</f>
        <v/>
      </c>
      <c r="K347" s="127">
        <f>IF(AND($E347&lt;&gt;"",$G347=""),$E347,0)</f>
        <v>0</v>
      </c>
      <c r="L347" s="127">
        <f>IF($I347="Atrasado",$E347,0)</f>
        <v>0</v>
      </c>
      <c r="M347" s="128">
        <f>IF($I347="Atrasado",$J347+ROW()/1000000,0)</f>
        <v>0</v>
      </c>
    </row>
    <row r="348" spans="9:13" ht="16.5" customHeight="1">
      <c r="I348" s="66">
        <f>IF($E348="","",IF($G348&lt;&gt;"","Pago",IF($F348="","Pendente",IF('Config'!$C$9&gt;$F348,"Atrasado","Pendente"))))</f>
        <v/>
      </c>
      <c r="J348" s="126">
        <f>IF($I348="Atrasado",'Config'!$C$9-$F348,"")</f>
        <v/>
      </c>
      <c r="K348" s="127">
        <f>IF(AND($E348&lt;&gt;"",$G348=""),$E348,0)</f>
        <v>0</v>
      </c>
      <c r="L348" s="127">
        <f>IF($I348="Atrasado",$E348,0)</f>
        <v>0</v>
      </c>
      <c r="M348" s="128">
        <f>IF($I348="Atrasado",$J348+ROW()/1000000,0)</f>
        <v>0</v>
      </c>
    </row>
    <row r="349" spans="9:13" ht="16.5" customHeight="1">
      <c r="I349" s="66">
        <f>IF($E349="","",IF($G349&lt;&gt;"","Pago",IF($F349="","Pendente",IF('Config'!$C$9&gt;$F349,"Atrasado","Pendente"))))</f>
        <v/>
      </c>
      <c r="J349" s="126">
        <f>IF($I349="Atrasado",'Config'!$C$9-$F349,"")</f>
        <v/>
      </c>
      <c r="K349" s="127">
        <f>IF(AND($E349&lt;&gt;"",$G349=""),$E349,0)</f>
        <v>0</v>
      </c>
      <c r="L349" s="127">
        <f>IF($I349="Atrasado",$E349,0)</f>
        <v>0</v>
      </c>
      <c r="M349" s="128">
        <f>IF($I349="Atrasado",$J349+ROW()/1000000,0)</f>
        <v>0</v>
      </c>
    </row>
    <row r="350" spans="9:13" ht="16.5" customHeight="1">
      <c r="I350" s="66">
        <f>IF($E350="","",IF($G350&lt;&gt;"","Pago",IF($F350="","Pendente",IF('Config'!$C$9&gt;$F350,"Atrasado","Pendente"))))</f>
        <v/>
      </c>
      <c r="J350" s="126">
        <f>IF($I350="Atrasado",'Config'!$C$9-$F350,"")</f>
        <v/>
      </c>
      <c r="K350" s="127">
        <f>IF(AND($E350&lt;&gt;"",$G350=""),$E350,0)</f>
        <v>0</v>
      </c>
      <c r="L350" s="127">
        <f>IF($I350="Atrasado",$E350,0)</f>
        <v>0</v>
      </c>
      <c r="M350" s="128">
        <f>IF($I350="Atrasado",$J350+ROW()/1000000,0)</f>
        <v>0</v>
      </c>
    </row>
    <row r="351" spans="9:13" ht="16.5" customHeight="1">
      <c r="I351" s="66">
        <f>IF($E351="","",IF($G351&lt;&gt;"","Pago",IF($F351="","Pendente",IF('Config'!$C$9&gt;$F351,"Atrasado","Pendente"))))</f>
        <v/>
      </c>
      <c r="J351" s="126">
        <f>IF($I351="Atrasado",'Config'!$C$9-$F351,"")</f>
        <v/>
      </c>
      <c r="K351" s="127">
        <f>IF(AND($E351&lt;&gt;"",$G351=""),$E351,0)</f>
        <v>0</v>
      </c>
      <c r="L351" s="127">
        <f>IF($I351="Atrasado",$E351,0)</f>
        <v>0</v>
      </c>
      <c r="M351" s="128">
        <f>IF($I351="Atrasado",$J351+ROW()/1000000,0)</f>
        <v>0</v>
      </c>
    </row>
    <row r="352" spans="9:13" ht="16.5" customHeight="1">
      <c r="I352" s="66">
        <f>IF($E352="","",IF($G352&lt;&gt;"","Pago",IF($F352="","Pendente",IF('Config'!$C$9&gt;$F352,"Atrasado","Pendente"))))</f>
        <v/>
      </c>
      <c r="J352" s="126">
        <f>IF($I352="Atrasado",'Config'!$C$9-$F352,"")</f>
        <v/>
      </c>
      <c r="K352" s="127">
        <f>IF(AND($E352&lt;&gt;"",$G352=""),$E352,0)</f>
        <v>0</v>
      </c>
      <c r="L352" s="127">
        <f>IF($I352="Atrasado",$E352,0)</f>
        <v>0</v>
      </c>
      <c r="M352" s="128">
        <f>IF($I352="Atrasado",$J352+ROW()/1000000,0)</f>
        <v>0</v>
      </c>
    </row>
    <row r="353" spans="9:13" ht="16.5" customHeight="1">
      <c r="I353" s="66">
        <f>IF($E353="","",IF($G353&lt;&gt;"","Pago",IF($F353="","Pendente",IF('Config'!$C$9&gt;$F353,"Atrasado","Pendente"))))</f>
        <v/>
      </c>
      <c r="J353" s="126">
        <f>IF($I353="Atrasado",'Config'!$C$9-$F353,"")</f>
        <v/>
      </c>
      <c r="K353" s="127">
        <f>IF(AND($E353&lt;&gt;"",$G353=""),$E353,0)</f>
        <v>0</v>
      </c>
      <c r="L353" s="127">
        <f>IF($I353="Atrasado",$E353,0)</f>
        <v>0</v>
      </c>
      <c r="M353" s="128">
        <f>IF($I353="Atrasado",$J353+ROW()/1000000,0)</f>
        <v>0</v>
      </c>
    </row>
    <row r="354" spans="9:13" ht="16.5" customHeight="1">
      <c r="I354" s="66">
        <f>IF($E354="","",IF($G354&lt;&gt;"","Pago",IF($F354="","Pendente",IF('Config'!$C$9&gt;$F354,"Atrasado","Pendente"))))</f>
        <v/>
      </c>
      <c r="J354" s="126">
        <f>IF($I354="Atrasado",'Config'!$C$9-$F354,"")</f>
        <v/>
      </c>
      <c r="K354" s="127">
        <f>IF(AND($E354&lt;&gt;"",$G354=""),$E354,0)</f>
        <v>0</v>
      </c>
      <c r="L354" s="127">
        <f>IF($I354="Atrasado",$E354,0)</f>
        <v>0</v>
      </c>
      <c r="M354" s="128">
        <f>IF($I354="Atrasado",$J354+ROW()/1000000,0)</f>
        <v>0</v>
      </c>
    </row>
    <row r="355" spans="9:13" ht="16.5" customHeight="1">
      <c r="I355" s="66">
        <f>IF($E355="","",IF($G355&lt;&gt;"","Pago",IF($F355="","Pendente",IF('Config'!$C$9&gt;$F355,"Atrasado","Pendente"))))</f>
        <v/>
      </c>
      <c r="J355" s="126">
        <f>IF($I355="Atrasado",'Config'!$C$9-$F355,"")</f>
        <v/>
      </c>
      <c r="K355" s="127">
        <f>IF(AND($E355&lt;&gt;"",$G355=""),$E355,0)</f>
        <v>0</v>
      </c>
      <c r="L355" s="127">
        <f>IF($I355="Atrasado",$E355,0)</f>
        <v>0</v>
      </c>
      <c r="M355" s="128">
        <f>IF($I355="Atrasado",$J355+ROW()/1000000,0)</f>
        <v>0</v>
      </c>
    </row>
    <row r="356" spans="9:13" ht="16.5" customHeight="1">
      <c r="I356" s="66">
        <f>IF($E356="","",IF($G356&lt;&gt;"","Pago",IF($F356="","Pendente",IF('Config'!$C$9&gt;$F356,"Atrasado","Pendente"))))</f>
        <v/>
      </c>
      <c r="J356" s="126">
        <f>IF($I356="Atrasado",'Config'!$C$9-$F356,"")</f>
        <v/>
      </c>
      <c r="K356" s="127">
        <f>IF(AND($E356&lt;&gt;"",$G356=""),$E356,0)</f>
        <v>0</v>
      </c>
      <c r="L356" s="127">
        <f>IF($I356="Atrasado",$E356,0)</f>
        <v>0</v>
      </c>
      <c r="M356" s="128">
        <f>IF($I356="Atrasado",$J356+ROW()/1000000,0)</f>
        <v>0</v>
      </c>
    </row>
    <row r="357" spans="9:13" ht="16.5" customHeight="1">
      <c r="I357" s="66">
        <f>IF($E357="","",IF($G357&lt;&gt;"","Pago",IF($F357="","Pendente",IF('Config'!$C$9&gt;$F357,"Atrasado","Pendente"))))</f>
        <v/>
      </c>
      <c r="J357" s="126">
        <f>IF($I357="Atrasado",'Config'!$C$9-$F357,"")</f>
        <v/>
      </c>
      <c r="K357" s="127">
        <f>IF(AND($E357&lt;&gt;"",$G357=""),$E357,0)</f>
        <v>0</v>
      </c>
      <c r="L357" s="127">
        <f>IF($I357="Atrasado",$E357,0)</f>
        <v>0</v>
      </c>
      <c r="M357" s="128">
        <f>IF($I357="Atrasado",$J357+ROW()/1000000,0)</f>
        <v>0</v>
      </c>
    </row>
    <row r="358" spans="9:13" ht="16.5" customHeight="1">
      <c r="I358" s="66">
        <f>IF($E358="","",IF($G358&lt;&gt;"","Pago",IF($F358="","Pendente",IF('Config'!$C$9&gt;$F358,"Atrasado","Pendente"))))</f>
        <v/>
      </c>
      <c r="J358" s="126">
        <f>IF($I358="Atrasado",'Config'!$C$9-$F358,"")</f>
        <v/>
      </c>
      <c r="K358" s="127">
        <f>IF(AND($E358&lt;&gt;"",$G358=""),$E358,0)</f>
        <v>0</v>
      </c>
      <c r="L358" s="127">
        <f>IF($I358="Atrasado",$E358,0)</f>
        <v>0</v>
      </c>
      <c r="M358" s="128">
        <f>IF($I358="Atrasado",$J358+ROW()/1000000,0)</f>
        <v>0</v>
      </c>
    </row>
    <row r="359" spans="9:13" ht="16.5" customHeight="1">
      <c r="I359" s="66">
        <f>IF($E359="","",IF($G359&lt;&gt;"","Pago",IF($F359="","Pendente",IF('Config'!$C$9&gt;$F359,"Atrasado","Pendente"))))</f>
        <v/>
      </c>
      <c r="J359" s="126">
        <f>IF($I359="Atrasado",'Config'!$C$9-$F359,"")</f>
        <v/>
      </c>
      <c r="K359" s="127">
        <f>IF(AND($E359&lt;&gt;"",$G359=""),$E359,0)</f>
        <v>0</v>
      </c>
      <c r="L359" s="127">
        <f>IF($I359="Atrasado",$E359,0)</f>
        <v>0</v>
      </c>
      <c r="M359" s="128">
        <f>IF($I359="Atrasado",$J359+ROW()/1000000,0)</f>
        <v>0</v>
      </c>
    </row>
    <row r="360" spans="9:13" ht="16.5" customHeight="1">
      <c r="I360" s="66">
        <f>IF($E360="","",IF($G360&lt;&gt;"","Pago",IF($F360="","Pendente",IF('Config'!$C$9&gt;$F360,"Atrasado","Pendente"))))</f>
        <v/>
      </c>
      <c r="J360" s="126">
        <f>IF($I360="Atrasado",'Config'!$C$9-$F360,"")</f>
        <v/>
      </c>
      <c r="K360" s="127">
        <f>IF(AND($E360&lt;&gt;"",$G360=""),$E360,0)</f>
        <v>0</v>
      </c>
      <c r="L360" s="127">
        <f>IF($I360="Atrasado",$E360,0)</f>
        <v>0</v>
      </c>
      <c r="M360" s="128">
        <f>IF($I360="Atrasado",$J360+ROW()/1000000,0)</f>
        <v>0</v>
      </c>
    </row>
    <row r="361" spans="9:13" ht="16.5" customHeight="1">
      <c r="I361" s="66">
        <f>IF($E361="","",IF($G361&lt;&gt;"","Pago",IF($F361="","Pendente",IF('Config'!$C$9&gt;$F361,"Atrasado","Pendente"))))</f>
        <v/>
      </c>
      <c r="J361" s="126">
        <f>IF($I361="Atrasado",'Config'!$C$9-$F361,"")</f>
        <v/>
      </c>
      <c r="K361" s="127">
        <f>IF(AND($E361&lt;&gt;"",$G361=""),$E361,0)</f>
        <v>0</v>
      </c>
      <c r="L361" s="127">
        <f>IF($I361="Atrasado",$E361,0)</f>
        <v>0</v>
      </c>
      <c r="M361" s="128">
        <f>IF($I361="Atrasado",$J361+ROW()/1000000,0)</f>
        <v>0</v>
      </c>
    </row>
    <row r="362" spans="9:13" ht="16.5" customHeight="1">
      <c r="I362" s="66">
        <f>IF($E362="","",IF($G362&lt;&gt;"","Pago",IF($F362="","Pendente",IF('Config'!$C$9&gt;$F362,"Atrasado","Pendente"))))</f>
        <v/>
      </c>
      <c r="J362" s="126">
        <f>IF($I362="Atrasado",'Config'!$C$9-$F362,"")</f>
        <v/>
      </c>
      <c r="K362" s="127">
        <f>IF(AND($E362&lt;&gt;"",$G362=""),$E362,0)</f>
        <v>0</v>
      </c>
      <c r="L362" s="127">
        <f>IF($I362="Atrasado",$E362,0)</f>
        <v>0</v>
      </c>
      <c r="M362" s="128">
        <f>IF($I362="Atrasado",$J362+ROW()/1000000,0)</f>
        <v>0</v>
      </c>
    </row>
    <row r="363" spans="9:13" ht="16.5" customHeight="1">
      <c r="I363" s="66">
        <f>IF($E363="","",IF($G363&lt;&gt;"","Pago",IF($F363="","Pendente",IF('Config'!$C$9&gt;$F363,"Atrasado","Pendente"))))</f>
        <v/>
      </c>
      <c r="J363" s="126">
        <f>IF($I363="Atrasado",'Config'!$C$9-$F363,"")</f>
        <v/>
      </c>
      <c r="K363" s="127">
        <f>IF(AND($E363&lt;&gt;"",$G363=""),$E363,0)</f>
        <v>0</v>
      </c>
      <c r="L363" s="127">
        <f>IF($I363="Atrasado",$E363,0)</f>
        <v>0</v>
      </c>
      <c r="M363" s="128">
        <f>IF($I363="Atrasado",$J363+ROW()/1000000,0)</f>
        <v>0</v>
      </c>
    </row>
    <row r="364" spans="9:13" ht="16.5" customHeight="1">
      <c r="I364" s="66">
        <f>IF($E364="","",IF($G364&lt;&gt;"","Pago",IF($F364="","Pendente",IF('Config'!$C$9&gt;$F364,"Atrasado","Pendente"))))</f>
        <v/>
      </c>
      <c r="J364" s="126">
        <f>IF($I364="Atrasado",'Config'!$C$9-$F364,"")</f>
        <v/>
      </c>
      <c r="K364" s="127">
        <f>IF(AND($E364&lt;&gt;"",$G364=""),$E364,0)</f>
        <v>0</v>
      </c>
      <c r="L364" s="127">
        <f>IF($I364="Atrasado",$E364,0)</f>
        <v>0</v>
      </c>
      <c r="M364" s="128">
        <f>IF($I364="Atrasado",$J364+ROW()/1000000,0)</f>
        <v>0</v>
      </c>
    </row>
    <row r="365" spans="9:13" ht="16.5" customHeight="1">
      <c r="I365" s="66">
        <f>IF($E365="","",IF($G365&lt;&gt;"","Pago",IF($F365="","Pendente",IF('Config'!$C$9&gt;$F365,"Atrasado","Pendente"))))</f>
        <v/>
      </c>
      <c r="J365" s="126">
        <f>IF($I365="Atrasado",'Config'!$C$9-$F365,"")</f>
        <v/>
      </c>
      <c r="K365" s="127">
        <f>IF(AND($E365&lt;&gt;"",$G365=""),$E365,0)</f>
        <v>0</v>
      </c>
      <c r="L365" s="127">
        <f>IF($I365="Atrasado",$E365,0)</f>
        <v>0</v>
      </c>
      <c r="M365" s="128">
        <f>IF($I365="Atrasado",$J365+ROW()/1000000,0)</f>
        <v>0</v>
      </c>
    </row>
    <row r="366" spans="9:13" ht="16.5" customHeight="1">
      <c r="I366" s="66">
        <f>IF($E366="","",IF($G366&lt;&gt;"","Pago",IF($F366="","Pendente",IF('Config'!$C$9&gt;$F366,"Atrasado","Pendente"))))</f>
        <v/>
      </c>
      <c r="J366" s="126">
        <f>IF($I366="Atrasado",'Config'!$C$9-$F366,"")</f>
        <v/>
      </c>
      <c r="K366" s="127">
        <f>IF(AND($E366&lt;&gt;"",$G366=""),$E366,0)</f>
        <v>0</v>
      </c>
      <c r="L366" s="127">
        <f>IF($I366="Atrasado",$E366,0)</f>
        <v>0</v>
      </c>
      <c r="M366" s="128">
        <f>IF($I366="Atrasado",$J366+ROW()/1000000,0)</f>
        <v>0</v>
      </c>
    </row>
    <row r="367" spans="9:13" ht="16.5" customHeight="1">
      <c r="I367" s="66">
        <f>IF($E367="","",IF($G367&lt;&gt;"","Pago",IF($F367="","Pendente",IF('Config'!$C$9&gt;$F367,"Atrasado","Pendente"))))</f>
        <v/>
      </c>
      <c r="J367" s="126">
        <f>IF($I367="Atrasado",'Config'!$C$9-$F367,"")</f>
        <v/>
      </c>
      <c r="K367" s="127">
        <f>IF(AND($E367&lt;&gt;"",$G367=""),$E367,0)</f>
        <v>0</v>
      </c>
      <c r="L367" s="127">
        <f>IF($I367="Atrasado",$E367,0)</f>
        <v>0</v>
      </c>
      <c r="M367" s="128">
        <f>IF($I367="Atrasado",$J367+ROW()/1000000,0)</f>
        <v>0</v>
      </c>
    </row>
    <row r="368" spans="9:13" ht="16.5" customHeight="1">
      <c r="I368" s="66">
        <f>IF($E368="","",IF($G368&lt;&gt;"","Pago",IF($F368="","Pendente",IF('Config'!$C$9&gt;$F368,"Atrasado","Pendente"))))</f>
        <v/>
      </c>
      <c r="J368" s="126">
        <f>IF($I368="Atrasado",'Config'!$C$9-$F368,"")</f>
        <v/>
      </c>
      <c r="K368" s="127">
        <f>IF(AND($E368&lt;&gt;"",$G368=""),$E368,0)</f>
        <v>0</v>
      </c>
      <c r="L368" s="127">
        <f>IF($I368="Atrasado",$E368,0)</f>
        <v>0</v>
      </c>
      <c r="M368" s="128">
        <f>IF($I368="Atrasado",$J368+ROW()/1000000,0)</f>
        <v>0</v>
      </c>
    </row>
    <row r="369" spans="9:13" ht="16.5" customHeight="1">
      <c r="I369" s="66">
        <f>IF($E369="","",IF($G369&lt;&gt;"","Pago",IF($F369="","Pendente",IF('Config'!$C$9&gt;$F369,"Atrasado","Pendente"))))</f>
        <v/>
      </c>
      <c r="J369" s="126">
        <f>IF($I369="Atrasado",'Config'!$C$9-$F369,"")</f>
        <v/>
      </c>
      <c r="K369" s="127">
        <f>IF(AND($E369&lt;&gt;"",$G369=""),$E369,0)</f>
        <v>0</v>
      </c>
      <c r="L369" s="127">
        <f>IF($I369="Atrasado",$E369,0)</f>
        <v>0</v>
      </c>
      <c r="M369" s="128">
        <f>IF($I369="Atrasado",$J369+ROW()/1000000,0)</f>
        <v>0</v>
      </c>
    </row>
    <row r="370" spans="9:13" ht="16.5" customHeight="1">
      <c r="I370" s="66">
        <f>IF($E370="","",IF($G370&lt;&gt;"","Pago",IF($F370="","Pendente",IF('Config'!$C$9&gt;$F370,"Atrasado","Pendente"))))</f>
        <v/>
      </c>
      <c r="J370" s="126">
        <f>IF($I370="Atrasado",'Config'!$C$9-$F370,"")</f>
        <v/>
      </c>
      <c r="K370" s="127">
        <f>IF(AND($E370&lt;&gt;"",$G370=""),$E370,0)</f>
        <v>0</v>
      </c>
      <c r="L370" s="127">
        <f>IF($I370="Atrasado",$E370,0)</f>
        <v>0</v>
      </c>
      <c r="M370" s="128">
        <f>IF($I370="Atrasado",$J370+ROW()/1000000,0)</f>
        <v>0</v>
      </c>
    </row>
    <row r="371" spans="9:13" ht="16.5" customHeight="1">
      <c r="I371" s="66">
        <f>IF($E371="","",IF($G371&lt;&gt;"","Pago",IF($F371="","Pendente",IF('Config'!$C$9&gt;$F371,"Atrasado","Pendente"))))</f>
        <v/>
      </c>
      <c r="J371" s="126">
        <f>IF($I371="Atrasado",'Config'!$C$9-$F371,"")</f>
        <v/>
      </c>
      <c r="K371" s="127">
        <f>IF(AND($E371&lt;&gt;"",$G371=""),$E371,0)</f>
        <v>0</v>
      </c>
      <c r="L371" s="127">
        <f>IF($I371="Atrasado",$E371,0)</f>
        <v>0</v>
      </c>
      <c r="M371" s="128">
        <f>IF($I371="Atrasado",$J371+ROW()/1000000,0)</f>
        <v>0</v>
      </c>
    </row>
    <row r="372" spans="9:13" ht="16.5" customHeight="1">
      <c r="I372" s="66">
        <f>IF($E372="","",IF($G372&lt;&gt;"","Pago",IF($F372="","Pendente",IF('Config'!$C$9&gt;$F372,"Atrasado","Pendente"))))</f>
        <v/>
      </c>
      <c r="J372" s="126">
        <f>IF($I372="Atrasado",'Config'!$C$9-$F372,"")</f>
        <v/>
      </c>
      <c r="K372" s="127">
        <f>IF(AND($E372&lt;&gt;"",$G372=""),$E372,0)</f>
        <v>0</v>
      </c>
      <c r="L372" s="127">
        <f>IF($I372="Atrasado",$E372,0)</f>
        <v>0</v>
      </c>
      <c r="M372" s="128">
        <f>IF($I372="Atrasado",$J372+ROW()/1000000,0)</f>
        <v>0</v>
      </c>
    </row>
    <row r="373" spans="9:13" ht="16.5" customHeight="1">
      <c r="I373" s="66">
        <f>IF($E373="","",IF($G373&lt;&gt;"","Pago",IF($F373="","Pendente",IF('Config'!$C$9&gt;$F373,"Atrasado","Pendente"))))</f>
        <v/>
      </c>
      <c r="J373" s="126">
        <f>IF($I373="Atrasado",'Config'!$C$9-$F373,"")</f>
        <v/>
      </c>
      <c r="K373" s="127">
        <f>IF(AND($E373&lt;&gt;"",$G373=""),$E373,0)</f>
        <v>0</v>
      </c>
      <c r="L373" s="127">
        <f>IF($I373="Atrasado",$E373,0)</f>
        <v>0</v>
      </c>
      <c r="M373" s="128">
        <f>IF($I373="Atrasado",$J373+ROW()/1000000,0)</f>
        <v>0</v>
      </c>
    </row>
    <row r="374" spans="9:13" ht="16.5" customHeight="1">
      <c r="I374" s="66">
        <f>IF($E374="","",IF($G374&lt;&gt;"","Pago",IF($F374="","Pendente",IF('Config'!$C$9&gt;$F374,"Atrasado","Pendente"))))</f>
        <v/>
      </c>
      <c r="J374" s="126">
        <f>IF($I374="Atrasado",'Config'!$C$9-$F374,"")</f>
        <v/>
      </c>
      <c r="K374" s="127">
        <f>IF(AND($E374&lt;&gt;"",$G374=""),$E374,0)</f>
        <v>0</v>
      </c>
      <c r="L374" s="127">
        <f>IF($I374="Atrasado",$E374,0)</f>
        <v>0</v>
      </c>
      <c r="M374" s="128">
        <f>IF($I374="Atrasado",$J374+ROW()/1000000,0)</f>
        <v>0</v>
      </c>
    </row>
    <row r="375" spans="9:13" ht="16.5" customHeight="1">
      <c r="I375" s="66">
        <f>IF($E375="","",IF($G375&lt;&gt;"","Pago",IF($F375="","Pendente",IF('Config'!$C$9&gt;$F375,"Atrasado","Pendente"))))</f>
        <v/>
      </c>
      <c r="J375" s="126">
        <f>IF($I375="Atrasado",'Config'!$C$9-$F375,"")</f>
        <v/>
      </c>
      <c r="K375" s="127">
        <f>IF(AND($E375&lt;&gt;"",$G375=""),$E375,0)</f>
        <v>0</v>
      </c>
      <c r="L375" s="127">
        <f>IF($I375="Atrasado",$E375,0)</f>
        <v>0</v>
      </c>
      <c r="M375" s="128">
        <f>IF($I375="Atrasado",$J375+ROW()/1000000,0)</f>
        <v>0</v>
      </c>
    </row>
    <row r="376" spans="9:13" ht="16.5" customHeight="1">
      <c r="I376" s="66">
        <f>IF($E376="","",IF($G376&lt;&gt;"","Pago",IF($F376="","Pendente",IF('Config'!$C$9&gt;$F376,"Atrasado","Pendente"))))</f>
        <v/>
      </c>
      <c r="J376" s="126">
        <f>IF($I376="Atrasado",'Config'!$C$9-$F376,"")</f>
        <v/>
      </c>
      <c r="K376" s="127">
        <f>IF(AND($E376&lt;&gt;"",$G376=""),$E376,0)</f>
        <v>0</v>
      </c>
      <c r="L376" s="127">
        <f>IF($I376="Atrasado",$E376,0)</f>
        <v>0</v>
      </c>
      <c r="M376" s="128">
        <f>IF($I376="Atrasado",$J376+ROW()/1000000,0)</f>
        <v>0</v>
      </c>
    </row>
    <row r="377" spans="9:13" ht="16.5" customHeight="1">
      <c r="I377" s="66">
        <f>IF($E377="","",IF($G377&lt;&gt;"","Pago",IF($F377="","Pendente",IF('Config'!$C$9&gt;$F377,"Atrasado","Pendente"))))</f>
        <v/>
      </c>
      <c r="J377" s="126">
        <f>IF($I377="Atrasado",'Config'!$C$9-$F377,"")</f>
        <v/>
      </c>
      <c r="K377" s="127">
        <f>IF(AND($E377&lt;&gt;"",$G377=""),$E377,0)</f>
        <v>0</v>
      </c>
      <c r="L377" s="127">
        <f>IF($I377="Atrasado",$E377,0)</f>
        <v>0</v>
      </c>
      <c r="M377" s="128">
        <f>IF($I377="Atrasado",$J377+ROW()/1000000,0)</f>
        <v>0</v>
      </c>
    </row>
    <row r="378" spans="9:13" ht="16.5" customHeight="1">
      <c r="I378" s="66">
        <f>IF($E378="","",IF($G378&lt;&gt;"","Pago",IF($F378="","Pendente",IF('Config'!$C$9&gt;$F378,"Atrasado","Pendente"))))</f>
        <v/>
      </c>
      <c r="J378" s="126">
        <f>IF($I378="Atrasado",'Config'!$C$9-$F378,"")</f>
        <v/>
      </c>
      <c r="K378" s="127">
        <f>IF(AND($E378&lt;&gt;"",$G378=""),$E378,0)</f>
        <v>0</v>
      </c>
      <c r="L378" s="127">
        <f>IF($I378="Atrasado",$E378,0)</f>
        <v>0</v>
      </c>
      <c r="M378" s="128">
        <f>IF($I378="Atrasado",$J378+ROW()/1000000,0)</f>
        <v>0</v>
      </c>
    </row>
    <row r="379" spans="9:13" ht="16.5" customHeight="1">
      <c r="I379" s="66">
        <f>IF($E379="","",IF($G379&lt;&gt;"","Pago",IF($F379="","Pendente",IF('Config'!$C$9&gt;$F379,"Atrasado","Pendente"))))</f>
        <v/>
      </c>
      <c r="J379" s="126">
        <f>IF($I379="Atrasado",'Config'!$C$9-$F379,"")</f>
        <v/>
      </c>
      <c r="K379" s="127">
        <f>IF(AND($E379&lt;&gt;"",$G379=""),$E379,0)</f>
        <v>0</v>
      </c>
      <c r="L379" s="127">
        <f>IF($I379="Atrasado",$E379,0)</f>
        <v>0</v>
      </c>
      <c r="M379" s="128">
        <f>IF($I379="Atrasado",$J379+ROW()/1000000,0)</f>
        <v>0</v>
      </c>
    </row>
    <row r="380" spans="9:13" ht="16.5" customHeight="1">
      <c r="I380" s="66">
        <f>IF($E380="","",IF($G380&lt;&gt;"","Pago",IF($F380="","Pendente",IF('Config'!$C$9&gt;$F380,"Atrasado","Pendente"))))</f>
        <v/>
      </c>
      <c r="J380" s="126">
        <f>IF($I380="Atrasado",'Config'!$C$9-$F380,"")</f>
        <v/>
      </c>
      <c r="K380" s="127">
        <f>IF(AND($E380&lt;&gt;"",$G380=""),$E380,0)</f>
        <v>0</v>
      </c>
      <c r="L380" s="127">
        <f>IF($I380="Atrasado",$E380,0)</f>
        <v>0</v>
      </c>
      <c r="M380" s="128">
        <f>IF($I380="Atrasado",$J380+ROW()/1000000,0)</f>
        <v>0</v>
      </c>
    </row>
    <row r="381" spans="9:13" ht="16.5" customHeight="1">
      <c r="I381" s="66">
        <f>IF($E381="","",IF($G381&lt;&gt;"","Pago",IF($F381="","Pendente",IF('Config'!$C$9&gt;$F381,"Atrasado","Pendente"))))</f>
        <v/>
      </c>
      <c r="J381" s="126">
        <f>IF($I381="Atrasado",'Config'!$C$9-$F381,"")</f>
        <v/>
      </c>
      <c r="K381" s="127">
        <f>IF(AND($E381&lt;&gt;"",$G381=""),$E381,0)</f>
        <v>0</v>
      </c>
      <c r="L381" s="127">
        <f>IF($I381="Atrasado",$E381,0)</f>
        <v>0</v>
      </c>
      <c r="M381" s="128">
        <f>IF($I381="Atrasado",$J381+ROW()/1000000,0)</f>
        <v>0</v>
      </c>
    </row>
    <row r="382" spans="9:13" ht="16.5" customHeight="1">
      <c r="I382" s="66">
        <f>IF($E382="","",IF($G382&lt;&gt;"","Pago",IF($F382="","Pendente",IF('Config'!$C$9&gt;$F382,"Atrasado","Pendente"))))</f>
        <v/>
      </c>
      <c r="J382" s="126">
        <f>IF($I382="Atrasado",'Config'!$C$9-$F382,"")</f>
        <v/>
      </c>
      <c r="K382" s="127">
        <f>IF(AND($E382&lt;&gt;"",$G382=""),$E382,0)</f>
        <v>0</v>
      </c>
      <c r="L382" s="127">
        <f>IF($I382="Atrasado",$E382,0)</f>
        <v>0</v>
      </c>
      <c r="M382" s="128">
        <f>IF($I382="Atrasado",$J382+ROW()/1000000,0)</f>
        <v>0</v>
      </c>
    </row>
    <row r="383" spans="9:13" ht="16.5" customHeight="1">
      <c r="I383" s="66">
        <f>IF($E383="","",IF($G383&lt;&gt;"","Pago",IF($F383="","Pendente",IF('Config'!$C$9&gt;$F383,"Atrasado","Pendente"))))</f>
        <v/>
      </c>
      <c r="J383" s="126">
        <f>IF($I383="Atrasado",'Config'!$C$9-$F383,"")</f>
        <v/>
      </c>
      <c r="K383" s="127">
        <f>IF(AND($E383&lt;&gt;"",$G383=""),$E383,0)</f>
        <v>0</v>
      </c>
      <c r="L383" s="127">
        <f>IF($I383="Atrasado",$E383,0)</f>
        <v>0</v>
      </c>
      <c r="M383" s="128">
        <f>IF($I383="Atrasado",$J383+ROW()/1000000,0)</f>
        <v>0</v>
      </c>
    </row>
    <row r="384" spans="9:13" ht="16.5" customHeight="1">
      <c r="I384" s="66">
        <f>IF($E384="","",IF($G384&lt;&gt;"","Pago",IF($F384="","Pendente",IF('Config'!$C$9&gt;$F384,"Atrasado","Pendente"))))</f>
        <v/>
      </c>
      <c r="J384" s="126">
        <f>IF($I384="Atrasado",'Config'!$C$9-$F384,"")</f>
        <v/>
      </c>
      <c r="K384" s="127">
        <f>IF(AND($E384&lt;&gt;"",$G384=""),$E384,0)</f>
        <v>0</v>
      </c>
      <c r="L384" s="127">
        <f>IF($I384="Atrasado",$E384,0)</f>
        <v>0</v>
      </c>
      <c r="M384" s="128">
        <f>IF($I384="Atrasado",$J384+ROW()/1000000,0)</f>
        <v>0</v>
      </c>
    </row>
    <row r="385" spans="9:13" ht="16.5" customHeight="1">
      <c r="I385" s="66">
        <f>IF($E385="","",IF($G385&lt;&gt;"","Pago",IF($F385="","Pendente",IF('Config'!$C$9&gt;$F385,"Atrasado","Pendente"))))</f>
        <v/>
      </c>
      <c r="J385" s="126">
        <f>IF($I385="Atrasado",'Config'!$C$9-$F385,"")</f>
        <v/>
      </c>
      <c r="K385" s="127">
        <f>IF(AND($E385&lt;&gt;"",$G385=""),$E385,0)</f>
        <v>0</v>
      </c>
      <c r="L385" s="127">
        <f>IF($I385="Atrasado",$E385,0)</f>
        <v>0</v>
      </c>
      <c r="M385" s="128">
        <f>IF($I385="Atrasado",$J385+ROW()/1000000,0)</f>
        <v>0</v>
      </c>
    </row>
    <row r="386" spans="9:13" ht="16.5" customHeight="1">
      <c r="I386" s="66">
        <f>IF($E386="","",IF($G386&lt;&gt;"","Pago",IF($F386="","Pendente",IF('Config'!$C$9&gt;$F386,"Atrasado","Pendente"))))</f>
        <v/>
      </c>
      <c r="J386" s="126">
        <f>IF($I386="Atrasado",'Config'!$C$9-$F386,"")</f>
        <v/>
      </c>
      <c r="K386" s="127">
        <f>IF(AND($E386&lt;&gt;"",$G386=""),$E386,0)</f>
        <v>0</v>
      </c>
      <c r="L386" s="127">
        <f>IF($I386="Atrasado",$E386,0)</f>
        <v>0</v>
      </c>
      <c r="M386" s="128">
        <f>IF($I386="Atrasado",$J386+ROW()/1000000,0)</f>
        <v>0</v>
      </c>
    </row>
    <row r="387" spans="9:13" ht="16.5" customHeight="1">
      <c r="I387" s="66">
        <f>IF($E387="","",IF($G387&lt;&gt;"","Pago",IF($F387="","Pendente",IF('Config'!$C$9&gt;$F387,"Atrasado","Pendente"))))</f>
        <v/>
      </c>
      <c r="J387" s="126">
        <f>IF($I387="Atrasado",'Config'!$C$9-$F387,"")</f>
        <v/>
      </c>
      <c r="K387" s="127">
        <f>IF(AND($E387&lt;&gt;"",$G387=""),$E387,0)</f>
        <v>0</v>
      </c>
      <c r="L387" s="127">
        <f>IF($I387="Atrasado",$E387,0)</f>
        <v>0</v>
      </c>
      <c r="M387" s="128">
        <f>IF($I387="Atrasado",$J387+ROW()/1000000,0)</f>
        <v>0</v>
      </c>
    </row>
    <row r="388" spans="9:13" ht="16.5" customHeight="1">
      <c r="I388" s="66">
        <f>IF($E388="","",IF($G388&lt;&gt;"","Pago",IF($F388="","Pendente",IF('Config'!$C$9&gt;$F388,"Atrasado","Pendente"))))</f>
        <v/>
      </c>
      <c r="J388" s="126">
        <f>IF($I388="Atrasado",'Config'!$C$9-$F388,"")</f>
        <v/>
      </c>
      <c r="K388" s="127">
        <f>IF(AND($E388&lt;&gt;"",$G388=""),$E388,0)</f>
        <v>0</v>
      </c>
      <c r="L388" s="127">
        <f>IF($I388="Atrasado",$E388,0)</f>
        <v>0</v>
      </c>
      <c r="M388" s="128">
        <f>IF($I388="Atrasado",$J388+ROW()/1000000,0)</f>
        <v>0</v>
      </c>
    </row>
    <row r="389" spans="9:13" ht="16.5" customHeight="1">
      <c r="I389" s="66">
        <f>IF($E389="","",IF($G389&lt;&gt;"","Pago",IF($F389="","Pendente",IF('Config'!$C$9&gt;$F389,"Atrasado","Pendente"))))</f>
        <v/>
      </c>
      <c r="J389" s="126">
        <f>IF($I389="Atrasado",'Config'!$C$9-$F389,"")</f>
        <v/>
      </c>
      <c r="K389" s="127">
        <f>IF(AND($E389&lt;&gt;"",$G389=""),$E389,0)</f>
        <v>0</v>
      </c>
      <c r="L389" s="127">
        <f>IF($I389="Atrasado",$E389,0)</f>
        <v>0</v>
      </c>
      <c r="M389" s="128">
        <f>IF($I389="Atrasado",$J389+ROW()/1000000,0)</f>
        <v>0</v>
      </c>
    </row>
    <row r="390" spans="9:13" ht="16.5" customHeight="1">
      <c r="I390" s="66">
        <f>IF($E390="","",IF($G390&lt;&gt;"","Pago",IF($F390="","Pendente",IF('Config'!$C$9&gt;$F390,"Atrasado","Pendente"))))</f>
        <v/>
      </c>
      <c r="J390" s="126">
        <f>IF($I390="Atrasado",'Config'!$C$9-$F390,"")</f>
        <v/>
      </c>
      <c r="K390" s="127">
        <f>IF(AND($E390&lt;&gt;"",$G390=""),$E390,0)</f>
        <v>0</v>
      </c>
      <c r="L390" s="127">
        <f>IF($I390="Atrasado",$E390,0)</f>
        <v>0</v>
      </c>
      <c r="M390" s="128">
        <f>IF($I390="Atrasado",$J390+ROW()/1000000,0)</f>
        <v>0</v>
      </c>
    </row>
    <row r="391" spans="9:13" ht="16.5" customHeight="1">
      <c r="I391" s="66">
        <f>IF($E391="","",IF($G391&lt;&gt;"","Pago",IF($F391="","Pendente",IF('Config'!$C$9&gt;$F391,"Atrasado","Pendente"))))</f>
        <v/>
      </c>
      <c r="J391" s="126">
        <f>IF($I391="Atrasado",'Config'!$C$9-$F391,"")</f>
        <v/>
      </c>
      <c r="K391" s="127">
        <f>IF(AND($E391&lt;&gt;"",$G391=""),$E391,0)</f>
        <v>0</v>
      </c>
      <c r="L391" s="127">
        <f>IF($I391="Atrasado",$E391,0)</f>
        <v>0</v>
      </c>
      <c r="M391" s="128">
        <f>IF($I391="Atrasado",$J391+ROW()/1000000,0)</f>
        <v>0</v>
      </c>
    </row>
    <row r="392" spans="9:13" ht="16.5" customHeight="1">
      <c r="I392" s="66">
        <f>IF($E392="","",IF($G392&lt;&gt;"","Pago",IF($F392="","Pendente",IF('Config'!$C$9&gt;$F392,"Atrasado","Pendente"))))</f>
        <v/>
      </c>
      <c r="J392" s="126">
        <f>IF($I392="Atrasado",'Config'!$C$9-$F392,"")</f>
        <v/>
      </c>
      <c r="K392" s="127">
        <f>IF(AND($E392&lt;&gt;"",$G392=""),$E392,0)</f>
        <v>0</v>
      </c>
      <c r="L392" s="127">
        <f>IF($I392="Atrasado",$E392,0)</f>
        <v>0</v>
      </c>
      <c r="M392" s="128">
        <f>IF($I392="Atrasado",$J392+ROW()/1000000,0)</f>
        <v>0</v>
      </c>
    </row>
    <row r="393" spans="9:13" ht="16.5" customHeight="1">
      <c r="I393" s="66">
        <f>IF($E393="","",IF($G393&lt;&gt;"","Pago",IF($F393="","Pendente",IF('Config'!$C$9&gt;$F393,"Atrasado","Pendente"))))</f>
        <v/>
      </c>
      <c r="J393" s="126">
        <f>IF($I393="Atrasado",'Config'!$C$9-$F393,"")</f>
        <v/>
      </c>
      <c r="K393" s="127">
        <f>IF(AND($E393&lt;&gt;"",$G393=""),$E393,0)</f>
        <v>0</v>
      </c>
      <c r="L393" s="127">
        <f>IF($I393="Atrasado",$E393,0)</f>
        <v>0</v>
      </c>
      <c r="M393" s="128">
        <f>IF($I393="Atrasado",$J393+ROW()/1000000,0)</f>
        <v>0</v>
      </c>
    </row>
    <row r="394" spans="9:13" ht="16.5" customHeight="1">
      <c r="I394" s="66">
        <f>IF($E394="","",IF($G394&lt;&gt;"","Pago",IF($F394="","Pendente",IF('Config'!$C$9&gt;$F394,"Atrasado","Pendente"))))</f>
        <v/>
      </c>
      <c r="J394" s="126">
        <f>IF($I394="Atrasado",'Config'!$C$9-$F394,"")</f>
        <v/>
      </c>
      <c r="K394" s="127">
        <f>IF(AND($E394&lt;&gt;"",$G394=""),$E394,0)</f>
        <v>0</v>
      </c>
      <c r="L394" s="127">
        <f>IF($I394="Atrasado",$E394,0)</f>
        <v>0</v>
      </c>
      <c r="M394" s="128">
        <f>IF($I394="Atrasado",$J394+ROW()/1000000,0)</f>
        <v>0</v>
      </c>
    </row>
    <row r="395" spans="9:13" ht="16.5" customHeight="1">
      <c r="I395" s="66">
        <f>IF($E395="","",IF($G395&lt;&gt;"","Pago",IF($F395="","Pendente",IF('Config'!$C$9&gt;$F395,"Atrasado","Pendente"))))</f>
        <v/>
      </c>
      <c r="J395" s="126">
        <f>IF($I395="Atrasado",'Config'!$C$9-$F395,"")</f>
        <v/>
      </c>
      <c r="K395" s="127">
        <f>IF(AND($E395&lt;&gt;"",$G395=""),$E395,0)</f>
        <v>0</v>
      </c>
      <c r="L395" s="127">
        <f>IF($I395="Atrasado",$E395,0)</f>
        <v>0</v>
      </c>
      <c r="M395" s="128">
        <f>IF($I395="Atrasado",$J395+ROW()/1000000,0)</f>
        <v>0</v>
      </c>
    </row>
    <row r="396" spans="9:13" ht="16.5" customHeight="1">
      <c r="I396" s="66">
        <f>IF($E396="","",IF($G396&lt;&gt;"","Pago",IF($F396="","Pendente",IF('Config'!$C$9&gt;$F396,"Atrasado","Pendente"))))</f>
        <v/>
      </c>
      <c r="J396" s="126">
        <f>IF($I396="Atrasado",'Config'!$C$9-$F396,"")</f>
        <v/>
      </c>
      <c r="K396" s="127">
        <f>IF(AND($E396&lt;&gt;"",$G396=""),$E396,0)</f>
        <v>0</v>
      </c>
      <c r="L396" s="127">
        <f>IF($I396="Atrasado",$E396,0)</f>
        <v>0</v>
      </c>
      <c r="M396" s="128">
        <f>IF($I396="Atrasado",$J396+ROW()/1000000,0)</f>
        <v>0</v>
      </c>
    </row>
    <row r="397" spans="9:13" ht="16.5" customHeight="1">
      <c r="I397" s="66">
        <f>IF($E397="","",IF($G397&lt;&gt;"","Pago",IF($F397="","Pendente",IF('Config'!$C$9&gt;$F397,"Atrasado","Pendente"))))</f>
        <v/>
      </c>
      <c r="J397" s="126">
        <f>IF($I397="Atrasado",'Config'!$C$9-$F397,"")</f>
        <v/>
      </c>
      <c r="K397" s="127">
        <f>IF(AND($E397&lt;&gt;"",$G397=""),$E397,0)</f>
        <v>0</v>
      </c>
      <c r="L397" s="127">
        <f>IF($I397="Atrasado",$E397,0)</f>
        <v>0</v>
      </c>
      <c r="M397" s="128">
        <f>IF($I397="Atrasado",$J397+ROW()/1000000,0)</f>
        <v>0</v>
      </c>
    </row>
    <row r="398" spans="9:13" ht="16.5" customHeight="1">
      <c r="I398" s="66">
        <f>IF($E398="","",IF($G398&lt;&gt;"","Pago",IF($F398="","Pendente",IF('Config'!$C$9&gt;$F398,"Atrasado","Pendente"))))</f>
        <v/>
      </c>
      <c r="J398" s="126">
        <f>IF($I398="Atrasado",'Config'!$C$9-$F398,"")</f>
        <v/>
      </c>
      <c r="K398" s="127">
        <f>IF(AND($E398&lt;&gt;"",$G398=""),$E398,0)</f>
        <v>0</v>
      </c>
      <c r="L398" s="127">
        <f>IF($I398="Atrasado",$E398,0)</f>
        <v>0</v>
      </c>
      <c r="M398" s="128">
        <f>IF($I398="Atrasado",$J398+ROW()/1000000,0)</f>
        <v>0</v>
      </c>
    </row>
    <row r="399" spans="9:13" ht="16.5" customHeight="1">
      <c r="I399" s="66">
        <f>IF($E399="","",IF($G399&lt;&gt;"","Pago",IF($F399="","Pendente",IF('Config'!$C$9&gt;$F399,"Atrasado","Pendente"))))</f>
        <v/>
      </c>
      <c r="J399" s="126">
        <f>IF($I399="Atrasado",'Config'!$C$9-$F399,"")</f>
        <v/>
      </c>
      <c r="K399" s="127">
        <f>IF(AND($E399&lt;&gt;"",$G399=""),$E399,0)</f>
        <v>0</v>
      </c>
      <c r="L399" s="127">
        <f>IF($I399="Atrasado",$E399,0)</f>
        <v>0</v>
      </c>
      <c r="M399" s="128">
        <f>IF($I399="Atrasado",$J399+ROW()/1000000,0)</f>
        <v>0</v>
      </c>
    </row>
    <row r="400" spans="9:13" ht="16.5" customHeight="1">
      <c r="I400" s="66">
        <f>IF($E400="","",IF($G400&lt;&gt;"","Pago",IF($F400="","Pendente",IF('Config'!$C$9&gt;$F400,"Atrasado","Pendente"))))</f>
        <v/>
      </c>
      <c r="J400" s="126">
        <f>IF($I400="Atrasado",'Config'!$C$9-$F400,"")</f>
        <v/>
      </c>
      <c r="K400" s="127">
        <f>IF(AND($E400&lt;&gt;"",$G400=""),$E400,0)</f>
        <v>0</v>
      </c>
      <c r="L400" s="127">
        <f>IF($I400="Atrasado",$E400,0)</f>
        <v>0</v>
      </c>
      <c r="M400" s="128">
        <f>IF($I400="Atrasado",$J400+ROW()/1000000,0)</f>
        <v>0</v>
      </c>
    </row>
    <row r="401" spans="9:13" ht="16.5" customHeight="1">
      <c r="I401" s="66">
        <f>IF($E401="","",IF($G401&lt;&gt;"","Pago",IF($F401="","Pendente",IF('Config'!$C$9&gt;$F401,"Atrasado","Pendente"))))</f>
        <v/>
      </c>
      <c r="J401" s="126">
        <f>IF($I401="Atrasado",'Config'!$C$9-$F401,"")</f>
        <v/>
      </c>
      <c r="K401" s="127">
        <f>IF(AND($E401&lt;&gt;"",$G401=""),$E401,0)</f>
        <v>0</v>
      </c>
      <c r="L401" s="127">
        <f>IF($I401="Atrasado",$E401,0)</f>
        <v>0</v>
      </c>
      <c r="M401" s="128">
        <f>IF($I401="Atrasado",$J401+ROW()/1000000,0)</f>
        <v>0</v>
      </c>
    </row>
    <row r="402" spans="9:13" ht="16.5" customHeight="1">
      <c r="I402" s="66">
        <f>IF($E402="","",IF($G402&lt;&gt;"","Pago",IF($F402="","Pendente",IF('Config'!$C$9&gt;$F402,"Atrasado","Pendente"))))</f>
        <v/>
      </c>
      <c r="J402" s="126">
        <f>IF($I402="Atrasado",'Config'!$C$9-$F402,"")</f>
        <v/>
      </c>
      <c r="K402" s="127">
        <f>IF(AND($E402&lt;&gt;"",$G402=""),$E402,0)</f>
        <v>0</v>
      </c>
      <c r="L402" s="127">
        <f>IF($I402="Atrasado",$E402,0)</f>
        <v>0</v>
      </c>
      <c r="M402" s="128">
        <f>IF($I402="Atrasado",$J402+ROW()/1000000,0)</f>
        <v>0</v>
      </c>
    </row>
    <row r="403" spans="9:13" ht="16.5" customHeight="1">
      <c r="I403" s="66">
        <f>IF($E403="","",IF($G403&lt;&gt;"","Pago",IF($F403="","Pendente",IF('Config'!$C$9&gt;$F403,"Atrasado","Pendente"))))</f>
        <v/>
      </c>
      <c r="J403" s="126">
        <f>IF($I403="Atrasado",'Config'!$C$9-$F403,"")</f>
        <v/>
      </c>
      <c r="K403" s="127">
        <f>IF(AND($E403&lt;&gt;"",$G403=""),$E403,0)</f>
        <v>0</v>
      </c>
      <c r="L403" s="127">
        <f>IF($I403="Atrasado",$E403,0)</f>
        <v>0</v>
      </c>
      <c r="M403" s="128">
        <f>IF($I403="Atrasado",$J403+ROW()/1000000,0)</f>
        <v>0</v>
      </c>
    </row>
    <row r="404" spans="9:13" ht="16.5" customHeight="1">
      <c r="I404" s="66">
        <f>IF($E404="","",IF($G404&lt;&gt;"","Pago",IF($F404="","Pendente",IF('Config'!$C$9&gt;$F404,"Atrasado","Pendente"))))</f>
        <v/>
      </c>
      <c r="J404" s="126">
        <f>IF($I404="Atrasado",'Config'!$C$9-$F404,"")</f>
        <v/>
      </c>
      <c r="K404" s="127">
        <f>IF(AND($E404&lt;&gt;"",$G404=""),$E404,0)</f>
        <v>0</v>
      </c>
      <c r="L404" s="127">
        <f>IF($I404="Atrasado",$E404,0)</f>
        <v>0</v>
      </c>
      <c r="M404" s="128">
        <f>IF($I404="Atrasado",$J404+ROW()/1000000,0)</f>
        <v>0</v>
      </c>
    </row>
    <row r="405" spans="9:13" ht="16.5" customHeight="1">
      <c r="I405" s="66">
        <f>IF($E405="","",IF($G405&lt;&gt;"","Pago",IF($F405="","Pendente",IF('Config'!$C$9&gt;$F405,"Atrasado","Pendente"))))</f>
        <v/>
      </c>
      <c r="J405" s="126">
        <f>IF($I405="Atrasado",'Config'!$C$9-$F405,"")</f>
        <v/>
      </c>
      <c r="K405" s="127">
        <f>IF(AND($E405&lt;&gt;"",$G405=""),$E405,0)</f>
        <v>0</v>
      </c>
      <c r="L405" s="127">
        <f>IF($I405="Atrasado",$E405,0)</f>
        <v>0</v>
      </c>
      <c r="M405" s="128">
        <f>IF($I405="Atrasado",$J405+ROW()/1000000,0)</f>
        <v>0</v>
      </c>
    </row>
    <row r="406" spans="9:13" ht="16.5" customHeight="1">
      <c r="I406" s="66">
        <f>IF($E406="","",IF($G406&lt;&gt;"","Pago",IF($F406="","Pendente",IF('Config'!$C$9&gt;$F406,"Atrasado","Pendente"))))</f>
        <v/>
      </c>
      <c r="J406" s="126">
        <f>IF($I406="Atrasado",'Config'!$C$9-$F406,"")</f>
        <v/>
      </c>
      <c r="K406" s="127">
        <f>IF(AND($E406&lt;&gt;"",$G406=""),$E406,0)</f>
        <v>0</v>
      </c>
      <c r="L406" s="127">
        <f>IF($I406="Atrasado",$E406,0)</f>
        <v>0</v>
      </c>
      <c r="M406" s="128">
        <f>IF($I406="Atrasado",$J406+ROW()/1000000,0)</f>
        <v>0</v>
      </c>
    </row>
    <row r="407" spans="9:13" ht="16.5" customHeight="1">
      <c r="I407" s="66">
        <f>IF($E407="","",IF($G407&lt;&gt;"","Pago",IF($F407="","Pendente",IF('Config'!$C$9&gt;$F407,"Atrasado","Pendente"))))</f>
        <v/>
      </c>
      <c r="J407" s="126">
        <f>IF($I407="Atrasado",'Config'!$C$9-$F407,"")</f>
        <v/>
      </c>
      <c r="K407" s="127">
        <f>IF(AND($E407&lt;&gt;"",$G407=""),$E407,0)</f>
        <v>0</v>
      </c>
      <c r="L407" s="127">
        <f>IF($I407="Atrasado",$E407,0)</f>
        <v>0</v>
      </c>
      <c r="M407" s="128">
        <f>IF($I407="Atrasado",$J407+ROW()/1000000,0)</f>
        <v>0</v>
      </c>
    </row>
    <row r="408" spans="9:13" ht="16.5" customHeight="1">
      <c r="I408" s="66">
        <f>IF($E408="","",IF($G408&lt;&gt;"","Pago",IF($F408="","Pendente",IF('Config'!$C$9&gt;$F408,"Atrasado","Pendente"))))</f>
        <v/>
      </c>
      <c r="J408" s="126">
        <f>IF($I408="Atrasado",'Config'!$C$9-$F408,"")</f>
        <v/>
      </c>
      <c r="K408" s="127">
        <f>IF(AND($E408&lt;&gt;"",$G408=""),$E408,0)</f>
        <v>0</v>
      </c>
      <c r="L408" s="127">
        <f>IF($I408="Atrasado",$E408,0)</f>
        <v>0</v>
      </c>
      <c r="M408" s="128">
        <f>IF($I408="Atrasado",$J408+ROW()/1000000,0)</f>
        <v>0</v>
      </c>
    </row>
    <row r="409" spans="9:13" ht="16.5" customHeight="1">
      <c r="I409" s="66">
        <f>IF($E409="","",IF($G409&lt;&gt;"","Pago",IF($F409="","Pendente",IF('Config'!$C$9&gt;$F409,"Atrasado","Pendente"))))</f>
        <v/>
      </c>
      <c r="J409" s="126">
        <f>IF($I409="Atrasado",'Config'!$C$9-$F409,"")</f>
        <v/>
      </c>
      <c r="K409" s="127">
        <f>IF(AND($E409&lt;&gt;"",$G409=""),$E409,0)</f>
        <v>0</v>
      </c>
      <c r="L409" s="127">
        <f>IF($I409="Atrasado",$E409,0)</f>
        <v>0</v>
      </c>
      <c r="M409" s="128">
        <f>IF($I409="Atrasado",$J409+ROW()/1000000,0)</f>
        <v>0</v>
      </c>
    </row>
    <row r="410" spans="9:13" ht="16.5" customHeight="1">
      <c r="I410" s="66">
        <f>IF($E410="","",IF($G410&lt;&gt;"","Pago",IF($F410="","Pendente",IF('Config'!$C$9&gt;$F410,"Atrasado","Pendente"))))</f>
        <v/>
      </c>
      <c r="J410" s="126">
        <f>IF($I410="Atrasado",'Config'!$C$9-$F410,"")</f>
        <v/>
      </c>
      <c r="K410" s="127">
        <f>IF(AND($E410&lt;&gt;"",$G410=""),$E410,0)</f>
        <v>0</v>
      </c>
      <c r="L410" s="127">
        <f>IF($I410="Atrasado",$E410,0)</f>
        <v>0</v>
      </c>
      <c r="M410" s="128">
        <f>IF($I410="Atrasado",$J410+ROW()/1000000,0)</f>
        <v>0</v>
      </c>
    </row>
    <row r="411" spans="9:13" ht="16.5" customHeight="1">
      <c r="I411" s="66">
        <f>IF($E411="","",IF($G411&lt;&gt;"","Pago",IF($F411="","Pendente",IF('Config'!$C$9&gt;$F411,"Atrasado","Pendente"))))</f>
        <v/>
      </c>
      <c r="J411" s="126">
        <f>IF($I411="Atrasado",'Config'!$C$9-$F411,"")</f>
        <v/>
      </c>
      <c r="K411" s="127">
        <f>IF(AND($E411&lt;&gt;"",$G411=""),$E411,0)</f>
        <v>0</v>
      </c>
      <c r="L411" s="127">
        <f>IF($I411="Atrasado",$E411,0)</f>
        <v>0</v>
      </c>
      <c r="M411" s="128">
        <f>IF($I411="Atrasado",$J411+ROW()/1000000,0)</f>
        <v>0</v>
      </c>
    </row>
    <row r="412" spans="9:13" ht="16.5" customHeight="1">
      <c r="I412" s="66">
        <f>IF($E412="","",IF($G412&lt;&gt;"","Pago",IF($F412="","Pendente",IF('Config'!$C$9&gt;$F412,"Atrasado","Pendente"))))</f>
        <v/>
      </c>
      <c r="J412" s="126">
        <f>IF($I412="Atrasado",'Config'!$C$9-$F412,"")</f>
        <v/>
      </c>
      <c r="K412" s="127">
        <f>IF(AND($E412&lt;&gt;"",$G412=""),$E412,0)</f>
        <v>0</v>
      </c>
      <c r="L412" s="127">
        <f>IF($I412="Atrasado",$E412,0)</f>
        <v>0</v>
      </c>
      <c r="M412" s="128">
        <f>IF($I412="Atrasado",$J412+ROW()/1000000,0)</f>
        <v>0</v>
      </c>
    </row>
    <row r="413" spans="9:13" ht="16.5" customHeight="1">
      <c r="I413" s="66">
        <f>IF($E413="","",IF($G413&lt;&gt;"","Pago",IF($F413="","Pendente",IF('Config'!$C$9&gt;$F413,"Atrasado","Pendente"))))</f>
        <v/>
      </c>
      <c r="J413" s="126">
        <f>IF($I413="Atrasado",'Config'!$C$9-$F413,"")</f>
        <v/>
      </c>
      <c r="K413" s="127">
        <f>IF(AND($E413&lt;&gt;"",$G413=""),$E413,0)</f>
        <v>0</v>
      </c>
      <c r="L413" s="127">
        <f>IF($I413="Atrasado",$E413,0)</f>
        <v>0</v>
      </c>
      <c r="M413" s="128">
        <f>IF($I413="Atrasado",$J413+ROW()/1000000,0)</f>
        <v>0</v>
      </c>
    </row>
    <row r="414" spans="9:13" ht="16.5" customHeight="1">
      <c r="I414" s="66">
        <f>IF($E414="","",IF($G414&lt;&gt;"","Pago",IF($F414="","Pendente",IF('Config'!$C$9&gt;$F414,"Atrasado","Pendente"))))</f>
        <v/>
      </c>
      <c r="J414" s="126">
        <f>IF($I414="Atrasado",'Config'!$C$9-$F414,"")</f>
        <v/>
      </c>
      <c r="K414" s="127">
        <f>IF(AND($E414&lt;&gt;"",$G414=""),$E414,0)</f>
        <v>0</v>
      </c>
      <c r="L414" s="127">
        <f>IF($I414="Atrasado",$E414,0)</f>
        <v>0</v>
      </c>
      <c r="M414" s="128">
        <f>IF($I414="Atrasado",$J414+ROW()/1000000,0)</f>
        <v>0</v>
      </c>
    </row>
    <row r="415" spans="9:13" ht="16.5" customHeight="1">
      <c r="I415" s="66">
        <f>IF($E415="","",IF($G415&lt;&gt;"","Pago",IF($F415="","Pendente",IF('Config'!$C$9&gt;$F415,"Atrasado","Pendente"))))</f>
        <v/>
      </c>
      <c r="J415" s="126">
        <f>IF($I415="Atrasado",'Config'!$C$9-$F415,"")</f>
        <v/>
      </c>
      <c r="K415" s="127">
        <f>IF(AND($E415&lt;&gt;"",$G415=""),$E415,0)</f>
        <v>0</v>
      </c>
      <c r="L415" s="127">
        <f>IF($I415="Atrasado",$E415,0)</f>
        <v>0</v>
      </c>
      <c r="M415" s="128">
        <f>IF($I415="Atrasado",$J415+ROW()/1000000,0)</f>
        <v>0</v>
      </c>
    </row>
    <row r="416" spans="9:13" ht="16.5" customHeight="1">
      <c r="I416" s="66">
        <f>IF($E416="","",IF($G416&lt;&gt;"","Pago",IF($F416="","Pendente",IF('Config'!$C$9&gt;$F416,"Atrasado","Pendente"))))</f>
        <v/>
      </c>
      <c r="J416" s="126">
        <f>IF($I416="Atrasado",'Config'!$C$9-$F416,"")</f>
        <v/>
      </c>
      <c r="K416" s="127">
        <f>IF(AND($E416&lt;&gt;"",$G416=""),$E416,0)</f>
        <v>0</v>
      </c>
      <c r="L416" s="127">
        <f>IF($I416="Atrasado",$E416,0)</f>
        <v>0</v>
      </c>
      <c r="M416" s="128">
        <f>IF($I416="Atrasado",$J416+ROW()/1000000,0)</f>
        <v>0</v>
      </c>
    </row>
    <row r="417" spans="9:13" ht="16.5" customHeight="1">
      <c r="I417" s="66">
        <f>IF($E417="","",IF($G417&lt;&gt;"","Pago",IF($F417="","Pendente",IF('Config'!$C$9&gt;$F417,"Atrasado","Pendente"))))</f>
        <v/>
      </c>
      <c r="J417" s="126">
        <f>IF($I417="Atrasado",'Config'!$C$9-$F417,"")</f>
        <v/>
      </c>
      <c r="K417" s="127">
        <f>IF(AND($E417&lt;&gt;"",$G417=""),$E417,0)</f>
        <v>0</v>
      </c>
      <c r="L417" s="127">
        <f>IF($I417="Atrasado",$E417,0)</f>
        <v>0</v>
      </c>
      <c r="M417" s="128">
        <f>IF($I417="Atrasado",$J417+ROW()/1000000,0)</f>
        <v>0</v>
      </c>
    </row>
    <row r="418" spans="9:13" ht="16.5" customHeight="1">
      <c r="I418" s="66">
        <f>IF($E418="","",IF($G418&lt;&gt;"","Pago",IF($F418="","Pendente",IF('Config'!$C$9&gt;$F418,"Atrasado","Pendente"))))</f>
        <v/>
      </c>
      <c r="J418" s="126">
        <f>IF($I418="Atrasado",'Config'!$C$9-$F418,"")</f>
        <v/>
      </c>
      <c r="K418" s="127">
        <f>IF(AND($E418&lt;&gt;"",$G418=""),$E418,0)</f>
        <v>0</v>
      </c>
      <c r="L418" s="127">
        <f>IF($I418="Atrasado",$E418,0)</f>
        <v>0</v>
      </c>
      <c r="M418" s="128">
        <f>IF($I418="Atrasado",$J418+ROW()/1000000,0)</f>
        <v>0</v>
      </c>
    </row>
    <row r="419" spans="9:13" ht="16.5" customHeight="1">
      <c r="I419" s="66">
        <f>IF($E419="","",IF($G419&lt;&gt;"","Pago",IF($F419="","Pendente",IF('Config'!$C$9&gt;$F419,"Atrasado","Pendente"))))</f>
        <v/>
      </c>
      <c r="J419" s="126">
        <f>IF($I419="Atrasado",'Config'!$C$9-$F419,"")</f>
        <v/>
      </c>
      <c r="K419" s="127">
        <f>IF(AND($E419&lt;&gt;"",$G419=""),$E419,0)</f>
        <v>0</v>
      </c>
      <c r="L419" s="127">
        <f>IF($I419="Atrasado",$E419,0)</f>
        <v>0</v>
      </c>
      <c r="M419" s="128">
        <f>IF($I419="Atrasado",$J419+ROW()/1000000,0)</f>
        <v>0</v>
      </c>
    </row>
    <row r="420" spans="9:13" ht="16.5" customHeight="1">
      <c r="I420" s="66">
        <f>IF($E420="","",IF($G420&lt;&gt;"","Pago",IF($F420="","Pendente",IF('Config'!$C$9&gt;$F420,"Atrasado","Pendente"))))</f>
        <v/>
      </c>
      <c r="J420" s="126">
        <f>IF($I420="Atrasado",'Config'!$C$9-$F420,"")</f>
        <v/>
      </c>
      <c r="K420" s="127">
        <f>IF(AND($E420&lt;&gt;"",$G420=""),$E420,0)</f>
        <v>0</v>
      </c>
      <c r="L420" s="127">
        <f>IF($I420="Atrasado",$E420,0)</f>
        <v>0</v>
      </c>
      <c r="M420" s="128">
        <f>IF($I420="Atrasado",$J420+ROW()/1000000,0)</f>
        <v>0</v>
      </c>
    </row>
    <row r="421" spans="9:13" ht="16.5" customHeight="1">
      <c r="I421" s="66">
        <f>IF($E421="","",IF($G421&lt;&gt;"","Pago",IF($F421="","Pendente",IF('Config'!$C$9&gt;$F421,"Atrasado","Pendente"))))</f>
        <v/>
      </c>
      <c r="J421" s="126">
        <f>IF($I421="Atrasado",'Config'!$C$9-$F421,"")</f>
        <v/>
      </c>
      <c r="K421" s="127">
        <f>IF(AND($E421&lt;&gt;"",$G421=""),$E421,0)</f>
        <v>0</v>
      </c>
      <c r="L421" s="127">
        <f>IF($I421="Atrasado",$E421,0)</f>
        <v>0</v>
      </c>
      <c r="M421" s="128">
        <f>IF($I421="Atrasado",$J421+ROW()/1000000,0)</f>
        <v>0</v>
      </c>
    </row>
    <row r="422" spans="9:13" ht="16.5" customHeight="1">
      <c r="I422" s="66">
        <f>IF($E422="","",IF($G422&lt;&gt;"","Pago",IF($F422="","Pendente",IF('Config'!$C$9&gt;$F422,"Atrasado","Pendente"))))</f>
        <v/>
      </c>
      <c r="J422" s="126">
        <f>IF($I422="Atrasado",'Config'!$C$9-$F422,"")</f>
        <v/>
      </c>
      <c r="K422" s="127">
        <f>IF(AND($E422&lt;&gt;"",$G422=""),$E422,0)</f>
        <v>0</v>
      </c>
      <c r="L422" s="127">
        <f>IF($I422="Atrasado",$E422,0)</f>
        <v>0</v>
      </c>
      <c r="M422" s="128">
        <f>IF($I422="Atrasado",$J422+ROW()/1000000,0)</f>
        <v>0</v>
      </c>
    </row>
    <row r="423" spans="9:13" ht="16.5" customHeight="1">
      <c r="I423" s="66">
        <f>IF($E423="","",IF($G423&lt;&gt;"","Pago",IF($F423="","Pendente",IF('Config'!$C$9&gt;$F423,"Atrasado","Pendente"))))</f>
        <v/>
      </c>
      <c r="J423" s="126">
        <f>IF($I423="Atrasado",'Config'!$C$9-$F423,"")</f>
        <v/>
      </c>
      <c r="K423" s="127">
        <f>IF(AND($E423&lt;&gt;"",$G423=""),$E423,0)</f>
        <v>0</v>
      </c>
      <c r="L423" s="127">
        <f>IF($I423="Atrasado",$E423,0)</f>
        <v>0</v>
      </c>
      <c r="M423" s="128">
        <f>IF($I423="Atrasado",$J423+ROW()/1000000,0)</f>
        <v>0</v>
      </c>
    </row>
    <row r="424" spans="9:13" ht="16.5" customHeight="1">
      <c r="I424" s="66">
        <f>IF($E424="","",IF($G424&lt;&gt;"","Pago",IF($F424="","Pendente",IF('Config'!$C$9&gt;$F424,"Atrasado","Pendente"))))</f>
        <v/>
      </c>
      <c r="J424" s="126">
        <f>IF($I424="Atrasado",'Config'!$C$9-$F424,"")</f>
        <v/>
      </c>
      <c r="K424" s="127">
        <f>IF(AND($E424&lt;&gt;"",$G424=""),$E424,0)</f>
        <v>0</v>
      </c>
      <c r="L424" s="127">
        <f>IF($I424="Atrasado",$E424,0)</f>
        <v>0</v>
      </c>
      <c r="M424" s="128">
        <f>IF($I424="Atrasado",$J424+ROW()/1000000,0)</f>
        <v>0</v>
      </c>
    </row>
    <row r="425" spans="9:13" ht="16.5" customHeight="1">
      <c r="I425" s="66">
        <f>IF($E425="","",IF($G425&lt;&gt;"","Pago",IF($F425="","Pendente",IF('Config'!$C$9&gt;$F425,"Atrasado","Pendente"))))</f>
        <v/>
      </c>
      <c r="J425" s="126">
        <f>IF($I425="Atrasado",'Config'!$C$9-$F425,"")</f>
        <v/>
      </c>
      <c r="K425" s="127">
        <f>IF(AND($E425&lt;&gt;"",$G425=""),$E425,0)</f>
        <v>0</v>
      </c>
      <c r="L425" s="127">
        <f>IF($I425="Atrasado",$E425,0)</f>
        <v>0</v>
      </c>
      <c r="M425" s="128">
        <f>IF($I425="Atrasado",$J425+ROW()/1000000,0)</f>
        <v>0</v>
      </c>
    </row>
    <row r="426" spans="9:13" ht="16.5" customHeight="1">
      <c r="I426" s="66">
        <f>IF($E426="","",IF($G426&lt;&gt;"","Pago",IF($F426="","Pendente",IF('Config'!$C$9&gt;$F426,"Atrasado","Pendente"))))</f>
        <v/>
      </c>
      <c r="J426" s="126">
        <f>IF($I426="Atrasado",'Config'!$C$9-$F426,"")</f>
        <v/>
      </c>
      <c r="K426" s="127">
        <f>IF(AND($E426&lt;&gt;"",$G426=""),$E426,0)</f>
        <v>0</v>
      </c>
      <c r="L426" s="127">
        <f>IF($I426="Atrasado",$E426,0)</f>
        <v>0</v>
      </c>
      <c r="M426" s="128">
        <f>IF($I426="Atrasado",$J426+ROW()/1000000,0)</f>
        <v>0</v>
      </c>
    </row>
    <row r="427" spans="9:13" ht="16.5" customHeight="1">
      <c r="I427" s="66">
        <f>IF($E427="","",IF($G427&lt;&gt;"","Pago",IF($F427="","Pendente",IF('Config'!$C$9&gt;$F427,"Atrasado","Pendente"))))</f>
        <v/>
      </c>
      <c r="J427" s="126">
        <f>IF($I427="Atrasado",'Config'!$C$9-$F427,"")</f>
        <v/>
      </c>
      <c r="K427" s="127">
        <f>IF(AND($E427&lt;&gt;"",$G427=""),$E427,0)</f>
        <v>0</v>
      </c>
      <c r="L427" s="127">
        <f>IF($I427="Atrasado",$E427,0)</f>
        <v>0</v>
      </c>
      <c r="M427" s="128">
        <f>IF($I427="Atrasado",$J427+ROW()/1000000,0)</f>
        <v>0</v>
      </c>
    </row>
    <row r="428" spans="9:13" ht="16.5" customHeight="1">
      <c r="I428" s="66">
        <f>IF($E428="","",IF($G428&lt;&gt;"","Pago",IF($F428="","Pendente",IF('Config'!$C$9&gt;$F428,"Atrasado","Pendente"))))</f>
        <v/>
      </c>
      <c r="J428" s="126">
        <f>IF($I428="Atrasado",'Config'!$C$9-$F428,"")</f>
        <v/>
      </c>
      <c r="K428" s="127">
        <f>IF(AND($E428&lt;&gt;"",$G428=""),$E428,0)</f>
        <v>0</v>
      </c>
      <c r="L428" s="127">
        <f>IF($I428="Atrasado",$E428,0)</f>
        <v>0</v>
      </c>
      <c r="M428" s="128">
        <f>IF($I428="Atrasado",$J428+ROW()/1000000,0)</f>
        <v>0</v>
      </c>
    </row>
    <row r="429" spans="9:13" ht="16.5" customHeight="1">
      <c r="I429" s="66">
        <f>IF($E429="","",IF($G429&lt;&gt;"","Pago",IF($F429="","Pendente",IF('Config'!$C$9&gt;$F429,"Atrasado","Pendente"))))</f>
        <v/>
      </c>
      <c r="J429" s="126">
        <f>IF($I429="Atrasado",'Config'!$C$9-$F429,"")</f>
        <v/>
      </c>
      <c r="K429" s="127">
        <f>IF(AND($E429&lt;&gt;"",$G429=""),$E429,0)</f>
        <v>0</v>
      </c>
      <c r="L429" s="127">
        <f>IF($I429="Atrasado",$E429,0)</f>
        <v>0</v>
      </c>
      <c r="M429" s="128">
        <f>IF($I429="Atrasado",$J429+ROW()/1000000,0)</f>
        <v>0</v>
      </c>
    </row>
    <row r="430" spans="9:13" ht="16.5" customHeight="1">
      <c r="I430" s="66">
        <f>IF($E430="","",IF($G430&lt;&gt;"","Pago",IF($F430="","Pendente",IF('Config'!$C$9&gt;$F430,"Atrasado","Pendente"))))</f>
        <v/>
      </c>
      <c r="J430" s="126">
        <f>IF($I430="Atrasado",'Config'!$C$9-$F430,"")</f>
        <v/>
      </c>
      <c r="K430" s="127">
        <f>IF(AND($E430&lt;&gt;"",$G430=""),$E430,0)</f>
        <v>0</v>
      </c>
      <c r="L430" s="127">
        <f>IF($I430="Atrasado",$E430,0)</f>
        <v>0</v>
      </c>
      <c r="M430" s="128">
        <f>IF($I430="Atrasado",$J430+ROW()/1000000,0)</f>
        <v>0</v>
      </c>
    </row>
    <row r="431" spans="9:13" ht="16.5" customHeight="1">
      <c r="I431" s="66">
        <f>IF($E431="","",IF($G431&lt;&gt;"","Pago",IF($F431="","Pendente",IF('Config'!$C$9&gt;$F431,"Atrasado","Pendente"))))</f>
        <v/>
      </c>
      <c r="J431" s="126">
        <f>IF($I431="Atrasado",'Config'!$C$9-$F431,"")</f>
        <v/>
      </c>
      <c r="K431" s="127">
        <f>IF(AND($E431&lt;&gt;"",$G431=""),$E431,0)</f>
        <v>0</v>
      </c>
      <c r="L431" s="127">
        <f>IF($I431="Atrasado",$E431,0)</f>
        <v>0</v>
      </c>
      <c r="M431" s="128">
        <f>IF($I431="Atrasado",$J431+ROW()/1000000,0)</f>
        <v>0</v>
      </c>
    </row>
    <row r="432" spans="9:13" ht="16.5" customHeight="1">
      <c r="I432" s="66">
        <f>IF($E432="","",IF($G432&lt;&gt;"","Pago",IF($F432="","Pendente",IF('Config'!$C$9&gt;$F432,"Atrasado","Pendente"))))</f>
        <v/>
      </c>
      <c r="J432" s="126">
        <f>IF($I432="Atrasado",'Config'!$C$9-$F432,"")</f>
        <v/>
      </c>
      <c r="K432" s="127">
        <f>IF(AND($E432&lt;&gt;"",$G432=""),$E432,0)</f>
        <v>0</v>
      </c>
      <c r="L432" s="127">
        <f>IF($I432="Atrasado",$E432,0)</f>
        <v>0</v>
      </c>
      <c r="M432" s="128">
        <f>IF($I432="Atrasado",$J432+ROW()/1000000,0)</f>
        <v>0</v>
      </c>
    </row>
    <row r="433" spans="9:13" ht="16.5" customHeight="1">
      <c r="I433" s="66">
        <f>IF($E433="","",IF($G433&lt;&gt;"","Pago",IF($F433="","Pendente",IF('Config'!$C$9&gt;$F433,"Atrasado","Pendente"))))</f>
        <v/>
      </c>
      <c r="J433" s="126">
        <f>IF($I433="Atrasado",'Config'!$C$9-$F433,"")</f>
        <v/>
      </c>
      <c r="K433" s="127">
        <f>IF(AND($E433&lt;&gt;"",$G433=""),$E433,0)</f>
        <v>0</v>
      </c>
      <c r="L433" s="127">
        <f>IF($I433="Atrasado",$E433,0)</f>
        <v>0</v>
      </c>
      <c r="M433" s="128">
        <f>IF($I433="Atrasado",$J433+ROW()/1000000,0)</f>
        <v>0</v>
      </c>
    </row>
    <row r="434" spans="9:13" ht="16.5" customHeight="1">
      <c r="I434" s="66">
        <f>IF($E434="","",IF($G434&lt;&gt;"","Pago",IF($F434="","Pendente",IF('Config'!$C$9&gt;$F434,"Atrasado","Pendente"))))</f>
        <v/>
      </c>
      <c r="J434" s="126">
        <f>IF($I434="Atrasado",'Config'!$C$9-$F434,"")</f>
        <v/>
      </c>
      <c r="K434" s="127">
        <f>IF(AND($E434&lt;&gt;"",$G434=""),$E434,0)</f>
        <v>0</v>
      </c>
      <c r="L434" s="127">
        <f>IF($I434="Atrasado",$E434,0)</f>
        <v>0</v>
      </c>
      <c r="M434" s="128">
        <f>IF($I434="Atrasado",$J434+ROW()/1000000,0)</f>
        <v>0</v>
      </c>
    </row>
    <row r="435" spans="9:13" ht="16.5" customHeight="1">
      <c r="I435" s="66">
        <f>IF($E435="","",IF($G435&lt;&gt;"","Pago",IF($F435="","Pendente",IF('Config'!$C$9&gt;$F435,"Atrasado","Pendente"))))</f>
        <v/>
      </c>
      <c r="J435" s="126">
        <f>IF($I435="Atrasado",'Config'!$C$9-$F435,"")</f>
        <v/>
      </c>
      <c r="K435" s="127">
        <f>IF(AND($E435&lt;&gt;"",$G435=""),$E435,0)</f>
        <v>0</v>
      </c>
      <c r="L435" s="127">
        <f>IF($I435="Atrasado",$E435,0)</f>
        <v>0</v>
      </c>
      <c r="M435" s="128">
        <f>IF($I435="Atrasado",$J435+ROW()/1000000,0)</f>
        <v>0</v>
      </c>
    </row>
    <row r="436" spans="9:13" ht="16.5" customHeight="1">
      <c r="I436" s="66">
        <f>IF($E436="","",IF($G436&lt;&gt;"","Pago",IF($F436="","Pendente",IF('Config'!$C$9&gt;$F436,"Atrasado","Pendente"))))</f>
        <v/>
      </c>
      <c r="J436" s="126">
        <f>IF($I436="Atrasado",'Config'!$C$9-$F436,"")</f>
        <v/>
      </c>
      <c r="K436" s="127">
        <f>IF(AND($E436&lt;&gt;"",$G436=""),$E436,0)</f>
        <v>0</v>
      </c>
      <c r="L436" s="127">
        <f>IF($I436="Atrasado",$E436,0)</f>
        <v>0</v>
      </c>
      <c r="M436" s="128">
        <f>IF($I436="Atrasado",$J436+ROW()/1000000,0)</f>
        <v>0</v>
      </c>
    </row>
    <row r="437" spans="9:13" ht="16.5" customHeight="1">
      <c r="I437" s="66">
        <f>IF($E437="","",IF($G437&lt;&gt;"","Pago",IF($F437="","Pendente",IF('Config'!$C$9&gt;$F437,"Atrasado","Pendente"))))</f>
        <v/>
      </c>
      <c r="J437" s="126">
        <f>IF($I437="Atrasado",'Config'!$C$9-$F437,"")</f>
        <v/>
      </c>
      <c r="K437" s="127">
        <f>IF(AND($E437&lt;&gt;"",$G437=""),$E437,0)</f>
        <v>0</v>
      </c>
      <c r="L437" s="127">
        <f>IF($I437="Atrasado",$E437,0)</f>
        <v>0</v>
      </c>
      <c r="M437" s="128">
        <f>IF($I437="Atrasado",$J437+ROW()/1000000,0)</f>
        <v>0</v>
      </c>
    </row>
    <row r="438" spans="9:13" ht="16.5" customHeight="1">
      <c r="I438" s="66">
        <f>IF($E438="","",IF($G438&lt;&gt;"","Pago",IF($F438="","Pendente",IF('Config'!$C$9&gt;$F438,"Atrasado","Pendente"))))</f>
        <v/>
      </c>
      <c r="J438" s="126">
        <f>IF($I438="Atrasado",'Config'!$C$9-$F438,"")</f>
        <v/>
      </c>
      <c r="K438" s="127">
        <f>IF(AND($E438&lt;&gt;"",$G438=""),$E438,0)</f>
        <v>0</v>
      </c>
      <c r="L438" s="127">
        <f>IF($I438="Atrasado",$E438,0)</f>
        <v>0</v>
      </c>
      <c r="M438" s="128">
        <f>IF($I438="Atrasado",$J438+ROW()/1000000,0)</f>
        <v>0</v>
      </c>
    </row>
    <row r="439" spans="9:13" ht="16.5" customHeight="1">
      <c r="I439" s="66">
        <f>IF($E439="","",IF($G439&lt;&gt;"","Pago",IF($F439="","Pendente",IF('Config'!$C$9&gt;$F439,"Atrasado","Pendente"))))</f>
        <v/>
      </c>
      <c r="J439" s="126">
        <f>IF($I439="Atrasado",'Config'!$C$9-$F439,"")</f>
        <v/>
      </c>
      <c r="K439" s="127">
        <f>IF(AND($E439&lt;&gt;"",$G439=""),$E439,0)</f>
        <v>0</v>
      </c>
      <c r="L439" s="127">
        <f>IF($I439="Atrasado",$E439,0)</f>
        <v>0</v>
      </c>
      <c r="M439" s="128">
        <f>IF($I439="Atrasado",$J439+ROW()/1000000,0)</f>
        <v>0</v>
      </c>
    </row>
    <row r="440" spans="9:13" ht="16.5" customHeight="1">
      <c r="I440" s="66">
        <f>IF($E440="","",IF($G440&lt;&gt;"","Pago",IF($F440="","Pendente",IF('Config'!$C$9&gt;$F440,"Atrasado","Pendente"))))</f>
        <v/>
      </c>
      <c r="J440" s="126">
        <f>IF($I440="Atrasado",'Config'!$C$9-$F440,"")</f>
        <v/>
      </c>
      <c r="K440" s="127">
        <f>IF(AND($E440&lt;&gt;"",$G440=""),$E440,0)</f>
        <v>0</v>
      </c>
      <c r="L440" s="127">
        <f>IF($I440="Atrasado",$E440,0)</f>
        <v>0</v>
      </c>
      <c r="M440" s="128">
        <f>IF($I440="Atrasado",$J440+ROW()/1000000,0)</f>
        <v>0</v>
      </c>
    </row>
    <row r="441" spans="9:13" ht="16.5" customHeight="1">
      <c r="I441" s="66">
        <f>IF($E441="","",IF($G441&lt;&gt;"","Pago",IF($F441="","Pendente",IF('Config'!$C$9&gt;$F441,"Atrasado","Pendente"))))</f>
        <v/>
      </c>
      <c r="J441" s="126">
        <f>IF($I441="Atrasado",'Config'!$C$9-$F441,"")</f>
        <v/>
      </c>
      <c r="K441" s="127">
        <f>IF(AND($E441&lt;&gt;"",$G441=""),$E441,0)</f>
        <v>0</v>
      </c>
      <c r="L441" s="127">
        <f>IF($I441="Atrasado",$E441,0)</f>
        <v>0</v>
      </c>
      <c r="M441" s="128">
        <f>IF($I441="Atrasado",$J441+ROW()/1000000,0)</f>
        <v>0</v>
      </c>
    </row>
    <row r="442" spans="9:13" ht="16.5" customHeight="1">
      <c r="I442" s="66">
        <f>IF($E442="","",IF($G442&lt;&gt;"","Pago",IF($F442="","Pendente",IF('Config'!$C$9&gt;$F442,"Atrasado","Pendente"))))</f>
        <v/>
      </c>
      <c r="J442" s="126">
        <f>IF($I442="Atrasado",'Config'!$C$9-$F442,"")</f>
        <v/>
      </c>
      <c r="K442" s="127">
        <f>IF(AND($E442&lt;&gt;"",$G442=""),$E442,0)</f>
        <v>0</v>
      </c>
      <c r="L442" s="127">
        <f>IF($I442="Atrasado",$E442,0)</f>
        <v>0</v>
      </c>
      <c r="M442" s="128">
        <f>IF($I442="Atrasado",$J442+ROW()/1000000,0)</f>
        <v>0</v>
      </c>
    </row>
    <row r="443" spans="9:13" ht="16.5" customHeight="1">
      <c r="I443" s="66">
        <f>IF($E443="","",IF($G443&lt;&gt;"","Pago",IF($F443="","Pendente",IF('Config'!$C$9&gt;$F443,"Atrasado","Pendente"))))</f>
        <v/>
      </c>
      <c r="J443" s="126">
        <f>IF($I443="Atrasado",'Config'!$C$9-$F443,"")</f>
        <v/>
      </c>
      <c r="K443" s="127">
        <f>IF(AND($E443&lt;&gt;"",$G443=""),$E443,0)</f>
        <v>0</v>
      </c>
      <c r="L443" s="127">
        <f>IF($I443="Atrasado",$E443,0)</f>
        <v>0</v>
      </c>
      <c r="M443" s="128">
        <f>IF($I443="Atrasado",$J443+ROW()/1000000,0)</f>
        <v>0</v>
      </c>
    </row>
    <row r="444" spans="9:13" ht="16.5" customHeight="1">
      <c r="I444" s="66">
        <f>IF($E444="","",IF($G444&lt;&gt;"","Pago",IF($F444="","Pendente",IF('Config'!$C$9&gt;$F444,"Atrasado","Pendente"))))</f>
        <v/>
      </c>
      <c r="J444" s="126">
        <f>IF($I444="Atrasado",'Config'!$C$9-$F444,"")</f>
        <v/>
      </c>
      <c r="K444" s="127">
        <f>IF(AND($E444&lt;&gt;"",$G444=""),$E444,0)</f>
        <v>0</v>
      </c>
      <c r="L444" s="127">
        <f>IF($I444="Atrasado",$E444,0)</f>
        <v>0</v>
      </c>
      <c r="M444" s="128">
        <f>IF($I444="Atrasado",$J444+ROW()/1000000,0)</f>
        <v>0</v>
      </c>
    </row>
    <row r="445" spans="9:13" ht="16.5" customHeight="1">
      <c r="I445" s="66">
        <f>IF($E445="","",IF($G445&lt;&gt;"","Pago",IF($F445="","Pendente",IF('Config'!$C$9&gt;$F445,"Atrasado","Pendente"))))</f>
        <v/>
      </c>
      <c r="J445" s="126">
        <f>IF($I445="Atrasado",'Config'!$C$9-$F445,"")</f>
        <v/>
      </c>
      <c r="K445" s="127">
        <f>IF(AND($E445&lt;&gt;"",$G445=""),$E445,0)</f>
        <v>0</v>
      </c>
      <c r="L445" s="127">
        <f>IF($I445="Atrasado",$E445,0)</f>
        <v>0</v>
      </c>
      <c r="M445" s="128">
        <f>IF($I445="Atrasado",$J445+ROW()/1000000,0)</f>
        <v>0</v>
      </c>
    </row>
    <row r="446" spans="9:13" ht="16.5" customHeight="1">
      <c r="I446" s="66">
        <f>IF($E446="","",IF($G446&lt;&gt;"","Pago",IF($F446="","Pendente",IF('Config'!$C$9&gt;$F446,"Atrasado","Pendente"))))</f>
        <v/>
      </c>
      <c r="J446" s="126">
        <f>IF($I446="Atrasado",'Config'!$C$9-$F446,"")</f>
        <v/>
      </c>
      <c r="K446" s="127">
        <f>IF(AND($E446&lt;&gt;"",$G446=""),$E446,0)</f>
        <v>0</v>
      </c>
      <c r="L446" s="127">
        <f>IF($I446="Atrasado",$E446,0)</f>
        <v>0</v>
      </c>
      <c r="M446" s="128">
        <f>IF($I446="Atrasado",$J446+ROW()/1000000,0)</f>
        <v>0</v>
      </c>
    </row>
    <row r="447" spans="9:13" ht="16.5" customHeight="1">
      <c r="I447" s="66">
        <f>IF($E447="","",IF($G447&lt;&gt;"","Pago",IF($F447="","Pendente",IF('Config'!$C$9&gt;$F447,"Atrasado","Pendente"))))</f>
        <v/>
      </c>
      <c r="J447" s="126">
        <f>IF($I447="Atrasado",'Config'!$C$9-$F447,"")</f>
        <v/>
      </c>
      <c r="K447" s="127">
        <f>IF(AND($E447&lt;&gt;"",$G447=""),$E447,0)</f>
        <v>0</v>
      </c>
      <c r="L447" s="127">
        <f>IF($I447="Atrasado",$E447,0)</f>
        <v>0</v>
      </c>
      <c r="M447" s="128">
        <f>IF($I447="Atrasado",$J447+ROW()/1000000,0)</f>
        <v>0</v>
      </c>
    </row>
    <row r="448" spans="9:13" ht="16.5" customHeight="1">
      <c r="I448" s="66">
        <f>IF($E448="","",IF($G448&lt;&gt;"","Pago",IF($F448="","Pendente",IF('Config'!$C$9&gt;$F448,"Atrasado","Pendente"))))</f>
        <v/>
      </c>
      <c r="J448" s="126">
        <f>IF($I448="Atrasado",'Config'!$C$9-$F448,"")</f>
        <v/>
      </c>
      <c r="K448" s="127">
        <f>IF(AND($E448&lt;&gt;"",$G448=""),$E448,0)</f>
        <v>0</v>
      </c>
      <c r="L448" s="127">
        <f>IF($I448="Atrasado",$E448,0)</f>
        <v>0</v>
      </c>
      <c r="M448" s="128">
        <f>IF($I448="Atrasado",$J448+ROW()/1000000,0)</f>
        <v>0</v>
      </c>
    </row>
    <row r="449" spans="9:13" ht="16.5" customHeight="1">
      <c r="I449" s="66">
        <f>IF($E449="","",IF($G449&lt;&gt;"","Pago",IF($F449="","Pendente",IF('Config'!$C$9&gt;$F449,"Atrasado","Pendente"))))</f>
        <v/>
      </c>
      <c r="J449" s="126">
        <f>IF($I449="Atrasado",'Config'!$C$9-$F449,"")</f>
        <v/>
      </c>
      <c r="K449" s="127">
        <f>IF(AND($E449&lt;&gt;"",$G449=""),$E449,0)</f>
        <v>0</v>
      </c>
      <c r="L449" s="127">
        <f>IF($I449="Atrasado",$E449,0)</f>
        <v>0</v>
      </c>
      <c r="M449" s="128">
        <f>IF($I449="Atrasado",$J449+ROW()/1000000,0)</f>
        <v>0</v>
      </c>
    </row>
    <row r="450" spans="9:13" ht="16.5" customHeight="1">
      <c r="I450" s="66">
        <f>IF($E450="","",IF($G450&lt;&gt;"","Pago",IF($F450="","Pendente",IF('Config'!$C$9&gt;$F450,"Atrasado","Pendente"))))</f>
        <v/>
      </c>
      <c r="J450" s="126">
        <f>IF($I450="Atrasado",'Config'!$C$9-$F450,"")</f>
        <v/>
      </c>
      <c r="K450" s="127">
        <f>IF(AND($E450&lt;&gt;"",$G450=""),$E450,0)</f>
        <v>0</v>
      </c>
      <c r="L450" s="127">
        <f>IF($I450="Atrasado",$E450,0)</f>
        <v>0</v>
      </c>
      <c r="M450" s="128">
        <f>IF($I450="Atrasado",$J450+ROW()/1000000,0)</f>
        <v>0</v>
      </c>
    </row>
    <row r="451" spans="9:13" ht="16.5" customHeight="1">
      <c r="I451" s="66">
        <f>IF($E451="","",IF($G451&lt;&gt;"","Pago",IF($F451="","Pendente",IF('Config'!$C$9&gt;$F451,"Atrasado","Pendente"))))</f>
        <v/>
      </c>
      <c r="J451" s="126">
        <f>IF($I451="Atrasado",'Config'!$C$9-$F451,"")</f>
        <v/>
      </c>
      <c r="K451" s="127">
        <f>IF(AND($E451&lt;&gt;"",$G451=""),$E451,0)</f>
        <v>0</v>
      </c>
      <c r="L451" s="127">
        <f>IF($I451="Atrasado",$E451,0)</f>
        <v>0</v>
      </c>
      <c r="M451" s="128">
        <f>IF($I451="Atrasado",$J451+ROW()/1000000,0)</f>
        <v>0</v>
      </c>
    </row>
    <row r="452" spans="9:13" ht="16.5" customHeight="1">
      <c r="I452" s="66">
        <f>IF($E452="","",IF($G452&lt;&gt;"","Pago",IF($F452="","Pendente",IF('Config'!$C$9&gt;$F452,"Atrasado","Pendente"))))</f>
        <v/>
      </c>
      <c r="J452" s="126">
        <f>IF($I452="Atrasado",'Config'!$C$9-$F452,"")</f>
        <v/>
      </c>
      <c r="K452" s="127">
        <f>IF(AND($E452&lt;&gt;"",$G452=""),$E452,0)</f>
        <v>0</v>
      </c>
      <c r="L452" s="127">
        <f>IF($I452="Atrasado",$E452,0)</f>
        <v>0</v>
      </c>
      <c r="M452" s="128">
        <f>IF($I452="Atrasado",$J452+ROW()/1000000,0)</f>
        <v>0</v>
      </c>
    </row>
    <row r="453" spans="9:13" ht="16.5" customHeight="1">
      <c r="I453" s="66">
        <f>IF($E453="","",IF($G453&lt;&gt;"","Pago",IF($F453="","Pendente",IF('Config'!$C$9&gt;$F453,"Atrasado","Pendente"))))</f>
        <v/>
      </c>
      <c r="J453" s="126">
        <f>IF($I453="Atrasado",'Config'!$C$9-$F453,"")</f>
        <v/>
      </c>
      <c r="K453" s="127">
        <f>IF(AND($E453&lt;&gt;"",$G453=""),$E453,0)</f>
        <v>0</v>
      </c>
      <c r="L453" s="127">
        <f>IF($I453="Atrasado",$E453,0)</f>
        <v>0</v>
      </c>
      <c r="M453" s="128">
        <f>IF($I453="Atrasado",$J453+ROW()/1000000,0)</f>
        <v>0</v>
      </c>
    </row>
    <row r="454" spans="9:13" ht="16.5" customHeight="1">
      <c r="I454" s="66">
        <f>IF($E454="","",IF($G454&lt;&gt;"","Pago",IF($F454="","Pendente",IF('Config'!$C$9&gt;$F454,"Atrasado","Pendente"))))</f>
        <v/>
      </c>
      <c r="J454" s="126">
        <f>IF($I454="Atrasado",'Config'!$C$9-$F454,"")</f>
        <v/>
      </c>
      <c r="K454" s="127">
        <f>IF(AND($E454&lt;&gt;"",$G454=""),$E454,0)</f>
        <v>0</v>
      </c>
      <c r="L454" s="127">
        <f>IF($I454="Atrasado",$E454,0)</f>
        <v>0</v>
      </c>
      <c r="M454" s="128">
        <f>IF($I454="Atrasado",$J454+ROW()/1000000,0)</f>
        <v>0</v>
      </c>
    </row>
    <row r="455" spans="9:13" ht="16.5" customHeight="1">
      <c r="I455" s="66">
        <f>IF($E455="","",IF($G455&lt;&gt;"","Pago",IF($F455="","Pendente",IF('Config'!$C$9&gt;$F455,"Atrasado","Pendente"))))</f>
        <v/>
      </c>
      <c r="J455" s="126">
        <f>IF($I455="Atrasado",'Config'!$C$9-$F455,"")</f>
        <v/>
      </c>
      <c r="K455" s="127">
        <f>IF(AND($E455&lt;&gt;"",$G455=""),$E455,0)</f>
        <v>0</v>
      </c>
      <c r="L455" s="127">
        <f>IF($I455="Atrasado",$E455,0)</f>
        <v>0</v>
      </c>
      <c r="M455" s="128">
        <f>IF($I455="Atrasado",$J455+ROW()/1000000,0)</f>
        <v>0</v>
      </c>
    </row>
    <row r="456" spans="9:13" ht="16.5" customHeight="1">
      <c r="I456" s="66">
        <f>IF($E456="","",IF($G456&lt;&gt;"","Pago",IF($F456="","Pendente",IF('Config'!$C$9&gt;$F456,"Atrasado","Pendente"))))</f>
        <v/>
      </c>
      <c r="J456" s="126">
        <f>IF($I456="Atrasado",'Config'!$C$9-$F456,"")</f>
        <v/>
      </c>
      <c r="K456" s="127">
        <f>IF(AND($E456&lt;&gt;"",$G456=""),$E456,0)</f>
        <v>0</v>
      </c>
      <c r="L456" s="127">
        <f>IF($I456="Atrasado",$E456,0)</f>
        <v>0</v>
      </c>
      <c r="M456" s="128">
        <f>IF($I456="Atrasado",$J456+ROW()/1000000,0)</f>
        <v>0</v>
      </c>
    </row>
    <row r="457" spans="9:13" ht="16.5" customHeight="1">
      <c r="I457" s="66">
        <f>IF($E457="","",IF($G457&lt;&gt;"","Pago",IF($F457="","Pendente",IF('Config'!$C$9&gt;$F457,"Atrasado","Pendente"))))</f>
        <v/>
      </c>
      <c r="J457" s="126">
        <f>IF($I457="Atrasado",'Config'!$C$9-$F457,"")</f>
        <v/>
      </c>
      <c r="K457" s="127">
        <f>IF(AND($E457&lt;&gt;"",$G457=""),$E457,0)</f>
        <v>0</v>
      </c>
      <c r="L457" s="127">
        <f>IF($I457="Atrasado",$E457,0)</f>
        <v>0</v>
      </c>
      <c r="M457" s="128">
        <f>IF($I457="Atrasado",$J457+ROW()/1000000,0)</f>
        <v>0</v>
      </c>
    </row>
    <row r="458" spans="9:13" ht="16.5" customHeight="1">
      <c r="I458" s="66">
        <f>IF($E458="","",IF($G458&lt;&gt;"","Pago",IF($F458="","Pendente",IF('Config'!$C$9&gt;$F458,"Atrasado","Pendente"))))</f>
        <v/>
      </c>
      <c r="J458" s="126">
        <f>IF($I458="Atrasado",'Config'!$C$9-$F458,"")</f>
        <v/>
      </c>
      <c r="K458" s="127">
        <f>IF(AND($E458&lt;&gt;"",$G458=""),$E458,0)</f>
        <v>0</v>
      </c>
      <c r="L458" s="127">
        <f>IF($I458="Atrasado",$E458,0)</f>
        <v>0</v>
      </c>
      <c r="M458" s="128">
        <f>IF($I458="Atrasado",$J458+ROW()/1000000,0)</f>
        <v>0</v>
      </c>
    </row>
    <row r="459" spans="9:13" ht="16.5" customHeight="1">
      <c r="I459" s="66">
        <f>IF($E459="","",IF($G459&lt;&gt;"","Pago",IF($F459="","Pendente",IF('Config'!$C$9&gt;$F459,"Atrasado","Pendente"))))</f>
        <v/>
      </c>
      <c r="J459" s="126">
        <f>IF($I459="Atrasado",'Config'!$C$9-$F459,"")</f>
        <v/>
      </c>
      <c r="K459" s="127">
        <f>IF(AND($E459&lt;&gt;"",$G459=""),$E459,0)</f>
        <v>0</v>
      </c>
      <c r="L459" s="127">
        <f>IF($I459="Atrasado",$E459,0)</f>
        <v>0</v>
      </c>
      <c r="M459" s="128">
        <f>IF($I459="Atrasado",$J459+ROW()/1000000,0)</f>
        <v>0</v>
      </c>
    </row>
    <row r="460" spans="9:13" ht="16.5" customHeight="1">
      <c r="I460" s="66">
        <f>IF($E460="","",IF($G460&lt;&gt;"","Pago",IF($F460="","Pendente",IF('Config'!$C$9&gt;$F460,"Atrasado","Pendente"))))</f>
        <v/>
      </c>
      <c r="J460" s="126">
        <f>IF($I460="Atrasado",'Config'!$C$9-$F460,"")</f>
        <v/>
      </c>
      <c r="K460" s="127">
        <f>IF(AND($E460&lt;&gt;"",$G460=""),$E460,0)</f>
        <v>0</v>
      </c>
      <c r="L460" s="127">
        <f>IF($I460="Atrasado",$E460,0)</f>
        <v>0</v>
      </c>
      <c r="M460" s="128">
        <f>IF($I460="Atrasado",$J460+ROW()/1000000,0)</f>
        <v>0</v>
      </c>
    </row>
    <row r="461" spans="9:13" ht="16.5" customHeight="1">
      <c r="I461" s="66">
        <f>IF($E461="","",IF($G461&lt;&gt;"","Pago",IF($F461="","Pendente",IF('Config'!$C$9&gt;$F461,"Atrasado","Pendente"))))</f>
        <v/>
      </c>
      <c r="J461" s="126">
        <f>IF($I461="Atrasado",'Config'!$C$9-$F461,"")</f>
        <v/>
      </c>
      <c r="K461" s="127">
        <f>IF(AND($E461&lt;&gt;"",$G461=""),$E461,0)</f>
        <v>0</v>
      </c>
      <c r="L461" s="127">
        <f>IF($I461="Atrasado",$E461,0)</f>
        <v>0</v>
      </c>
      <c r="M461" s="128">
        <f>IF($I461="Atrasado",$J461+ROW()/1000000,0)</f>
        <v>0</v>
      </c>
    </row>
    <row r="462" spans="9:13" ht="16.5" customHeight="1">
      <c r="I462" s="66">
        <f>IF($E462="","",IF($G462&lt;&gt;"","Pago",IF($F462="","Pendente",IF('Config'!$C$9&gt;$F462,"Atrasado","Pendente"))))</f>
        <v/>
      </c>
      <c r="J462" s="126">
        <f>IF($I462="Atrasado",'Config'!$C$9-$F462,"")</f>
        <v/>
      </c>
      <c r="K462" s="127">
        <f>IF(AND($E462&lt;&gt;"",$G462=""),$E462,0)</f>
        <v>0</v>
      </c>
      <c r="L462" s="127">
        <f>IF($I462="Atrasado",$E462,0)</f>
        <v>0</v>
      </c>
      <c r="M462" s="128">
        <f>IF($I462="Atrasado",$J462+ROW()/1000000,0)</f>
        <v>0</v>
      </c>
    </row>
    <row r="463" spans="9:13" ht="16.5" customHeight="1">
      <c r="I463" s="66">
        <f>IF($E463="","",IF($G463&lt;&gt;"","Pago",IF($F463="","Pendente",IF('Config'!$C$9&gt;$F463,"Atrasado","Pendente"))))</f>
        <v/>
      </c>
      <c r="J463" s="126">
        <f>IF($I463="Atrasado",'Config'!$C$9-$F463,"")</f>
        <v/>
      </c>
      <c r="K463" s="127">
        <f>IF(AND($E463&lt;&gt;"",$G463=""),$E463,0)</f>
        <v>0</v>
      </c>
      <c r="L463" s="127">
        <f>IF($I463="Atrasado",$E463,0)</f>
        <v>0</v>
      </c>
      <c r="M463" s="128">
        <f>IF($I463="Atrasado",$J463+ROW()/1000000,0)</f>
        <v>0</v>
      </c>
    </row>
    <row r="464" spans="9:13" ht="16.5" customHeight="1">
      <c r="I464" s="66">
        <f>IF($E464="","",IF($G464&lt;&gt;"","Pago",IF($F464="","Pendente",IF('Config'!$C$9&gt;$F464,"Atrasado","Pendente"))))</f>
        <v/>
      </c>
      <c r="J464" s="126">
        <f>IF($I464="Atrasado",'Config'!$C$9-$F464,"")</f>
        <v/>
      </c>
      <c r="K464" s="127">
        <f>IF(AND($E464&lt;&gt;"",$G464=""),$E464,0)</f>
        <v>0</v>
      </c>
      <c r="L464" s="127">
        <f>IF($I464="Atrasado",$E464,0)</f>
        <v>0</v>
      </c>
      <c r="M464" s="128">
        <f>IF($I464="Atrasado",$J464+ROW()/1000000,0)</f>
        <v>0</v>
      </c>
    </row>
    <row r="465" spans="9:13" ht="16.5" customHeight="1">
      <c r="I465" s="66">
        <f>IF($E465="","",IF($G465&lt;&gt;"","Pago",IF($F465="","Pendente",IF('Config'!$C$9&gt;$F465,"Atrasado","Pendente"))))</f>
        <v/>
      </c>
      <c r="J465" s="126">
        <f>IF($I465="Atrasado",'Config'!$C$9-$F465,"")</f>
        <v/>
      </c>
      <c r="K465" s="127">
        <f>IF(AND($E465&lt;&gt;"",$G465=""),$E465,0)</f>
        <v>0</v>
      </c>
      <c r="L465" s="127">
        <f>IF($I465="Atrasado",$E465,0)</f>
        <v>0</v>
      </c>
      <c r="M465" s="128">
        <f>IF($I465="Atrasado",$J465+ROW()/1000000,0)</f>
        <v>0</v>
      </c>
    </row>
    <row r="466" spans="9:13" ht="16.5" customHeight="1">
      <c r="I466" s="66">
        <f>IF($E466="","",IF($G466&lt;&gt;"","Pago",IF($F466="","Pendente",IF('Config'!$C$9&gt;$F466,"Atrasado","Pendente"))))</f>
        <v/>
      </c>
      <c r="J466" s="126">
        <f>IF($I466="Atrasado",'Config'!$C$9-$F466,"")</f>
        <v/>
      </c>
      <c r="K466" s="127">
        <f>IF(AND($E466&lt;&gt;"",$G466=""),$E466,0)</f>
        <v>0</v>
      </c>
      <c r="L466" s="127">
        <f>IF($I466="Atrasado",$E466,0)</f>
        <v>0</v>
      </c>
      <c r="M466" s="128">
        <f>IF($I466="Atrasado",$J466+ROW()/1000000,0)</f>
        <v>0</v>
      </c>
    </row>
    <row r="467" spans="9:13" ht="16.5" customHeight="1">
      <c r="I467" s="66">
        <f>IF($E467="","",IF($G467&lt;&gt;"","Pago",IF($F467="","Pendente",IF('Config'!$C$9&gt;$F467,"Atrasado","Pendente"))))</f>
        <v/>
      </c>
      <c r="J467" s="126">
        <f>IF($I467="Atrasado",'Config'!$C$9-$F467,"")</f>
        <v/>
      </c>
      <c r="K467" s="127">
        <f>IF(AND($E467&lt;&gt;"",$G467=""),$E467,0)</f>
        <v>0</v>
      </c>
      <c r="L467" s="127">
        <f>IF($I467="Atrasado",$E467,0)</f>
        <v>0</v>
      </c>
      <c r="M467" s="128">
        <f>IF($I467="Atrasado",$J467+ROW()/1000000,0)</f>
        <v>0</v>
      </c>
    </row>
    <row r="468" spans="9:13" ht="16.5" customHeight="1">
      <c r="I468" s="66">
        <f>IF($E468="","",IF($G468&lt;&gt;"","Pago",IF($F468="","Pendente",IF('Config'!$C$9&gt;$F468,"Atrasado","Pendente"))))</f>
        <v/>
      </c>
      <c r="J468" s="126">
        <f>IF($I468="Atrasado",'Config'!$C$9-$F468,"")</f>
        <v/>
      </c>
      <c r="K468" s="127">
        <f>IF(AND($E468&lt;&gt;"",$G468=""),$E468,0)</f>
        <v>0</v>
      </c>
      <c r="L468" s="127">
        <f>IF($I468="Atrasado",$E468,0)</f>
        <v>0</v>
      </c>
      <c r="M468" s="128">
        <f>IF($I468="Atrasado",$J468+ROW()/1000000,0)</f>
        <v>0</v>
      </c>
    </row>
    <row r="469" spans="9:13" ht="16.5" customHeight="1">
      <c r="I469" s="66">
        <f>IF($E469="","",IF($G469&lt;&gt;"","Pago",IF($F469="","Pendente",IF('Config'!$C$9&gt;$F469,"Atrasado","Pendente"))))</f>
        <v/>
      </c>
      <c r="J469" s="126">
        <f>IF($I469="Atrasado",'Config'!$C$9-$F469,"")</f>
        <v/>
      </c>
      <c r="K469" s="127">
        <f>IF(AND($E469&lt;&gt;"",$G469=""),$E469,0)</f>
        <v>0</v>
      </c>
      <c r="L469" s="127">
        <f>IF($I469="Atrasado",$E469,0)</f>
        <v>0</v>
      </c>
      <c r="M469" s="128">
        <f>IF($I469="Atrasado",$J469+ROW()/1000000,0)</f>
        <v>0</v>
      </c>
    </row>
    <row r="470" spans="9:13" ht="16.5" customHeight="1">
      <c r="I470" s="66">
        <f>IF($E470="","",IF($G470&lt;&gt;"","Pago",IF($F470="","Pendente",IF('Config'!$C$9&gt;$F470,"Atrasado","Pendente"))))</f>
        <v/>
      </c>
      <c r="J470" s="126">
        <f>IF($I470="Atrasado",'Config'!$C$9-$F470,"")</f>
        <v/>
      </c>
      <c r="K470" s="127">
        <f>IF(AND($E470&lt;&gt;"",$G470=""),$E470,0)</f>
        <v>0</v>
      </c>
      <c r="L470" s="127">
        <f>IF($I470="Atrasado",$E470,0)</f>
        <v>0</v>
      </c>
      <c r="M470" s="128">
        <f>IF($I470="Atrasado",$J470+ROW()/1000000,0)</f>
        <v>0</v>
      </c>
    </row>
    <row r="471" spans="9:13" ht="16.5" customHeight="1">
      <c r="I471" s="66">
        <f>IF($E471="","",IF($G471&lt;&gt;"","Pago",IF($F471="","Pendente",IF('Config'!$C$9&gt;$F471,"Atrasado","Pendente"))))</f>
        <v/>
      </c>
      <c r="J471" s="126">
        <f>IF($I471="Atrasado",'Config'!$C$9-$F471,"")</f>
        <v/>
      </c>
      <c r="K471" s="127">
        <f>IF(AND($E471&lt;&gt;"",$G471=""),$E471,0)</f>
        <v>0</v>
      </c>
      <c r="L471" s="127">
        <f>IF($I471="Atrasado",$E471,0)</f>
        <v>0</v>
      </c>
      <c r="M471" s="128">
        <f>IF($I471="Atrasado",$J471+ROW()/1000000,0)</f>
        <v>0</v>
      </c>
    </row>
    <row r="472" spans="9:13" ht="16.5" customHeight="1">
      <c r="I472" s="66">
        <f>IF($E472="","",IF($G472&lt;&gt;"","Pago",IF($F472="","Pendente",IF('Config'!$C$9&gt;$F472,"Atrasado","Pendente"))))</f>
        <v/>
      </c>
      <c r="J472" s="126">
        <f>IF($I472="Atrasado",'Config'!$C$9-$F472,"")</f>
        <v/>
      </c>
      <c r="K472" s="127">
        <f>IF(AND($E472&lt;&gt;"",$G472=""),$E472,0)</f>
        <v>0</v>
      </c>
      <c r="L472" s="127">
        <f>IF($I472="Atrasado",$E472,0)</f>
        <v>0</v>
      </c>
      <c r="M472" s="128">
        <f>IF($I472="Atrasado",$J472+ROW()/1000000,0)</f>
        <v>0</v>
      </c>
    </row>
    <row r="473" spans="9:13" ht="16.5" customHeight="1">
      <c r="I473" s="66">
        <f>IF($E473="","",IF($G473&lt;&gt;"","Pago",IF($F473="","Pendente",IF('Config'!$C$9&gt;$F473,"Atrasado","Pendente"))))</f>
        <v/>
      </c>
      <c r="J473" s="126">
        <f>IF($I473="Atrasado",'Config'!$C$9-$F473,"")</f>
        <v/>
      </c>
      <c r="K473" s="127">
        <f>IF(AND($E473&lt;&gt;"",$G473=""),$E473,0)</f>
        <v>0</v>
      </c>
      <c r="L473" s="127">
        <f>IF($I473="Atrasado",$E473,0)</f>
        <v>0</v>
      </c>
      <c r="M473" s="128">
        <f>IF($I473="Atrasado",$J473+ROW()/1000000,0)</f>
        <v>0</v>
      </c>
    </row>
    <row r="474" spans="9:13" ht="16.5" customHeight="1">
      <c r="I474" s="66">
        <f>IF($E474="","",IF($G474&lt;&gt;"","Pago",IF($F474="","Pendente",IF('Config'!$C$9&gt;$F474,"Atrasado","Pendente"))))</f>
        <v/>
      </c>
      <c r="J474" s="126">
        <f>IF($I474="Atrasado",'Config'!$C$9-$F474,"")</f>
        <v/>
      </c>
      <c r="K474" s="127">
        <f>IF(AND($E474&lt;&gt;"",$G474=""),$E474,0)</f>
        <v>0</v>
      </c>
      <c r="L474" s="127">
        <f>IF($I474="Atrasado",$E474,0)</f>
        <v>0</v>
      </c>
      <c r="M474" s="128">
        <f>IF($I474="Atrasado",$J474+ROW()/1000000,0)</f>
        <v>0</v>
      </c>
    </row>
    <row r="475" spans="9:13" ht="16.5" customHeight="1">
      <c r="I475" s="66">
        <f>IF($E475="","",IF($G475&lt;&gt;"","Pago",IF($F475="","Pendente",IF('Config'!$C$9&gt;$F475,"Atrasado","Pendente"))))</f>
        <v/>
      </c>
      <c r="J475" s="126">
        <f>IF($I475="Atrasado",'Config'!$C$9-$F475,"")</f>
        <v/>
      </c>
      <c r="K475" s="127">
        <f>IF(AND($E475&lt;&gt;"",$G475=""),$E475,0)</f>
        <v>0</v>
      </c>
      <c r="L475" s="127">
        <f>IF($I475="Atrasado",$E475,0)</f>
        <v>0</v>
      </c>
      <c r="M475" s="128">
        <f>IF($I475="Atrasado",$J475+ROW()/1000000,0)</f>
        <v>0</v>
      </c>
    </row>
    <row r="476" spans="9:13" ht="16.5" customHeight="1">
      <c r="I476" s="66">
        <f>IF($E476="","",IF($G476&lt;&gt;"","Pago",IF($F476="","Pendente",IF('Config'!$C$9&gt;$F476,"Atrasado","Pendente"))))</f>
        <v/>
      </c>
      <c r="J476" s="126">
        <f>IF($I476="Atrasado",'Config'!$C$9-$F476,"")</f>
        <v/>
      </c>
      <c r="K476" s="127">
        <f>IF(AND($E476&lt;&gt;"",$G476=""),$E476,0)</f>
        <v>0</v>
      </c>
      <c r="L476" s="127">
        <f>IF($I476="Atrasado",$E476,0)</f>
        <v>0</v>
      </c>
      <c r="M476" s="128">
        <f>IF($I476="Atrasado",$J476+ROW()/1000000,0)</f>
        <v>0</v>
      </c>
    </row>
    <row r="477" spans="9:13" ht="16.5" customHeight="1">
      <c r="I477" s="66">
        <f>IF($E477="","",IF($G477&lt;&gt;"","Pago",IF($F477="","Pendente",IF('Config'!$C$9&gt;$F477,"Atrasado","Pendente"))))</f>
        <v/>
      </c>
      <c r="J477" s="126">
        <f>IF($I477="Atrasado",'Config'!$C$9-$F477,"")</f>
        <v/>
      </c>
      <c r="K477" s="127">
        <f>IF(AND($E477&lt;&gt;"",$G477=""),$E477,0)</f>
        <v>0</v>
      </c>
      <c r="L477" s="127">
        <f>IF($I477="Atrasado",$E477,0)</f>
        <v>0</v>
      </c>
      <c r="M477" s="128">
        <f>IF($I477="Atrasado",$J477+ROW()/1000000,0)</f>
        <v>0</v>
      </c>
    </row>
    <row r="478" spans="9:13" ht="16.5" customHeight="1">
      <c r="I478" s="66">
        <f>IF($E478="","",IF($G478&lt;&gt;"","Pago",IF($F478="","Pendente",IF('Config'!$C$9&gt;$F478,"Atrasado","Pendente"))))</f>
        <v/>
      </c>
      <c r="J478" s="126">
        <f>IF($I478="Atrasado",'Config'!$C$9-$F478,"")</f>
        <v/>
      </c>
      <c r="K478" s="127">
        <f>IF(AND($E478&lt;&gt;"",$G478=""),$E478,0)</f>
        <v>0</v>
      </c>
      <c r="L478" s="127">
        <f>IF($I478="Atrasado",$E478,0)</f>
        <v>0</v>
      </c>
      <c r="M478" s="128">
        <f>IF($I478="Atrasado",$J478+ROW()/1000000,0)</f>
        <v>0</v>
      </c>
    </row>
    <row r="479" spans="9:13" ht="16.5" customHeight="1">
      <c r="I479" s="66">
        <f>IF($E479="","",IF($G479&lt;&gt;"","Pago",IF($F479="","Pendente",IF('Config'!$C$9&gt;$F479,"Atrasado","Pendente"))))</f>
        <v/>
      </c>
      <c r="J479" s="126">
        <f>IF($I479="Atrasado",'Config'!$C$9-$F479,"")</f>
        <v/>
      </c>
      <c r="K479" s="127">
        <f>IF(AND($E479&lt;&gt;"",$G479=""),$E479,0)</f>
        <v>0</v>
      </c>
      <c r="L479" s="127">
        <f>IF($I479="Atrasado",$E479,0)</f>
        <v>0</v>
      </c>
      <c r="M479" s="128">
        <f>IF($I479="Atrasado",$J479+ROW()/1000000,0)</f>
        <v>0</v>
      </c>
    </row>
    <row r="480" spans="9:13" ht="16.5" customHeight="1">
      <c r="I480" s="66">
        <f>IF($E480="","",IF($G480&lt;&gt;"","Pago",IF($F480="","Pendente",IF('Config'!$C$9&gt;$F480,"Atrasado","Pendente"))))</f>
        <v/>
      </c>
      <c r="J480" s="126">
        <f>IF($I480="Atrasado",'Config'!$C$9-$F480,"")</f>
        <v/>
      </c>
      <c r="K480" s="127">
        <f>IF(AND($E480&lt;&gt;"",$G480=""),$E480,0)</f>
        <v>0</v>
      </c>
      <c r="L480" s="127">
        <f>IF($I480="Atrasado",$E480,0)</f>
        <v>0</v>
      </c>
      <c r="M480" s="128">
        <f>IF($I480="Atrasado",$J480+ROW()/1000000,0)</f>
        <v>0</v>
      </c>
    </row>
    <row r="481" spans="9:13" ht="16.5" customHeight="1">
      <c r="I481" s="66">
        <f>IF($E481="","",IF($G481&lt;&gt;"","Pago",IF($F481="","Pendente",IF('Config'!$C$9&gt;$F481,"Atrasado","Pendente"))))</f>
        <v/>
      </c>
      <c r="J481" s="126">
        <f>IF($I481="Atrasado",'Config'!$C$9-$F481,"")</f>
        <v/>
      </c>
      <c r="K481" s="127">
        <f>IF(AND($E481&lt;&gt;"",$G481=""),$E481,0)</f>
        <v>0</v>
      </c>
      <c r="L481" s="127">
        <f>IF($I481="Atrasado",$E481,0)</f>
        <v>0</v>
      </c>
      <c r="M481" s="128">
        <f>IF($I481="Atrasado",$J481+ROW()/1000000,0)</f>
        <v>0</v>
      </c>
    </row>
    <row r="482" spans="9:13" ht="16.5" customHeight="1">
      <c r="I482" s="66">
        <f>IF($E482="","",IF($G482&lt;&gt;"","Pago",IF($F482="","Pendente",IF('Config'!$C$9&gt;$F482,"Atrasado","Pendente"))))</f>
        <v/>
      </c>
      <c r="J482" s="126">
        <f>IF($I482="Atrasado",'Config'!$C$9-$F482,"")</f>
        <v/>
      </c>
      <c r="K482" s="127">
        <f>IF(AND($E482&lt;&gt;"",$G482=""),$E482,0)</f>
        <v>0</v>
      </c>
      <c r="L482" s="127">
        <f>IF($I482="Atrasado",$E482,0)</f>
        <v>0</v>
      </c>
      <c r="M482" s="128">
        <f>IF($I482="Atrasado",$J482+ROW()/1000000,0)</f>
        <v>0</v>
      </c>
    </row>
    <row r="483" spans="9:13" ht="16.5" customHeight="1">
      <c r="I483" s="66">
        <f>IF($E483="","",IF($G483&lt;&gt;"","Pago",IF($F483="","Pendente",IF('Config'!$C$9&gt;$F483,"Atrasado","Pendente"))))</f>
        <v/>
      </c>
      <c r="J483" s="126">
        <f>IF($I483="Atrasado",'Config'!$C$9-$F483,"")</f>
        <v/>
      </c>
      <c r="K483" s="127">
        <f>IF(AND($E483&lt;&gt;"",$G483=""),$E483,0)</f>
        <v>0</v>
      </c>
      <c r="L483" s="127">
        <f>IF($I483="Atrasado",$E483,0)</f>
        <v>0</v>
      </c>
      <c r="M483" s="128">
        <f>IF($I483="Atrasado",$J483+ROW()/1000000,0)</f>
        <v>0</v>
      </c>
    </row>
    <row r="484" spans="9:13" ht="16.5" customHeight="1">
      <c r="I484" s="66">
        <f>IF($E484="","",IF($G484&lt;&gt;"","Pago",IF($F484="","Pendente",IF('Config'!$C$9&gt;$F484,"Atrasado","Pendente"))))</f>
        <v/>
      </c>
      <c r="J484" s="126">
        <f>IF($I484="Atrasado",'Config'!$C$9-$F484,"")</f>
        <v/>
      </c>
      <c r="K484" s="127">
        <f>IF(AND($E484&lt;&gt;"",$G484=""),$E484,0)</f>
        <v>0</v>
      </c>
      <c r="L484" s="127">
        <f>IF($I484="Atrasado",$E484,0)</f>
        <v>0</v>
      </c>
      <c r="M484" s="128">
        <f>IF($I484="Atrasado",$J484+ROW()/1000000,0)</f>
        <v>0</v>
      </c>
    </row>
    <row r="485" spans="9:13" ht="16.5" customHeight="1">
      <c r="I485" s="66">
        <f>IF($E485="","",IF($G485&lt;&gt;"","Pago",IF($F485="","Pendente",IF('Config'!$C$9&gt;$F485,"Atrasado","Pendente"))))</f>
        <v/>
      </c>
      <c r="J485" s="126">
        <f>IF($I485="Atrasado",'Config'!$C$9-$F485,"")</f>
        <v/>
      </c>
      <c r="K485" s="127">
        <f>IF(AND($E485&lt;&gt;"",$G485=""),$E485,0)</f>
        <v>0</v>
      </c>
      <c r="L485" s="127">
        <f>IF($I485="Atrasado",$E485,0)</f>
        <v>0</v>
      </c>
      <c r="M485" s="128">
        <f>IF($I485="Atrasado",$J485+ROW()/1000000,0)</f>
        <v>0</v>
      </c>
    </row>
    <row r="486" spans="9:13" ht="16.5" customHeight="1">
      <c r="I486" s="66">
        <f>IF($E486="","",IF($G486&lt;&gt;"","Pago",IF($F486="","Pendente",IF('Config'!$C$9&gt;$F486,"Atrasado","Pendente"))))</f>
        <v/>
      </c>
      <c r="J486" s="126">
        <f>IF($I486="Atrasado",'Config'!$C$9-$F486,"")</f>
        <v/>
      </c>
      <c r="K486" s="127">
        <f>IF(AND($E486&lt;&gt;"",$G486=""),$E486,0)</f>
        <v>0</v>
      </c>
      <c r="L486" s="127">
        <f>IF($I486="Atrasado",$E486,0)</f>
        <v>0</v>
      </c>
      <c r="M486" s="128">
        <f>IF($I486="Atrasado",$J486+ROW()/1000000,0)</f>
        <v>0</v>
      </c>
    </row>
    <row r="487" spans="9:13" ht="16.5" customHeight="1">
      <c r="I487" s="66">
        <f>IF($E487="","",IF($G487&lt;&gt;"","Pago",IF($F487="","Pendente",IF('Config'!$C$9&gt;$F487,"Atrasado","Pendente"))))</f>
        <v/>
      </c>
      <c r="J487" s="126">
        <f>IF($I487="Atrasado",'Config'!$C$9-$F487,"")</f>
        <v/>
      </c>
      <c r="K487" s="127">
        <f>IF(AND($E487&lt;&gt;"",$G487=""),$E487,0)</f>
        <v>0</v>
      </c>
      <c r="L487" s="127">
        <f>IF($I487="Atrasado",$E487,0)</f>
        <v>0</v>
      </c>
      <c r="M487" s="128">
        <f>IF($I487="Atrasado",$J487+ROW()/1000000,0)</f>
        <v>0</v>
      </c>
    </row>
    <row r="488" spans="9:13" ht="16.5" customHeight="1">
      <c r="I488" s="66">
        <f>IF($E488="","",IF($G488&lt;&gt;"","Pago",IF($F488="","Pendente",IF('Config'!$C$9&gt;$F488,"Atrasado","Pendente"))))</f>
        <v/>
      </c>
      <c r="J488" s="126">
        <f>IF($I488="Atrasado",'Config'!$C$9-$F488,"")</f>
        <v/>
      </c>
      <c r="K488" s="127">
        <f>IF(AND($E488&lt;&gt;"",$G488=""),$E488,0)</f>
        <v>0</v>
      </c>
      <c r="L488" s="127">
        <f>IF($I488="Atrasado",$E488,0)</f>
        <v>0</v>
      </c>
      <c r="M488" s="128">
        <f>IF($I488="Atrasado",$J488+ROW()/1000000,0)</f>
        <v>0</v>
      </c>
    </row>
    <row r="489" spans="9:13" ht="16.5" customHeight="1">
      <c r="I489" s="66">
        <f>IF($E489="","",IF($G489&lt;&gt;"","Pago",IF($F489="","Pendente",IF('Config'!$C$9&gt;$F489,"Atrasado","Pendente"))))</f>
        <v/>
      </c>
      <c r="J489" s="126">
        <f>IF($I489="Atrasado",'Config'!$C$9-$F489,"")</f>
        <v/>
      </c>
      <c r="K489" s="127">
        <f>IF(AND($E489&lt;&gt;"",$G489=""),$E489,0)</f>
        <v>0</v>
      </c>
      <c r="L489" s="127">
        <f>IF($I489="Atrasado",$E489,0)</f>
        <v>0</v>
      </c>
      <c r="M489" s="128">
        <f>IF($I489="Atrasado",$J489+ROW()/1000000,0)</f>
        <v>0</v>
      </c>
    </row>
    <row r="490" spans="9:13" ht="16.5" customHeight="1">
      <c r="I490" s="66">
        <f>IF($E490="","",IF($G490&lt;&gt;"","Pago",IF($F490="","Pendente",IF('Config'!$C$9&gt;$F490,"Atrasado","Pendente"))))</f>
        <v/>
      </c>
      <c r="J490" s="126">
        <f>IF($I490="Atrasado",'Config'!$C$9-$F490,"")</f>
        <v/>
      </c>
      <c r="K490" s="127">
        <f>IF(AND($E490&lt;&gt;"",$G490=""),$E490,0)</f>
        <v>0</v>
      </c>
      <c r="L490" s="127">
        <f>IF($I490="Atrasado",$E490,0)</f>
        <v>0</v>
      </c>
      <c r="M490" s="128">
        <f>IF($I490="Atrasado",$J490+ROW()/1000000,0)</f>
        <v>0</v>
      </c>
    </row>
    <row r="491" spans="9:13" ht="16.5" customHeight="1">
      <c r="I491" s="66">
        <f>IF($E491="","",IF($G491&lt;&gt;"","Pago",IF($F491="","Pendente",IF('Config'!$C$9&gt;$F491,"Atrasado","Pendente"))))</f>
        <v/>
      </c>
      <c r="J491" s="126">
        <f>IF($I491="Atrasado",'Config'!$C$9-$F491,"")</f>
        <v/>
      </c>
      <c r="K491" s="127">
        <f>IF(AND($E491&lt;&gt;"",$G491=""),$E491,0)</f>
        <v>0</v>
      </c>
      <c r="L491" s="127">
        <f>IF($I491="Atrasado",$E491,0)</f>
        <v>0</v>
      </c>
      <c r="M491" s="128">
        <f>IF($I491="Atrasado",$J491+ROW()/1000000,0)</f>
        <v>0</v>
      </c>
    </row>
    <row r="492" spans="9:13" ht="16.5" customHeight="1">
      <c r="I492" s="66">
        <f>IF($E492="","",IF($G492&lt;&gt;"","Pago",IF($F492="","Pendente",IF('Config'!$C$9&gt;$F492,"Atrasado","Pendente"))))</f>
        <v/>
      </c>
      <c r="J492" s="126">
        <f>IF($I492="Atrasado",'Config'!$C$9-$F492,"")</f>
        <v/>
      </c>
      <c r="K492" s="127">
        <f>IF(AND($E492&lt;&gt;"",$G492=""),$E492,0)</f>
        <v>0</v>
      </c>
      <c r="L492" s="127">
        <f>IF($I492="Atrasado",$E492,0)</f>
        <v>0</v>
      </c>
      <c r="M492" s="128">
        <f>IF($I492="Atrasado",$J492+ROW()/1000000,0)</f>
        <v>0</v>
      </c>
    </row>
    <row r="493" spans="9:13" ht="16.5" customHeight="1">
      <c r="I493" s="66">
        <f>IF($E493="","",IF($G493&lt;&gt;"","Pago",IF($F493="","Pendente",IF('Config'!$C$9&gt;$F493,"Atrasado","Pendente"))))</f>
        <v/>
      </c>
      <c r="J493" s="126">
        <f>IF($I493="Atrasado",'Config'!$C$9-$F493,"")</f>
        <v/>
      </c>
      <c r="K493" s="127">
        <f>IF(AND($E493&lt;&gt;"",$G493=""),$E493,0)</f>
        <v>0</v>
      </c>
      <c r="L493" s="127">
        <f>IF($I493="Atrasado",$E493,0)</f>
        <v>0</v>
      </c>
      <c r="M493" s="128">
        <f>IF($I493="Atrasado",$J493+ROW()/1000000,0)</f>
        <v>0</v>
      </c>
    </row>
    <row r="494" spans="9:13" ht="16.5" customHeight="1">
      <c r="I494" s="66">
        <f>IF($E494="","",IF($G494&lt;&gt;"","Pago",IF($F494="","Pendente",IF('Config'!$C$9&gt;$F494,"Atrasado","Pendente"))))</f>
        <v/>
      </c>
      <c r="J494" s="126">
        <f>IF($I494="Atrasado",'Config'!$C$9-$F494,"")</f>
        <v/>
      </c>
      <c r="K494" s="127">
        <f>IF(AND($E494&lt;&gt;"",$G494=""),$E494,0)</f>
        <v>0</v>
      </c>
      <c r="L494" s="127">
        <f>IF($I494="Atrasado",$E494,0)</f>
        <v>0</v>
      </c>
      <c r="M494" s="128">
        <f>IF($I494="Atrasado",$J494+ROW()/1000000,0)</f>
        <v>0</v>
      </c>
    </row>
    <row r="495" spans="9:13" ht="16.5" customHeight="1">
      <c r="I495" s="66">
        <f>IF($E495="","",IF($G495&lt;&gt;"","Pago",IF($F495="","Pendente",IF('Config'!$C$9&gt;$F495,"Atrasado","Pendente"))))</f>
        <v/>
      </c>
      <c r="J495" s="126">
        <f>IF($I495="Atrasado",'Config'!$C$9-$F495,"")</f>
        <v/>
      </c>
      <c r="K495" s="127">
        <f>IF(AND($E495&lt;&gt;"",$G495=""),$E495,0)</f>
        <v>0</v>
      </c>
      <c r="L495" s="127">
        <f>IF($I495="Atrasado",$E495,0)</f>
        <v>0</v>
      </c>
      <c r="M495" s="128">
        <f>IF($I495="Atrasado",$J495+ROW()/1000000,0)</f>
        <v>0</v>
      </c>
    </row>
    <row r="496" spans="9:13" ht="16.5" customHeight="1">
      <c r="I496" s="66">
        <f>IF($E496="","",IF($G496&lt;&gt;"","Pago",IF($F496="","Pendente",IF('Config'!$C$9&gt;$F496,"Atrasado","Pendente"))))</f>
        <v/>
      </c>
      <c r="J496" s="126">
        <f>IF($I496="Atrasado",'Config'!$C$9-$F496,"")</f>
        <v/>
      </c>
      <c r="K496" s="127">
        <f>IF(AND($E496&lt;&gt;"",$G496=""),$E496,0)</f>
        <v>0</v>
      </c>
      <c r="L496" s="127">
        <f>IF($I496="Atrasado",$E496,0)</f>
        <v>0</v>
      </c>
      <c r="M496" s="128">
        <f>IF($I496="Atrasado",$J496+ROW()/1000000,0)</f>
        <v>0</v>
      </c>
    </row>
    <row r="497" spans="9:13" ht="16.5" customHeight="1">
      <c r="I497" s="66">
        <f>IF($E497="","",IF($G497&lt;&gt;"","Pago",IF($F497="","Pendente",IF('Config'!$C$9&gt;$F497,"Atrasado","Pendente"))))</f>
        <v/>
      </c>
      <c r="J497" s="126">
        <f>IF($I497="Atrasado",'Config'!$C$9-$F497,"")</f>
        <v/>
      </c>
      <c r="K497" s="127">
        <f>IF(AND($E497&lt;&gt;"",$G497=""),$E497,0)</f>
        <v>0</v>
      </c>
      <c r="L497" s="127">
        <f>IF($I497="Atrasado",$E497,0)</f>
        <v>0</v>
      </c>
      <c r="M497" s="128">
        <f>IF($I497="Atrasado",$J497+ROW()/1000000,0)</f>
        <v>0</v>
      </c>
    </row>
    <row r="498" spans="9:13" ht="16.5" customHeight="1">
      <c r="I498" s="66">
        <f>IF($E498="","",IF($G498&lt;&gt;"","Pago",IF($F498="","Pendente",IF('Config'!$C$9&gt;$F498,"Atrasado","Pendente"))))</f>
        <v/>
      </c>
      <c r="J498" s="126">
        <f>IF($I498="Atrasado",'Config'!$C$9-$F498,"")</f>
        <v/>
      </c>
      <c r="K498" s="127">
        <f>IF(AND($E498&lt;&gt;"",$G498=""),$E498,0)</f>
        <v>0</v>
      </c>
      <c r="L498" s="127">
        <f>IF($I498="Atrasado",$E498,0)</f>
        <v>0</v>
      </c>
      <c r="M498" s="128">
        <f>IF($I498="Atrasado",$J498+ROW()/1000000,0)</f>
        <v>0</v>
      </c>
    </row>
    <row r="499" spans="9:13" ht="16.5" customHeight="1">
      <c r="I499" s="66">
        <f>IF($E499="","",IF($G499&lt;&gt;"","Pago",IF($F499="","Pendente",IF('Config'!$C$9&gt;$F499,"Atrasado","Pendente"))))</f>
        <v/>
      </c>
      <c r="J499" s="126">
        <f>IF($I499="Atrasado",'Config'!$C$9-$F499,"")</f>
        <v/>
      </c>
      <c r="K499" s="127">
        <f>IF(AND($E499&lt;&gt;"",$G499=""),$E499,0)</f>
        <v>0</v>
      </c>
      <c r="L499" s="127">
        <f>IF($I499="Atrasado",$E499,0)</f>
        <v>0</v>
      </c>
      <c r="M499" s="128">
        <f>IF($I499="Atrasado",$J499+ROW()/1000000,0)</f>
        <v>0</v>
      </c>
    </row>
    <row r="500" spans="9:13" ht="16.5" customHeight="1">
      <c r="I500" s="66">
        <f>IF($E500="","",IF($G500&lt;&gt;"","Pago",IF($F500="","Pendente",IF('Config'!$C$9&gt;$F500,"Atrasado","Pendente"))))</f>
        <v/>
      </c>
      <c r="J500" s="126">
        <f>IF($I500="Atrasado",'Config'!$C$9-$F500,"")</f>
        <v/>
      </c>
      <c r="K500" s="127">
        <f>IF(AND($E500&lt;&gt;"",$G500=""),$E500,0)</f>
        <v>0</v>
      </c>
      <c r="L500" s="127">
        <f>IF($I500="Atrasado",$E500,0)</f>
        <v>0</v>
      </c>
      <c r="M500" s="128">
        <f>IF($I500="Atrasado",$J500+ROW()/1000000,0)</f>
        <v>0</v>
      </c>
    </row>
    <row r="501" spans="9:13" ht="16.5" customHeight="1">
      <c r="I501" s="66">
        <f>IF($E501="","",IF($G501&lt;&gt;"","Pago",IF($F501="","Pendente",IF('Config'!$C$9&gt;$F501,"Atrasado","Pendente"))))</f>
        <v/>
      </c>
      <c r="J501" s="126">
        <f>IF($I501="Atrasado",'Config'!$C$9-$F501,"")</f>
        <v/>
      </c>
      <c r="K501" s="127">
        <f>IF(AND($E501&lt;&gt;"",$G501=""),$E501,0)</f>
        <v>0</v>
      </c>
      <c r="L501" s="127">
        <f>IF($I501="Atrasado",$E501,0)</f>
        <v>0</v>
      </c>
      <c r="M501" s="128">
        <f>IF($I501="Atrasado",$J501+ROW()/1000000,0)</f>
        <v>0</v>
      </c>
    </row>
    <row r="502" spans="9:13" ht="16.5" customHeight="1">
      <c r="I502" s="66">
        <f>IF($E502="","",IF($G502&lt;&gt;"","Pago",IF($F502="","Pendente",IF('Config'!$C$9&gt;$F502,"Atrasado","Pendente"))))</f>
        <v/>
      </c>
      <c r="J502" s="126">
        <f>IF($I502="Atrasado",'Config'!$C$9-$F502,"")</f>
        <v/>
      </c>
      <c r="K502" s="127">
        <f>IF(AND($E502&lt;&gt;"",$G502=""),$E502,0)</f>
        <v>0</v>
      </c>
      <c r="L502" s="127">
        <f>IF($I502="Atrasado",$E502,0)</f>
        <v>0</v>
      </c>
      <c r="M502" s="128">
        <f>IF($I502="Atrasado",$J502+ROW()/1000000,0)</f>
        <v>0</v>
      </c>
    </row>
    <row r="503" spans="9:13" ht="16.5" customHeight="1">
      <c r="I503" s="66">
        <f>IF($E503="","",IF($G503&lt;&gt;"","Pago",IF($F503="","Pendente",IF('Config'!$C$9&gt;$F503,"Atrasado","Pendente"))))</f>
        <v/>
      </c>
      <c r="J503" s="126">
        <f>IF($I503="Atrasado",'Config'!$C$9-$F503,"")</f>
        <v/>
      </c>
      <c r="K503" s="127">
        <f>IF(AND($E503&lt;&gt;"",$G503=""),$E503,0)</f>
        <v>0</v>
      </c>
      <c r="L503" s="127">
        <f>IF($I503="Atrasado",$E503,0)</f>
        <v>0</v>
      </c>
      <c r="M503" s="128">
        <f>IF($I503="Atrasado",$J503+ROW()/1000000,0)</f>
        <v>0</v>
      </c>
    </row>
    <row r="504" spans="9:13" ht="16.5" customHeight="1">
      <c r="I504" s="66">
        <f>IF($E504="","",IF($G504&lt;&gt;"","Pago",IF($F504="","Pendente",IF('Config'!$C$9&gt;$F504,"Atrasado","Pendente"))))</f>
        <v/>
      </c>
      <c r="J504" s="126">
        <f>IF($I504="Atrasado",'Config'!$C$9-$F504,"")</f>
        <v/>
      </c>
      <c r="K504" s="127">
        <f>IF(AND($E504&lt;&gt;"",$G504=""),$E504,0)</f>
        <v>0</v>
      </c>
      <c r="L504" s="127">
        <f>IF($I504="Atrasado",$E504,0)</f>
        <v>0</v>
      </c>
      <c r="M504" s="128">
        <f>IF($I504="Atrasado",$J504+ROW()/1000000,0)</f>
        <v>0</v>
      </c>
    </row>
    <row r="505" spans="9:13" ht="16.5" customHeight="1">
      <c r="I505" s="66">
        <f>IF($E505="","",IF($G505&lt;&gt;"","Pago",IF($F505="","Pendente",IF('Config'!$C$9&gt;$F505,"Atrasado","Pendente"))))</f>
        <v/>
      </c>
      <c r="J505" s="126">
        <f>IF($I505="Atrasado",'Config'!$C$9-$F505,"")</f>
        <v/>
      </c>
      <c r="K505" s="127">
        <f>IF(AND($E505&lt;&gt;"",$G505=""),$E505,0)</f>
        <v>0</v>
      </c>
      <c r="L505" s="127">
        <f>IF($I505="Atrasado",$E505,0)</f>
        <v>0</v>
      </c>
      <c r="M505" s="128">
        <f>IF($I505="Atrasado",$J505+ROW()/1000000,0)</f>
        <v>0</v>
      </c>
    </row>
    <row r="506" spans="9:13" ht="16.5" customHeight="1">
      <c r="I506" s="66">
        <f>IF($E506="","",IF($G506&lt;&gt;"","Pago",IF($F506="","Pendente",IF('Config'!$C$9&gt;$F506,"Atrasado","Pendente"))))</f>
        <v/>
      </c>
      <c r="J506" s="126">
        <f>IF($I506="Atrasado",'Config'!$C$9-$F506,"")</f>
        <v/>
      </c>
      <c r="K506" s="127">
        <f>IF(AND($E506&lt;&gt;"",$G506=""),$E506,0)</f>
        <v>0</v>
      </c>
      <c r="L506" s="127">
        <f>IF($I506="Atrasado",$E506,0)</f>
        <v>0</v>
      </c>
      <c r="M506" s="128">
        <f>IF($I506="Atrasado",$J506+ROW()/1000000,0)</f>
        <v>0</v>
      </c>
    </row>
    <row r="507" spans="9:13" ht="16.5" customHeight="1">
      <c r="I507" s="66">
        <f>IF($E507="","",IF($G507&lt;&gt;"","Pago",IF($F507="","Pendente",IF('Config'!$C$9&gt;$F507,"Atrasado","Pendente"))))</f>
        <v/>
      </c>
      <c r="J507" s="126">
        <f>IF($I507="Atrasado",'Config'!$C$9-$F507,"")</f>
        <v/>
      </c>
      <c r="K507" s="127">
        <f>IF(AND($E507&lt;&gt;"",$G507=""),$E507,0)</f>
        <v>0</v>
      </c>
      <c r="L507" s="127">
        <f>IF($I507="Atrasado",$E507,0)</f>
        <v>0</v>
      </c>
      <c r="M507" s="128">
        <f>IF($I507="Atrasado",$J507+ROW()/1000000,0)</f>
        <v>0</v>
      </c>
    </row>
    <row r="508" spans="9:13" ht="16.5" customHeight="1">
      <c r="I508" s="66">
        <f>IF($E508="","",IF($G508&lt;&gt;"","Pago",IF($F508="","Pendente",IF('Config'!$C$9&gt;$F508,"Atrasado","Pendente"))))</f>
        <v/>
      </c>
      <c r="J508" s="126">
        <f>IF($I508="Atrasado",'Config'!$C$9-$F508,"")</f>
        <v/>
      </c>
      <c r="K508" s="127">
        <f>IF(AND($E508&lt;&gt;"",$G508=""),$E508,0)</f>
        <v>0</v>
      </c>
      <c r="L508" s="127">
        <f>IF($I508="Atrasado",$E508,0)</f>
        <v>0</v>
      </c>
      <c r="M508" s="128">
        <f>IF($I508="Atrasado",$J508+ROW()/1000000,0)</f>
        <v>0</v>
      </c>
    </row>
    <row r="509" spans="9:13" ht="16.5" customHeight="1">
      <c r="I509" s="66">
        <f>IF($E509="","",IF($G509&lt;&gt;"","Pago",IF($F509="","Pendente",IF('Config'!$C$9&gt;$F509,"Atrasado","Pendente"))))</f>
        <v/>
      </c>
      <c r="J509" s="126">
        <f>IF($I509="Atrasado",'Config'!$C$9-$F509,"")</f>
        <v/>
      </c>
      <c r="K509" s="127">
        <f>IF(AND($E509&lt;&gt;"",$G509=""),$E509,0)</f>
        <v>0</v>
      </c>
      <c r="L509" s="127">
        <f>IF($I509="Atrasado",$E509,0)</f>
        <v>0</v>
      </c>
      <c r="M509" s="128">
        <f>IF($I509="Atrasado",$J509+ROW()/1000000,0)</f>
        <v>0</v>
      </c>
    </row>
    <row r="510" spans="9:13" ht="16.5" customHeight="1">
      <c r="I510" s="66">
        <f>IF($E510="","",IF($G510&lt;&gt;"","Pago",IF($F510="","Pendente",IF('Config'!$C$9&gt;$F510,"Atrasado","Pendente"))))</f>
        <v/>
      </c>
      <c r="J510" s="126">
        <f>IF($I510="Atrasado",'Config'!$C$9-$F510,"")</f>
        <v/>
      </c>
      <c r="K510" s="127">
        <f>IF(AND($E510&lt;&gt;"",$G510=""),$E510,0)</f>
        <v>0</v>
      </c>
      <c r="L510" s="127">
        <f>IF($I510="Atrasado",$E510,0)</f>
        <v>0</v>
      </c>
      <c r="M510" s="128">
        <f>IF($I510="Atrasado",$J510+ROW()/1000000,0)</f>
        <v>0</v>
      </c>
    </row>
    <row r="511" spans="9:13" ht="16.5" customHeight="1">
      <c r="I511" s="66">
        <f>IF($E511="","",IF($G511&lt;&gt;"","Pago",IF($F511="","Pendente",IF('Config'!$C$9&gt;$F511,"Atrasado","Pendente"))))</f>
        <v/>
      </c>
      <c r="J511" s="126">
        <f>IF($I511="Atrasado",'Config'!$C$9-$F511,"")</f>
        <v/>
      </c>
      <c r="K511" s="127">
        <f>IF(AND($E511&lt;&gt;"",$G511=""),$E511,0)</f>
        <v>0</v>
      </c>
      <c r="L511" s="127">
        <f>IF($I511="Atrasado",$E511,0)</f>
        <v>0</v>
      </c>
      <c r="M511" s="128">
        <f>IF($I511="Atrasado",$J511+ROW()/1000000,0)</f>
        <v>0</v>
      </c>
    </row>
    <row r="512" spans="9:13" ht="16.5" customHeight="1">
      <c r="I512" s="66">
        <f>IF($E512="","",IF($G512&lt;&gt;"","Pago",IF($F512="","Pendente",IF('Config'!$C$9&gt;$F512,"Atrasado","Pendente"))))</f>
        <v/>
      </c>
      <c r="J512" s="126">
        <f>IF($I512="Atrasado",'Config'!$C$9-$F512,"")</f>
        <v/>
      </c>
      <c r="K512" s="127">
        <f>IF(AND($E512&lt;&gt;"",$G512=""),$E512,0)</f>
        <v>0</v>
      </c>
      <c r="L512" s="127">
        <f>IF($I512="Atrasado",$E512,0)</f>
        <v>0</v>
      </c>
      <c r="M512" s="128">
        <f>IF($I512="Atrasado",$J512+ROW()/1000000,0)</f>
        <v>0</v>
      </c>
    </row>
    <row r="513" spans="9:13" ht="16.5" customHeight="1">
      <c r="I513" s="66">
        <f>IF($E513="","",IF($G513&lt;&gt;"","Pago",IF($F513="","Pendente",IF('Config'!$C$9&gt;$F513,"Atrasado","Pendente"))))</f>
        <v/>
      </c>
      <c r="J513" s="126">
        <f>IF($I513="Atrasado",'Config'!$C$9-$F513,"")</f>
        <v/>
      </c>
      <c r="K513" s="127">
        <f>IF(AND($E513&lt;&gt;"",$G513=""),$E513,0)</f>
        <v>0</v>
      </c>
      <c r="L513" s="127">
        <f>IF($I513="Atrasado",$E513,0)</f>
        <v>0</v>
      </c>
      <c r="M513" s="128">
        <f>IF($I513="Atrasado",$J513+ROW()/1000000,0)</f>
        <v>0</v>
      </c>
    </row>
    <row r="514" spans="9:13" ht="16.5" customHeight="1">
      <c r="I514" s="66">
        <f>IF($E514="","",IF($G514&lt;&gt;"","Pago",IF($F514="","Pendente",IF('Config'!$C$9&gt;$F514,"Atrasado","Pendente"))))</f>
        <v/>
      </c>
      <c r="J514" s="126">
        <f>IF($I514="Atrasado",'Config'!$C$9-$F514,"")</f>
        <v/>
      </c>
      <c r="K514" s="127">
        <f>IF(AND($E514&lt;&gt;"",$G514=""),$E514,0)</f>
        <v>0</v>
      </c>
      <c r="L514" s="127">
        <f>IF($I514="Atrasado",$E514,0)</f>
        <v>0</v>
      </c>
      <c r="M514" s="128">
        <f>IF($I514="Atrasado",$J514+ROW()/1000000,0)</f>
        <v>0</v>
      </c>
    </row>
    <row r="515" spans="9:13" ht="16.5" customHeight="1">
      <c r="I515" s="66">
        <f>IF($E515="","",IF($G515&lt;&gt;"","Pago",IF($F515="","Pendente",IF('Config'!$C$9&gt;$F515,"Atrasado","Pendente"))))</f>
        <v/>
      </c>
      <c r="J515" s="126">
        <f>IF($I515="Atrasado",'Config'!$C$9-$F515,"")</f>
        <v/>
      </c>
      <c r="K515" s="127">
        <f>IF(AND($E515&lt;&gt;"",$G515=""),$E515,0)</f>
        <v>0</v>
      </c>
      <c r="L515" s="127">
        <f>IF($I515="Atrasado",$E515,0)</f>
        <v>0</v>
      </c>
      <c r="M515" s="128">
        <f>IF($I515="Atrasado",$J515+ROW()/1000000,0)</f>
        <v>0</v>
      </c>
    </row>
    <row r="516" spans="9:13" ht="16.5" customHeight="1">
      <c r="I516" s="66">
        <f>IF($E516="","",IF($G516&lt;&gt;"","Pago",IF($F516="","Pendente",IF('Config'!$C$9&gt;$F516,"Atrasado","Pendente"))))</f>
        <v/>
      </c>
      <c r="J516" s="126">
        <f>IF($I516="Atrasado",'Config'!$C$9-$F516,"")</f>
        <v/>
      </c>
      <c r="K516" s="127">
        <f>IF(AND($E516&lt;&gt;"",$G516=""),$E516,0)</f>
        <v>0</v>
      </c>
      <c r="L516" s="127">
        <f>IF($I516="Atrasado",$E516,0)</f>
        <v>0</v>
      </c>
      <c r="M516" s="128">
        <f>IF($I516="Atrasado",$J516+ROW()/1000000,0)</f>
        <v>0</v>
      </c>
    </row>
    <row r="517" spans="9:13" ht="16.5" customHeight="1">
      <c r="I517" s="66">
        <f>IF($E517="","",IF($G517&lt;&gt;"","Pago",IF($F517="","Pendente",IF('Config'!$C$9&gt;$F517,"Atrasado","Pendente"))))</f>
        <v/>
      </c>
      <c r="J517" s="126">
        <f>IF($I517="Atrasado",'Config'!$C$9-$F517,"")</f>
        <v/>
      </c>
      <c r="K517" s="127">
        <f>IF(AND($E517&lt;&gt;"",$G517=""),$E517,0)</f>
        <v>0</v>
      </c>
      <c r="L517" s="127">
        <f>IF($I517="Atrasado",$E517,0)</f>
        <v>0</v>
      </c>
      <c r="M517" s="128">
        <f>IF($I517="Atrasado",$J517+ROW()/1000000,0)</f>
        <v>0</v>
      </c>
    </row>
    <row r="518" spans="9:13" ht="16.5" customHeight="1">
      <c r="I518" s="66">
        <f>IF($E518="","",IF($G518&lt;&gt;"","Pago",IF($F518="","Pendente",IF('Config'!$C$9&gt;$F518,"Atrasado","Pendente"))))</f>
        <v/>
      </c>
      <c r="J518" s="126">
        <f>IF($I518="Atrasado",'Config'!$C$9-$F518,"")</f>
        <v/>
      </c>
      <c r="K518" s="127">
        <f>IF(AND($E518&lt;&gt;"",$G518=""),$E518,0)</f>
        <v>0</v>
      </c>
      <c r="L518" s="127">
        <f>IF($I518="Atrasado",$E518,0)</f>
        <v>0</v>
      </c>
      <c r="M518" s="128">
        <f>IF($I518="Atrasado",$J518+ROW()/1000000,0)</f>
        <v>0</v>
      </c>
    </row>
    <row r="519" spans="9:13" ht="16.5" customHeight="1">
      <c r="I519" s="66">
        <f>IF($E519="","",IF($G519&lt;&gt;"","Pago",IF($F519="","Pendente",IF('Config'!$C$9&gt;$F519,"Atrasado","Pendente"))))</f>
        <v/>
      </c>
      <c r="J519" s="126">
        <f>IF($I519="Atrasado",'Config'!$C$9-$F519,"")</f>
        <v/>
      </c>
      <c r="K519" s="127">
        <f>IF(AND($E519&lt;&gt;"",$G519=""),$E519,0)</f>
        <v>0</v>
      </c>
      <c r="L519" s="127">
        <f>IF($I519="Atrasado",$E519,0)</f>
        <v>0</v>
      </c>
      <c r="M519" s="128">
        <f>IF($I519="Atrasado",$J519+ROW()/1000000,0)</f>
        <v>0</v>
      </c>
    </row>
    <row r="520" spans="9:13" ht="16.5" customHeight="1">
      <c r="I520" s="66">
        <f>IF($E520="","",IF($G520&lt;&gt;"","Pago",IF($F520="","Pendente",IF('Config'!$C$9&gt;$F520,"Atrasado","Pendente"))))</f>
        <v/>
      </c>
      <c r="J520" s="126">
        <f>IF($I520="Atrasado",'Config'!$C$9-$F520,"")</f>
        <v/>
      </c>
      <c r="K520" s="127">
        <f>IF(AND($E520&lt;&gt;"",$G520=""),$E520,0)</f>
        <v>0</v>
      </c>
      <c r="L520" s="127">
        <f>IF($I520="Atrasado",$E520,0)</f>
        <v>0</v>
      </c>
      <c r="M520" s="128">
        <f>IF($I520="Atrasado",$J520+ROW()/1000000,0)</f>
        <v>0</v>
      </c>
    </row>
    <row r="521" spans="9:13" ht="16.5" customHeight="1">
      <c r="I521" s="66">
        <f>IF($E521="","",IF($G521&lt;&gt;"","Pago",IF($F521="","Pendente",IF('Config'!$C$9&gt;$F521,"Atrasado","Pendente"))))</f>
        <v/>
      </c>
      <c r="J521" s="126">
        <f>IF($I521="Atrasado",'Config'!$C$9-$F521,"")</f>
        <v/>
      </c>
      <c r="K521" s="127">
        <f>IF(AND($E521&lt;&gt;"",$G521=""),$E521,0)</f>
        <v>0</v>
      </c>
      <c r="L521" s="127">
        <f>IF($I521="Atrasado",$E521,0)</f>
        <v>0</v>
      </c>
      <c r="M521" s="128">
        <f>IF($I521="Atrasado",$J521+ROW()/1000000,0)</f>
        <v>0</v>
      </c>
    </row>
    <row r="522" spans="9:13" ht="16.5" customHeight="1">
      <c r="I522" s="66">
        <f>IF($E522="","",IF($G522&lt;&gt;"","Pago",IF($F522="","Pendente",IF('Config'!$C$9&gt;$F522,"Atrasado","Pendente"))))</f>
        <v/>
      </c>
      <c r="J522" s="126">
        <f>IF($I522="Atrasado",'Config'!$C$9-$F522,"")</f>
        <v/>
      </c>
      <c r="K522" s="127">
        <f>IF(AND($E522&lt;&gt;"",$G522=""),$E522,0)</f>
        <v>0</v>
      </c>
      <c r="L522" s="127">
        <f>IF($I522="Atrasado",$E522,0)</f>
        <v>0</v>
      </c>
      <c r="M522" s="128">
        <f>IF($I522="Atrasado",$J522+ROW()/1000000,0)</f>
        <v>0</v>
      </c>
    </row>
    <row r="523" spans="9:13" ht="16.5" customHeight="1">
      <c r="I523" s="66">
        <f>IF($E523="","",IF($G523&lt;&gt;"","Pago",IF($F523="","Pendente",IF('Config'!$C$9&gt;$F523,"Atrasado","Pendente"))))</f>
        <v/>
      </c>
      <c r="J523" s="126">
        <f>IF($I523="Atrasado",'Config'!$C$9-$F523,"")</f>
        <v/>
      </c>
      <c r="K523" s="127">
        <f>IF(AND($E523&lt;&gt;"",$G523=""),$E523,0)</f>
        <v>0</v>
      </c>
      <c r="L523" s="127">
        <f>IF($I523="Atrasado",$E523,0)</f>
        <v>0</v>
      </c>
      <c r="M523" s="128">
        <f>IF($I523="Atrasado",$J523+ROW()/1000000,0)</f>
        <v>0</v>
      </c>
    </row>
    <row r="524" spans="9:13" ht="16.5" customHeight="1">
      <c r="I524" s="66">
        <f>IF($E524="","",IF($G524&lt;&gt;"","Pago",IF($F524="","Pendente",IF('Config'!$C$9&gt;$F524,"Atrasado","Pendente"))))</f>
        <v/>
      </c>
      <c r="J524" s="126">
        <f>IF($I524="Atrasado",'Config'!$C$9-$F524,"")</f>
        <v/>
      </c>
      <c r="K524" s="127">
        <f>IF(AND($E524&lt;&gt;"",$G524=""),$E524,0)</f>
        <v>0</v>
      </c>
      <c r="L524" s="127">
        <f>IF($I524="Atrasado",$E524,0)</f>
        <v>0</v>
      </c>
      <c r="M524" s="128">
        <f>IF($I524="Atrasado",$J524+ROW()/1000000,0)</f>
        <v>0</v>
      </c>
    </row>
    <row r="525" spans="9:13" ht="16.5" customHeight="1">
      <c r="I525" s="66">
        <f>IF($E525="","",IF($G525&lt;&gt;"","Pago",IF($F525="","Pendente",IF('Config'!$C$9&gt;$F525,"Atrasado","Pendente"))))</f>
        <v/>
      </c>
      <c r="J525" s="126">
        <f>IF($I525="Atrasado",'Config'!$C$9-$F525,"")</f>
        <v/>
      </c>
      <c r="K525" s="127">
        <f>IF(AND($E525&lt;&gt;"",$G525=""),$E525,0)</f>
        <v>0</v>
      </c>
      <c r="L525" s="127">
        <f>IF($I525="Atrasado",$E525,0)</f>
        <v>0</v>
      </c>
      <c r="M525" s="128">
        <f>IF($I525="Atrasado",$J525+ROW()/1000000,0)</f>
        <v>0</v>
      </c>
    </row>
    <row r="526" spans="9:13" ht="16.5" customHeight="1">
      <c r="I526" s="66">
        <f>IF($E526="","",IF($G526&lt;&gt;"","Pago",IF($F526="","Pendente",IF('Config'!$C$9&gt;$F526,"Atrasado","Pendente"))))</f>
        <v/>
      </c>
      <c r="J526" s="126">
        <f>IF($I526="Atrasado",'Config'!$C$9-$F526,"")</f>
        <v/>
      </c>
      <c r="K526" s="127">
        <f>IF(AND($E526&lt;&gt;"",$G526=""),$E526,0)</f>
        <v>0</v>
      </c>
      <c r="L526" s="127">
        <f>IF($I526="Atrasado",$E526,0)</f>
        <v>0</v>
      </c>
      <c r="M526" s="128">
        <f>IF($I526="Atrasado",$J526+ROW()/1000000,0)</f>
        <v>0</v>
      </c>
    </row>
    <row r="527" spans="9:13" ht="16.5" customHeight="1">
      <c r="I527" s="66">
        <f>IF($E527="","",IF($G527&lt;&gt;"","Pago",IF($F527="","Pendente",IF('Config'!$C$9&gt;$F527,"Atrasado","Pendente"))))</f>
        <v/>
      </c>
      <c r="J527" s="126">
        <f>IF($I527="Atrasado",'Config'!$C$9-$F527,"")</f>
        <v/>
      </c>
      <c r="K527" s="127">
        <f>IF(AND($E527&lt;&gt;"",$G527=""),$E527,0)</f>
        <v>0</v>
      </c>
      <c r="L527" s="127">
        <f>IF($I527="Atrasado",$E527,0)</f>
        <v>0</v>
      </c>
      <c r="M527" s="128">
        <f>IF($I527="Atrasado",$J527+ROW()/1000000,0)</f>
        <v>0</v>
      </c>
    </row>
    <row r="528" spans="9:13" ht="16.5" customHeight="1">
      <c r="I528" s="66">
        <f>IF($E528="","",IF($G528&lt;&gt;"","Pago",IF($F528="","Pendente",IF('Config'!$C$9&gt;$F528,"Atrasado","Pendente"))))</f>
        <v/>
      </c>
      <c r="J528" s="126">
        <f>IF($I528="Atrasado",'Config'!$C$9-$F528,"")</f>
        <v/>
      </c>
      <c r="K528" s="127">
        <f>IF(AND($E528&lt;&gt;"",$G528=""),$E528,0)</f>
        <v>0</v>
      </c>
      <c r="L528" s="127">
        <f>IF($I528="Atrasado",$E528,0)</f>
        <v>0</v>
      </c>
      <c r="M528" s="128">
        <f>IF($I528="Atrasado",$J528+ROW()/1000000,0)</f>
        <v>0</v>
      </c>
    </row>
    <row r="529" spans="9:13" ht="16.5" customHeight="1">
      <c r="I529" s="66">
        <f>IF($E529="","",IF($G529&lt;&gt;"","Pago",IF($F529="","Pendente",IF('Config'!$C$9&gt;$F529,"Atrasado","Pendente"))))</f>
        <v/>
      </c>
      <c r="J529" s="126">
        <f>IF($I529="Atrasado",'Config'!$C$9-$F529,"")</f>
        <v/>
      </c>
      <c r="K529" s="127">
        <f>IF(AND($E529&lt;&gt;"",$G529=""),$E529,0)</f>
        <v>0</v>
      </c>
      <c r="L529" s="127">
        <f>IF($I529="Atrasado",$E529,0)</f>
        <v>0</v>
      </c>
      <c r="M529" s="128">
        <f>IF($I529="Atrasado",$J529+ROW()/1000000,0)</f>
        <v>0</v>
      </c>
    </row>
    <row r="530" spans="9:13" ht="16.5" customHeight="1">
      <c r="I530" s="66">
        <f>IF($E530="","",IF($G530&lt;&gt;"","Pago",IF($F530="","Pendente",IF('Config'!$C$9&gt;$F530,"Atrasado","Pendente"))))</f>
        <v/>
      </c>
      <c r="J530" s="126">
        <f>IF($I530="Atrasado",'Config'!$C$9-$F530,"")</f>
        <v/>
      </c>
      <c r="K530" s="127">
        <f>IF(AND($E530&lt;&gt;"",$G530=""),$E530,0)</f>
        <v>0</v>
      </c>
      <c r="L530" s="127">
        <f>IF($I530="Atrasado",$E530,0)</f>
        <v>0</v>
      </c>
      <c r="M530" s="128">
        <f>IF($I530="Atrasado",$J530+ROW()/1000000,0)</f>
        <v>0</v>
      </c>
    </row>
    <row r="531" spans="9:13" ht="16.5" customHeight="1">
      <c r="I531" s="66">
        <f>IF($E531="","",IF($G531&lt;&gt;"","Pago",IF($F531="","Pendente",IF('Config'!$C$9&gt;$F531,"Atrasado","Pendente"))))</f>
        <v/>
      </c>
      <c r="J531" s="126">
        <f>IF($I531="Atrasado",'Config'!$C$9-$F531,"")</f>
        <v/>
      </c>
      <c r="K531" s="127">
        <f>IF(AND($E531&lt;&gt;"",$G531=""),$E531,0)</f>
        <v>0</v>
      </c>
      <c r="L531" s="127">
        <f>IF($I531="Atrasado",$E531,0)</f>
        <v>0</v>
      </c>
      <c r="M531" s="128">
        <f>IF($I531="Atrasado",$J531+ROW()/1000000,0)</f>
        <v>0</v>
      </c>
    </row>
    <row r="532" spans="9:13" ht="16.5" customHeight="1">
      <c r="I532" s="66">
        <f>IF($E532="","",IF($G532&lt;&gt;"","Pago",IF($F532="","Pendente",IF('Config'!$C$9&gt;$F532,"Atrasado","Pendente"))))</f>
        <v/>
      </c>
      <c r="J532" s="126">
        <f>IF($I532="Atrasado",'Config'!$C$9-$F532,"")</f>
        <v/>
      </c>
      <c r="K532" s="127">
        <f>IF(AND($E532&lt;&gt;"",$G532=""),$E532,0)</f>
        <v>0</v>
      </c>
      <c r="L532" s="127">
        <f>IF($I532="Atrasado",$E532,0)</f>
        <v>0</v>
      </c>
      <c r="M532" s="128">
        <f>IF($I532="Atrasado",$J532+ROW()/1000000,0)</f>
        <v>0</v>
      </c>
    </row>
    <row r="533" spans="9:13" ht="16.5" customHeight="1">
      <c r="I533" s="66">
        <f>IF($E533="","",IF($G533&lt;&gt;"","Pago",IF($F533="","Pendente",IF('Config'!$C$9&gt;$F533,"Atrasado","Pendente"))))</f>
        <v/>
      </c>
      <c r="J533" s="126">
        <f>IF($I533="Atrasado",'Config'!$C$9-$F533,"")</f>
        <v/>
      </c>
      <c r="K533" s="127">
        <f>IF(AND($E533&lt;&gt;"",$G533=""),$E533,0)</f>
        <v>0</v>
      </c>
      <c r="L533" s="127">
        <f>IF($I533="Atrasado",$E533,0)</f>
        <v>0</v>
      </c>
      <c r="M533" s="128">
        <f>IF($I533="Atrasado",$J533+ROW()/1000000,0)</f>
        <v>0</v>
      </c>
    </row>
    <row r="534" spans="9:13" ht="16.5" customHeight="1">
      <c r="I534" s="66">
        <f>IF($E534="","",IF($G534&lt;&gt;"","Pago",IF($F534="","Pendente",IF('Config'!$C$9&gt;$F534,"Atrasado","Pendente"))))</f>
        <v/>
      </c>
      <c r="J534" s="126">
        <f>IF($I534="Atrasado",'Config'!$C$9-$F534,"")</f>
        <v/>
      </c>
      <c r="K534" s="127">
        <f>IF(AND($E534&lt;&gt;"",$G534=""),$E534,0)</f>
        <v>0</v>
      </c>
      <c r="L534" s="127">
        <f>IF($I534="Atrasado",$E534,0)</f>
        <v>0</v>
      </c>
      <c r="M534" s="128">
        <f>IF($I534="Atrasado",$J534+ROW()/1000000,0)</f>
        <v>0</v>
      </c>
    </row>
    <row r="535" spans="9:13" ht="16.5" customHeight="1">
      <c r="I535" s="66">
        <f>IF($E535="","",IF($G535&lt;&gt;"","Pago",IF($F535="","Pendente",IF('Config'!$C$9&gt;$F535,"Atrasado","Pendente"))))</f>
        <v/>
      </c>
      <c r="J535" s="126">
        <f>IF($I535="Atrasado",'Config'!$C$9-$F535,"")</f>
        <v/>
      </c>
      <c r="K535" s="127">
        <f>IF(AND($E535&lt;&gt;"",$G535=""),$E535,0)</f>
        <v>0</v>
      </c>
      <c r="L535" s="127">
        <f>IF($I535="Atrasado",$E535,0)</f>
        <v>0</v>
      </c>
      <c r="M535" s="128">
        <f>IF($I535="Atrasado",$J535+ROW()/1000000,0)</f>
        <v>0</v>
      </c>
    </row>
    <row r="536" spans="9:13" ht="16.5" customHeight="1">
      <c r="I536" s="66">
        <f>IF($E536="","",IF($G536&lt;&gt;"","Pago",IF($F536="","Pendente",IF('Config'!$C$9&gt;$F536,"Atrasado","Pendente"))))</f>
        <v/>
      </c>
      <c r="J536" s="126">
        <f>IF($I536="Atrasado",'Config'!$C$9-$F536,"")</f>
        <v/>
      </c>
      <c r="K536" s="127">
        <f>IF(AND($E536&lt;&gt;"",$G536=""),$E536,0)</f>
        <v>0</v>
      </c>
      <c r="L536" s="127">
        <f>IF($I536="Atrasado",$E536,0)</f>
        <v>0</v>
      </c>
      <c r="M536" s="128">
        <f>IF($I536="Atrasado",$J536+ROW()/1000000,0)</f>
        <v>0</v>
      </c>
    </row>
    <row r="537" spans="9:13" ht="16.5" customHeight="1">
      <c r="I537" s="66">
        <f>IF($E537="","",IF($G537&lt;&gt;"","Pago",IF($F537="","Pendente",IF('Config'!$C$9&gt;$F537,"Atrasado","Pendente"))))</f>
        <v/>
      </c>
      <c r="J537" s="126">
        <f>IF($I537="Atrasado",'Config'!$C$9-$F537,"")</f>
        <v/>
      </c>
      <c r="K537" s="127">
        <f>IF(AND($E537&lt;&gt;"",$G537=""),$E537,0)</f>
        <v>0</v>
      </c>
      <c r="L537" s="127">
        <f>IF($I537="Atrasado",$E537,0)</f>
        <v>0</v>
      </c>
      <c r="M537" s="128">
        <f>IF($I537="Atrasado",$J537+ROW()/1000000,0)</f>
        <v>0</v>
      </c>
    </row>
    <row r="538" spans="9:13" ht="16.5" customHeight="1">
      <c r="I538" s="66">
        <f>IF($E538="","",IF($G538&lt;&gt;"","Pago",IF($F538="","Pendente",IF('Config'!$C$9&gt;$F538,"Atrasado","Pendente"))))</f>
        <v/>
      </c>
      <c r="J538" s="126">
        <f>IF($I538="Atrasado",'Config'!$C$9-$F538,"")</f>
        <v/>
      </c>
      <c r="K538" s="127">
        <f>IF(AND($E538&lt;&gt;"",$G538=""),$E538,0)</f>
        <v>0</v>
      </c>
      <c r="L538" s="127">
        <f>IF($I538="Atrasado",$E538,0)</f>
        <v>0</v>
      </c>
      <c r="M538" s="128">
        <f>IF($I538="Atrasado",$J538+ROW()/1000000,0)</f>
        <v>0</v>
      </c>
    </row>
    <row r="539" spans="9:13" ht="16.5" customHeight="1">
      <c r="I539" s="66">
        <f>IF($E539="","",IF($G539&lt;&gt;"","Pago",IF($F539="","Pendente",IF('Config'!$C$9&gt;$F539,"Atrasado","Pendente"))))</f>
        <v/>
      </c>
      <c r="J539" s="126">
        <f>IF($I539="Atrasado",'Config'!$C$9-$F539,"")</f>
        <v/>
      </c>
      <c r="K539" s="127">
        <f>IF(AND($E539&lt;&gt;"",$G539=""),$E539,0)</f>
        <v>0</v>
      </c>
      <c r="L539" s="127">
        <f>IF($I539="Atrasado",$E539,0)</f>
        <v>0</v>
      </c>
      <c r="M539" s="128">
        <f>IF($I539="Atrasado",$J539+ROW()/1000000,0)</f>
        <v>0</v>
      </c>
    </row>
    <row r="540" spans="9:13" ht="16.5" customHeight="1">
      <c r="I540" s="66">
        <f>IF($E540="","",IF($G540&lt;&gt;"","Pago",IF($F540="","Pendente",IF('Config'!$C$9&gt;$F540,"Atrasado","Pendente"))))</f>
        <v/>
      </c>
      <c r="J540" s="126">
        <f>IF($I540="Atrasado",'Config'!$C$9-$F540,"")</f>
        <v/>
      </c>
      <c r="K540" s="127">
        <f>IF(AND($E540&lt;&gt;"",$G540=""),$E540,0)</f>
        <v>0</v>
      </c>
      <c r="L540" s="127">
        <f>IF($I540="Atrasado",$E540,0)</f>
        <v>0</v>
      </c>
      <c r="M540" s="128">
        <f>IF($I540="Atrasado",$J540+ROW()/1000000,0)</f>
        <v>0</v>
      </c>
    </row>
    <row r="541" spans="9:13" ht="16.5" customHeight="1">
      <c r="I541" s="66">
        <f>IF($E541="","",IF($G541&lt;&gt;"","Pago",IF($F541="","Pendente",IF('Config'!$C$9&gt;$F541,"Atrasado","Pendente"))))</f>
        <v/>
      </c>
      <c r="J541" s="126">
        <f>IF($I541="Atrasado",'Config'!$C$9-$F541,"")</f>
        <v/>
      </c>
      <c r="K541" s="127">
        <f>IF(AND($E541&lt;&gt;"",$G541=""),$E541,0)</f>
        <v>0</v>
      </c>
      <c r="L541" s="127">
        <f>IF($I541="Atrasado",$E541,0)</f>
        <v>0</v>
      </c>
      <c r="M541" s="128">
        <f>IF($I541="Atrasado",$J541+ROW()/1000000,0)</f>
        <v>0</v>
      </c>
    </row>
    <row r="542" spans="9:13" ht="16.5" customHeight="1">
      <c r="I542" s="66">
        <f>IF($E542="","",IF($G542&lt;&gt;"","Pago",IF($F542="","Pendente",IF('Config'!$C$9&gt;$F542,"Atrasado","Pendente"))))</f>
        <v/>
      </c>
      <c r="J542" s="126">
        <f>IF($I542="Atrasado",'Config'!$C$9-$F542,"")</f>
        <v/>
      </c>
      <c r="K542" s="127">
        <f>IF(AND($E542&lt;&gt;"",$G542=""),$E542,0)</f>
        <v>0</v>
      </c>
      <c r="L542" s="127">
        <f>IF($I542="Atrasado",$E542,0)</f>
        <v>0</v>
      </c>
      <c r="M542" s="128">
        <f>IF($I542="Atrasado",$J542+ROW()/1000000,0)</f>
        <v>0</v>
      </c>
    </row>
    <row r="543" spans="9:13" ht="16.5" customHeight="1">
      <c r="I543" s="66">
        <f>IF($E543="","",IF($G543&lt;&gt;"","Pago",IF($F543="","Pendente",IF('Config'!$C$9&gt;$F543,"Atrasado","Pendente"))))</f>
        <v/>
      </c>
      <c r="J543" s="126">
        <f>IF($I543="Atrasado",'Config'!$C$9-$F543,"")</f>
        <v/>
      </c>
      <c r="K543" s="127">
        <f>IF(AND($E543&lt;&gt;"",$G543=""),$E543,0)</f>
        <v>0</v>
      </c>
      <c r="L543" s="127">
        <f>IF($I543="Atrasado",$E543,0)</f>
        <v>0</v>
      </c>
      <c r="M543" s="128">
        <f>IF($I543="Atrasado",$J543+ROW()/1000000,0)</f>
        <v>0</v>
      </c>
    </row>
    <row r="544" spans="9:13" ht="16.5" customHeight="1">
      <c r="I544" s="66">
        <f>IF($E544="","",IF($G544&lt;&gt;"","Pago",IF($F544="","Pendente",IF('Config'!$C$9&gt;$F544,"Atrasado","Pendente"))))</f>
        <v/>
      </c>
      <c r="J544" s="126">
        <f>IF($I544="Atrasado",'Config'!$C$9-$F544,"")</f>
        <v/>
      </c>
      <c r="K544" s="127">
        <f>IF(AND($E544&lt;&gt;"",$G544=""),$E544,0)</f>
        <v>0</v>
      </c>
      <c r="L544" s="127">
        <f>IF($I544="Atrasado",$E544,0)</f>
        <v>0</v>
      </c>
      <c r="M544" s="128">
        <f>IF($I544="Atrasado",$J544+ROW()/1000000,0)</f>
        <v>0</v>
      </c>
    </row>
    <row r="545" spans="9:13" ht="16.5" customHeight="1">
      <c r="I545" s="66">
        <f>IF($E545="","",IF($G545&lt;&gt;"","Pago",IF($F545="","Pendente",IF('Config'!$C$9&gt;$F545,"Atrasado","Pendente"))))</f>
        <v/>
      </c>
      <c r="J545" s="126">
        <f>IF($I545="Atrasado",'Config'!$C$9-$F545,"")</f>
        <v/>
      </c>
      <c r="K545" s="127">
        <f>IF(AND($E545&lt;&gt;"",$G545=""),$E545,0)</f>
        <v>0</v>
      </c>
      <c r="L545" s="127">
        <f>IF($I545="Atrasado",$E545,0)</f>
        <v>0</v>
      </c>
      <c r="M545" s="128">
        <f>IF($I545="Atrasado",$J545+ROW()/1000000,0)</f>
        <v>0</v>
      </c>
    </row>
    <row r="546" spans="9:13" ht="16.5" customHeight="1">
      <c r="I546" s="66">
        <f>IF($E546="","",IF($G546&lt;&gt;"","Pago",IF($F546="","Pendente",IF('Config'!$C$9&gt;$F546,"Atrasado","Pendente"))))</f>
        <v/>
      </c>
      <c r="J546" s="126">
        <f>IF($I546="Atrasado",'Config'!$C$9-$F546,"")</f>
        <v/>
      </c>
      <c r="K546" s="127">
        <f>IF(AND($E546&lt;&gt;"",$G546=""),$E546,0)</f>
        <v>0</v>
      </c>
      <c r="L546" s="127">
        <f>IF($I546="Atrasado",$E546,0)</f>
        <v>0</v>
      </c>
      <c r="M546" s="128">
        <f>IF($I546="Atrasado",$J546+ROW()/1000000,0)</f>
        <v>0</v>
      </c>
    </row>
    <row r="547" spans="9:13" ht="16.5" customHeight="1">
      <c r="I547" s="66">
        <f>IF($E547="","",IF($G547&lt;&gt;"","Pago",IF($F547="","Pendente",IF('Config'!$C$9&gt;$F547,"Atrasado","Pendente"))))</f>
        <v/>
      </c>
      <c r="J547" s="126">
        <f>IF($I547="Atrasado",'Config'!$C$9-$F547,"")</f>
        <v/>
      </c>
      <c r="K547" s="127">
        <f>IF(AND($E547&lt;&gt;"",$G547=""),$E547,0)</f>
        <v>0</v>
      </c>
      <c r="L547" s="127">
        <f>IF($I547="Atrasado",$E547,0)</f>
        <v>0</v>
      </c>
      <c r="M547" s="128">
        <f>IF($I547="Atrasado",$J547+ROW()/1000000,0)</f>
        <v>0</v>
      </c>
    </row>
    <row r="548" spans="9:13" ht="16.5" customHeight="1">
      <c r="I548" s="66">
        <f>IF($E548="","",IF($G548&lt;&gt;"","Pago",IF($F548="","Pendente",IF('Config'!$C$9&gt;$F548,"Atrasado","Pendente"))))</f>
        <v/>
      </c>
      <c r="J548" s="126">
        <f>IF($I548="Atrasado",'Config'!$C$9-$F548,"")</f>
        <v/>
      </c>
      <c r="K548" s="127">
        <f>IF(AND($E548&lt;&gt;"",$G548=""),$E548,0)</f>
        <v>0</v>
      </c>
      <c r="L548" s="127">
        <f>IF($I548="Atrasado",$E548,0)</f>
        <v>0</v>
      </c>
      <c r="M548" s="128">
        <f>IF($I548="Atrasado",$J548+ROW()/1000000,0)</f>
        <v>0</v>
      </c>
    </row>
    <row r="549" spans="9:13" ht="16.5" customHeight="1">
      <c r="I549" s="66">
        <f>IF($E549="","",IF($G549&lt;&gt;"","Pago",IF($F549="","Pendente",IF('Config'!$C$9&gt;$F549,"Atrasado","Pendente"))))</f>
        <v/>
      </c>
      <c r="J549" s="126">
        <f>IF($I549="Atrasado",'Config'!$C$9-$F549,"")</f>
        <v/>
      </c>
      <c r="K549" s="127">
        <f>IF(AND($E549&lt;&gt;"",$G549=""),$E549,0)</f>
        <v>0</v>
      </c>
      <c r="L549" s="127">
        <f>IF($I549="Atrasado",$E549,0)</f>
        <v>0</v>
      </c>
      <c r="M549" s="128">
        <f>IF($I549="Atrasado",$J549+ROW()/1000000,0)</f>
        <v>0</v>
      </c>
    </row>
    <row r="550" spans="9:13" ht="16.5" customHeight="1">
      <c r="I550" s="66">
        <f>IF($E550="","",IF($G550&lt;&gt;"","Pago",IF($F550="","Pendente",IF('Config'!$C$9&gt;$F550,"Atrasado","Pendente"))))</f>
        <v/>
      </c>
      <c r="J550" s="126">
        <f>IF($I550="Atrasado",'Config'!$C$9-$F550,"")</f>
        <v/>
      </c>
      <c r="K550" s="127">
        <f>IF(AND($E550&lt;&gt;"",$G550=""),$E550,0)</f>
        <v>0</v>
      </c>
      <c r="L550" s="127">
        <f>IF($I550="Atrasado",$E550,0)</f>
        <v>0</v>
      </c>
      <c r="M550" s="128">
        <f>IF($I550="Atrasado",$J550+ROW()/1000000,0)</f>
        <v>0</v>
      </c>
    </row>
    <row r="551" spans="9:13" ht="16.5" customHeight="1">
      <c r="I551" s="66">
        <f>IF($E551="","",IF($G551&lt;&gt;"","Pago",IF($F551="","Pendente",IF('Config'!$C$9&gt;$F551,"Atrasado","Pendente"))))</f>
        <v/>
      </c>
      <c r="J551" s="126">
        <f>IF($I551="Atrasado",'Config'!$C$9-$F551,"")</f>
        <v/>
      </c>
      <c r="K551" s="127">
        <f>IF(AND($E551&lt;&gt;"",$G551=""),$E551,0)</f>
        <v>0</v>
      </c>
      <c r="L551" s="127">
        <f>IF($I551="Atrasado",$E551,0)</f>
        <v>0</v>
      </c>
      <c r="M551" s="128">
        <f>IF($I551="Atrasado",$J551+ROW()/1000000,0)</f>
        <v>0</v>
      </c>
    </row>
    <row r="552" spans="9:13" ht="16.5" customHeight="1">
      <c r="I552" s="66">
        <f>IF($E552="","",IF($G552&lt;&gt;"","Pago",IF($F552="","Pendente",IF('Config'!$C$9&gt;$F552,"Atrasado","Pendente"))))</f>
        <v/>
      </c>
      <c r="J552" s="126">
        <f>IF($I552="Atrasado",'Config'!$C$9-$F552,"")</f>
        <v/>
      </c>
      <c r="K552" s="127">
        <f>IF(AND($E552&lt;&gt;"",$G552=""),$E552,0)</f>
        <v>0</v>
      </c>
      <c r="L552" s="127">
        <f>IF($I552="Atrasado",$E552,0)</f>
        <v>0</v>
      </c>
      <c r="M552" s="128">
        <f>IF($I552="Atrasado",$J552+ROW()/1000000,0)</f>
        <v>0</v>
      </c>
    </row>
    <row r="553" spans="9:13" ht="16.5" customHeight="1">
      <c r="I553" s="66">
        <f>IF($E553="","",IF($G553&lt;&gt;"","Pago",IF($F553="","Pendente",IF('Config'!$C$9&gt;$F553,"Atrasado","Pendente"))))</f>
        <v/>
      </c>
      <c r="J553" s="126">
        <f>IF($I553="Atrasado",'Config'!$C$9-$F553,"")</f>
        <v/>
      </c>
      <c r="K553" s="127">
        <f>IF(AND($E553&lt;&gt;"",$G553=""),$E553,0)</f>
        <v>0</v>
      </c>
      <c r="L553" s="127">
        <f>IF($I553="Atrasado",$E553,0)</f>
        <v>0</v>
      </c>
      <c r="M553" s="128">
        <f>IF($I553="Atrasado",$J553+ROW()/1000000,0)</f>
        <v>0</v>
      </c>
    </row>
    <row r="554" spans="9:13" ht="16.5" customHeight="1">
      <c r="I554" s="66">
        <f>IF($E554="","",IF($G554&lt;&gt;"","Pago",IF($F554="","Pendente",IF('Config'!$C$9&gt;$F554,"Atrasado","Pendente"))))</f>
        <v/>
      </c>
      <c r="J554" s="126">
        <f>IF($I554="Atrasado",'Config'!$C$9-$F554,"")</f>
        <v/>
      </c>
      <c r="K554" s="127">
        <f>IF(AND($E554&lt;&gt;"",$G554=""),$E554,0)</f>
        <v>0</v>
      </c>
      <c r="L554" s="127">
        <f>IF($I554="Atrasado",$E554,0)</f>
        <v>0</v>
      </c>
      <c r="M554" s="128">
        <f>IF($I554="Atrasado",$J554+ROW()/1000000,0)</f>
        <v>0</v>
      </c>
    </row>
    <row r="555" spans="9:13" ht="16.5" customHeight="1">
      <c r="I555" s="66">
        <f>IF($E555="","",IF($G555&lt;&gt;"","Pago",IF($F555="","Pendente",IF('Config'!$C$9&gt;$F555,"Atrasado","Pendente"))))</f>
        <v/>
      </c>
      <c r="J555" s="126">
        <f>IF($I555="Atrasado",'Config'!$C$9-$F555,"")</f>
        <v/>
      </c>
      <c r="K555" s="127">
        <f>IF(AND($E555&lt;&gt;"",$G555=""),$E555,0)</f>
        <v>0</v>
      </c>
      <c r="L555" s="127">
        <f>IF($I555="Atrasado",$E555,0)</f>
        <v>0</v>
      </c>
      <c r="M555" s="128">
        <f>IF($I555="Atrasado",$J555+ROW()/1000000,0)</f>
        <v>0</v>
      </c>
    </row>
    <row r="556" spans="9:13" ht="16.5" customHeight="1">
      <c r="I556" s="66">
        <f>IF($E556="","",IF($G556&lt;&gt;"","Pago",IF($F556="","Pendente",IF('Config'!$C$9&gt;$F556,"Atrasado","Pendente"))))</f>
        <v/>
      </c>
      <c r="J556" s="126">
        <f>IF($I556="Atrasado",'Config'!$C$9-$F556,"")</f>
        <v/>
      </c>
      <c r="K556" s="127">
        <f>IF(AND($E556&lt;&gt;"",$G556=""),$E556,0)</f>
        <v>0</v>
      </c>
      <c r="L556" s="127">
        <f>IF($I556="Atrasado",$E556,0)</f>
        <v>0</v>
      </c>
      <c r="M556" s="128">
        <f>IF($I556="Atrasado",$J556+ROW()/1000000,0)</f>
        <v>0</v>
      </c>
    </row>
    <row r="557" spans="9:13" ht="16.5" customHeight="1">
      <c r="I557" s="66">
        <f>IF($E557="","",IF($G557&lt;&gt;"","Pago",IF($F557="","Pendente",IF('Config'!$C$9&gt;$F557,"Atrasado","Pendente"))))</f>
        <v/>
      </c>
      <c r="J557" s="126">
        <f>IF($I557="Atrasado",'Config'!$C$9-$F557,"")</f>
        <v/>
      </c>
      <c r="K557" s="127">
        <f>IF(AND($E557&lt;&gt;"",$G557=""),$E557,0)</f>
        <v>0</v>
      </c>
      <c r="L557" s="127">
        <f>IF($I557="Atrasado",$E557,0)</f>
        <v>0</v>
      </c>
      <c r="M557" s="128">
        <f>IF($I557="Atrasado",$J557+ROW()/1000000,0)</f>
        <v>0</v>
      </c>
    </row>
    <row r="558" spans="9:13" ht="16.5" customHeight="1">
      <c r="I558" s="66">
        <f>IF($E558="","",IF($G558&lt;&gt;"","Pago",IF($F558="","Pendente",IF('Config'!$C$9&gt;$F558,"Atrasado","Pendente"))))</f>
        <v/>
      </c>
      <c r="J558" s="126">
        <f>IF($I558="Atrasado",'Config'!$C$9-$F558,"")</f>
        <v/>
      </c>
      <c r="K558" s="127">
        <f>IF(AND($E558&lt;&gt;"",$G558=""),$E558,0)</f>
        <v>0</v>
      </c>
      <c r="L558" s="127">
        <f>IF($I558="Atrasado",$E558,0)</f>
        <v>0</v>
      </c>
      <c r="M558" s="128">
        <f>IF($I558="Atrasado",$J558+ROW()/1000000,0)</f>
        <v>0</v>
      </c>
    </row>
    <row r="559" spans="9:13" ht="16.5" customHeight="1">
      <c r="I559" s="66">
        <f>IF($E559="","",IF($G559&lt;&gt;"","Pago",IF($F559="","Pendente",IF('Config'!$C$9&gt;$F559,"Atrasado","Pendente"))))</f>
        <v/>
      </c>
      <c r="J559" s="126">
        <f>IF($I559="Atrasado",'Config'!$C$9-$F559,"")</f>
        <v/>
      </c>
      <c r="K559" s="127">
        <f>IF(AND($E559&lt;&gt;"",$G559=""),$E559,0)</f>
        <v>0</v>
      </c>
      <c r="L559" s="127">
        <f>IF($I559="Atrasado",$E559,0)</f>
        <v>0</v>
      </c>
      <c r="M559" s="128">
        <f>IF($I559="Atrasado",$J559+ROW()/1000000,0)</f>
        <v>0</v>
      </c>
    </row>
    <row r="560" spans="9:13" ht="16.5" customHeight="1">
      <c r="I560" s="66">
        <f>IF($E560="","",IF($G560&lt;&gt;"","Pago",IF($F560="","Pendente",IF('Config'!$C$9&gt;$F560,"Atrasado","Pendente"))))</f>
        <v/>
      </c>
      <c r="J560" s="126">
        <f>IF($I560="Atrasado",'Config'!$C$9-$F560,"")</f>
        <v/>
      </c>
      <c r="K560" s="127">
        <f>IF(AND($E560&lt;&gt;"",$G560=""),$E560,0)</f>
        <v>0</v>
      </c>
      <c r="L560" s="127">
        <f>IF($I560="Atrasado",$E560,0)</f>
        <v>0</v>
      </c>
      <c r="M560" s="128">
        <f>IF($I560="Atrasado",$J560+ROW()/1000000,0)</f>
        <v>0</v>
      </c>
    </row>
    <row r="561" spans="9:13" ht="16.5" customHeight="1">
      <c r="I561" s="66">
        <f>IF($E561="","",IF($G561&lt;&gt;"","Pago",IF($F561="","Pendente",IF('Config'!$C$9&gt;$F561,"Atrasado","Pendente"))))</f>
        <v/>
      </c>
      <c r="J561" s="126">
        <f>IF($I561="Atrasado",'Config'!$C$9-$F561,"")</f>
        <v/>
      </c>
      <c r="K561" s="127">
        <f>IF(AND($E561&lt;&gt;"",$G561=""),$E561,0)</f>
        <v>0</v>
      </c>
      <c r="L561" s="127">
        <f>IF($I561="Atrasado",$E561,0)</f>
        <v>0</v>
      </c>
      <c r="M561" s="128">
        <f>IF($I561="Atrasado",$J561+ROW()/1000000,0)</f>
        <v>0</v>
      </c>
    </row>
    <row r="562" spans="9:13" ht="16.5" customHeight="1">
      <c r="I562" s="66">
        <f>IF($E562="","",IF($G562&lt;&gt;"","Pago",IF($F562="","Pendente",IF('Config'!$C$9&gt;$F562,"Atrasado","Pendente"))))</f>
        <v/>
      </c>
      <c r="J562" s="126">
        <f>IF($I562="Atrasado",'Config'!$C$9-$F562,"")</f>
        <v/>
      </c>
      <c r="K562" s="127">
        <f>IF(AND($E562&lt;&gt;"",$G562=""),$E562,0)</f>
        <v>0</v>
      </c>
      <c r="L562" s="127">
        <f>IF($I562="Atrasado",$E562,0)</f>
        <v>0</v>
      </c>
      <c r="M562" s="128">
        <f>IF($I562="Atrasado",$J562+ROW()/1000000,0)</f>
        <v>0</v>
      </c>
    </row>
    <row r="563" spans="9:13" ht="16.5" customHeight="1">
      <c r="I563" s="66">
        <f>IF($E563="","",IF($G563&lt;&gt;"","Pago",IF($F563="","Pendente",IF('Config'!$C$9&gt;$F563,"Atrasado","Pendente"))))</f>
        <v/>
      </c>
      <c r="J563" s="126">
        <f>IF($I563="Atrasado",'Config'!$C$9-$F563,"")</f>
        <v/>
      </c>
      <c r="K563" s="127">
        <f>IF(AND($E563&lt;&gt;"",$G563=""),$E563,0)</f>
        <v>0</v>
      </c>
      <c r="L563" s="127">
        <f>IF($I563="Atrasado",$E563,0)</f>
        <v>0</v>
      </c>
      <c r="M563" s="128">
        <f>IF($I563="Atrasado",$J563+ROW()/1000000,0)</f>
        <v>0</v>
      </c>
    </row>
    <row r="564" spans="9:13" ht="16.5" customHeight="1">
      <c r="I564" s="66">
        <f>IF($E564="","",IF($G564&lt;&gt;"","Pago",IF($F564="","Pendente",IF('Config'!$C$9&gt;$F564,"Atrasado","Pendente"))))</f>
        <v/>
      </c>
      <c r="J564" s="126">
        <f>IF($I564="Atrasado",'Config'!$C$9-$F564,"")</f>
        <v/>
      </c>
      <c r="K564" s="127">
        <f>IF(AND($E564&lt;&gt;"",$G564=""),$E564,0)</f>
        <v>0</v>
      </c>
      <c r="L564" s="127">
        <f>IF($I564="Atrasado",$E564,0)</f>
        <v>0</v>
      </c>
      <c r="M564" s="128">
        <f>IF($I564="Atrasado",$J564+ROW()/1000000,0)</f>
        <v>0</v>
      </c>
    </row>
    <row r="565" spans="9:13" ht="16.5" customHeight="1">
      <c r="I565" s="66">
        <f>IF($E565="","",IF($G565&lt;&gt;"","Pago",IF($F565="","Pendente",IF('Config'!$C$9&gt;$F565,"Atrasado","Pendente"))))</f>
        <v/>
      </c>
      <c r="J565" s="126">
        <f>IF($I565="Atrasado",'Config'!$C$9-$F565,"")</f>
        <v/>
      </c>
      <c r="K565" s="127">
        <f>IF(AND($E565&lt;&gt;"",$G565=""),$E565,0)</f>
        <v>0</v>
      </c>
      <c r="L565" s="127">
        <f>IF($I565="Atrasado",$E565,0)</f>
        <v>0</v>
      </c>
      <c r="M565" s="128">
        <f>IF($I565="Atrasado",$J565+ROW()/1000000,0)</f>
        <v>0</v>
      </c>
    </row>
    <row r="566" spans="9:13" ht="16.5" customHeight="1">
      <c r="I566" s="66">
        <f>IF($E566="","",IF($G566&lt;&gt;"","Pago",IF($F566="","Pendente",IF('Config'!$C$9&gt;$F566,"Atrasado","Pendente"))))</f>
        <v/>
      </c>
      <c r="J566" s="126">
        <f>IF($I566="Atrasado",'Config'!$C$9-$F566,"")</f>
        <v/>
      </c>
      <c r="K566" s="127">
        <f>IF(AND($E566&lt;&gt;"",$G566=""),$E566,0)</f>
        <v>0</v>
      </c>
      <c r="L566" s="127">
        <f>IF($I566="Atrasado",$E566,0)</f>
        <v>0</v>
      </c>
      <c r="M566" s="128">
        <f>IF($I566="Atrasado",$J566+ROW()/1000000,0)</f>
        <v>0</v>
      </c>
    </row>
    <row r="567" spans="9:13" ht="16.5" customHeight="1">
      <c r="I567" s="66">
        <f>IF($E567="","",IF($G567&lt;&gt;"","Pago",IF($F567="","Pendente",IF('Config'!$C$9&gt;$F567,"Atrasado","Pendente"))))</f>
        <v/>
      </c>
      <c r="J567" s="126">
        <f>IF($I567="Atrasado",'Config'!$C$9-$F567,"")</f>
        <v/>
      </c>
      <c r="K567" s="127">
        <f>IF(AND($E567&lt;&gt;"",$G567=""),$E567,0)</f>
        <v>0</v>
      </c>
      <c r="L567" s="127">
        <f>IF($I567="Atrasado",$E567,0)</f>
        <v>0</v>
      </c>
      <c r="M567" s="128">
        <f>IF($I567="Atrasado",$J567+ROW()/1000000,0)</f>
        <v>0</v>
      </c>
    </row>
    <row r="568" spans="9:13" ht="16.5" customHeight="1">
      <c r="I568" s="66">
        <f>IF($E568="","",IF($G568&lt;&gt;"","Pago",IF($F568="","Pendente",IF('Config'!$C$9&gt;$F568,"Atrasado","Pendente"))))</f>
        <v/>
      </c>
      <c r="J568" s="126">
        <f>IF($I568="Atrasado",'Config'!$C$9-$F568,"")</f>
        <v/>
      </c>
      <c r="K568" s="127">
        <f>IF(AND($E568&lt;&gt;"",$G568=""),$E568,0)</f>
        <v>0</v>
      </c>
      <c r="L568" s="127">
        <f>IF($I568="Atrasado",$E568,0)</f>
        <v>0</v>
      </c>
      <c r="M568" s="128">
        <f>IF($I568="Atrasado",$J568+ROW()/1000000,0)</f>
        <v>0</v>
      </c>
    </row>
    <row r="569" spans="9:13" ht="16.5" customHeight="1">
      <c r="I569" s="66">
        <f>IF($E569="","",IF($G569&lt;&gt;"","Pago",IF($F569="","Pendente",IF('Config'!$C$9&gt;$F569,"Atrasado","Pendente"))))</f>
        <v/>
      </c>
      <c r="J569" s="126">
        <f>IF($I569="Atrasado",'Config'!$C$9-$F569,"")</f>
        <v/>
      </c>
      <c r="K569" s="127">
        <f>IF(AND($E569&lt;&gt;"",$G569=""),$E569,0)</f>
        <v>0</v>
      </c>
      <c r="L569" s="127">
        <f>IF($I569="Atrasado",$E569,0)</f>
        <v>0</v>
      </c>
      <c r="M569" s="128">
        <f>IF($I569="Atrasado",$J569+ROW()/1000000,0)</f>
        <v>0</v>
      </c>
    </row>
    <row r="570" spans="9:13" ht="16.5" customHeight="1">
      <c r="I570" s="66">
        <f>IF($E570="","",IF($G570&lt;&gt;"","Pago",IF($F570="","Pendente",IF('Config'!$C$9&gt;$F570,"Atrasado","Pendente"))))</f>
        <v/>
      </c>
      <c r="J570" s="126">
        <f>IF($I570="Atrasado",'Config'!$C$9-$F570,"")</f>
        <v/>
      </c>
      <c r="K570" s="127">
        <f>IF(AND($E570&lt;&gt;"",$G570=""),$E570,0)</f>
        <v>0</v>
      </c>
      <c r="L570" s="127">
        <f>IF($I570="Atrasado",$E570,0)</f>
        <v>0</v>
      </c>
      <c r="M570" s="128">
        <f>IF($I570="Atrasado",$J570+ROW()/1000000,0)</f>
        <v>0</v>
      </c>
    </row>
    <row r="571" spans="9:13" ht="16.5" customHeight="1">
      <c r="I571" s="66">
        <f>IF($E571="","",IF($G571&lt;&gt;"","Pago",IF($F571="","Pendente",IF('Config'!$C$9&gt;$F571,"Atrasado","Pendente"))))</f>
        <v/>
      </c>
      <c r="J571" s="126">
        <f>IF($I571="Atrasado",'Config'!$C$9-$F571,"")</f>
        <v/>
      </c>
      <c r="K571" s="127">
        <f>IF(AND($E571&lt;&gt;"",$G571=""),$E571,0)</f>
        <v>0</v>
      </c>
      <c r="L571" s="127">
        <f>IF($I571="Atrasado",$E571,0)</f>
        <v>0</v>
      </c>
      <c r="M571" s="128">
        <f>IF($I571="Atrasado",$J571+ROW()/1000000,0)</f>
        <v>0</v>
      </c>
    </row>
    <row r="572" spans="9:13" ht="16.5" customHeight="1">
      <c r="I572" s="66">
        <f>IF($E572="","",IF($G572&lt;&gt;"","Pago",IF($F572="","Pendente",IF('Config'!$C$9&gt;$F572,"Atrasado","Pendente"))))</f>
        <v/>
      </c>
      <c r="J572" s="126">
        <f>IF($I572="Atrasado",'Config'!$C$9-$F572,"")</f>
        <v/>
      </c>
      <c r="K572" s="127">
        <f>IF(AND($E572&lt;&gt;"",$G572=""),$E572,0)</f>
        <v>0</v>
      </c>
      <c r="L572" s="127">
        <f>IF($I572="Atrasado",$E572,0)</f>
        <v>0</v>
      </c>
      <c r="M572" s="128">
        <f>IF($I572="Atrasado",$J572+ROW()/1000000,0)</f>
        <v>0</v>
      </c>
    </row>
    <row r="573" spans="9:13" ht="16.5" customHeight="1">
      <c r="I573" s="66">
        <f>IF($E573="","",IF($G573&lt;&gt;"","Pago",IF($F573="","Pendente",IF('Config'!$C$9&gt;$F573,"Atrasado","Pendente"))))</f>
        <v/>
      </c>
      <c r="J573" s="126">
        <f>IF($I573="Atrasado",'Config'!$C$9-$F573,"")</f>
        <v/>
      </c>
      <c r="K573" s="127">
        <f>IF(AND($E573&lt;&gt;"",$G573=""),$E573,0)</f>
        <v>0</v>
      </c>
      <c r="L573" s="127">
        <f>IF($I573="Atrasado",$E573,0)</f>
        <v>0</v>
      </c>
      <c r="M573" s="128">
        <f>IF($I573="Atrasado",$J573+ROW()/1000000,0)</f>
        <v>0</v>
      </c>
    </row>
    <row r="574" spans="9:13" ht="16.5" customHeight="1">
      <c r="I574" s="66">
        <f>IF($E574="","",IF($G574&lt;&gt;"","Pago",IF($F574="","Pendente",IF('Config'!$C$9&gt;$F574,"Atrasado","Pendente"))))</f>
        <v/>
      </c>
      <c r="J574" s="126">
        <f>IF($I574="Atrasado",'Config'!$C$9-$F574,"")</f>
        <v/>
      </c>
      <c r="K574" s="127">
        <f>IF(AND($E574&lt;&gt;"",$G574=""),$E574,0)</f>
        <v>0</v>
      </c>
      <c r="L574" s="127">
        <f>IF($I574="Atrasado",$E574,0)</f>
        <v>0</v>
      </c>
      <c r="M574" s="128">
        <f>IF($I574="Atrasado",$J574+ROW()/1000000,0)</f>
        <v>0</v>
      </c>
    </row>
    <row r="575" spans="9:13" ht="16.5" customHeight="1">
      <c r="I575" s="66">
        <f>IF($E575="","",IF($G575&lt;&gt;"","Pago",IF($F575="","Pendente",IF('Config'!$C$9&gt;$F575,"Atrasado","Pendente"))))</f>
        <v/>
      </c>
      <c r="J575" s="126">
        <f>IF($I575="Atrasado",'Config'!$C$9-$F575,"")</f>
        <v/>
      </c>
      <c r="K575" s="127">
        <f>IF(AND($E575&lt;&gt;"",$G575=""),$E575,0)</f>
        <v>0</v>
      </c>
      <c r="L575" s="127">
        <f>IF($I575="Atrasado",$E575,0)</f>
        <v>0</v>
      </c>
      <c r="M575" s="128">
        <f>IF($I575="Atrasado",$J575+ROW()/1000000,0)</f>
        <v>0</v>
      </c>
    </row>
    <row r="576" spans="9:13" ht="16.5" customHeight="1">
      <c r="I576" s="66">
        <f>IF($E576="","",IF($G576&lt;&gt;"","Pago",IF($F576="","Pendente",IF('Config'!$C$9&gt;$F576,"Atrasado","Pendente"))))</f>
        <v/>
      </c>
      <c r="J576" s="126">
        <f>IF($I576="Atrasado",'Config'!$C$9-$F576,"")</f>
        <v/>
      </c>
      <c r="K576" s="127">
        <f>IF(AND($E576&lt;&gt;"",$G576=""),$E576,0)</f>
        <v>0</v>
      </c>
      <c r="L576" s="127">
        <f>IF($I576="Atrasado",$E576,0)</f>
        <v>0</v>
      </c>
      <c r="M576" s="128">
        <f>IF($I576="Atrasado",$J576+ROW()/1000000,0)</f>
        <v>0</v>
      </c>
    </row>
    <row r="577" spans="9:13" ht="16.5" customHeight="1">
      <c r="I577" s="66">
        <f>IF($E577="","",IF($G577&lt;&gt;"","Pago",IF($F577="","Pendente",IF('Config'!$C$9&gt;$F577,"Atrasado","Pendente"))))</f>
        <v/>
      </c>
      <c r="J577" s="126">
        <f>IF($I577="Atrasado",'Config'!$C$9-$F577,"")</f>
        <v/>
      </c>
      <c r="K577" s="127">
        <f>IF(AND($E577&lt;&gt;"",$G577=""),$E577,0)</f>
        <v>0</v>
      </c>
      <c r="L577" s="127">
        <f>IF($I577="Atrasado",$E577,0)</f>
        <v>0</v>
      </c>
      <c r="M577" s="128">
        <f>IF($I577="Atrasado",$J577+ROW()/1000000,0)</f>
        <v>0</v>
      </c>
    </row>
    <row r="578" spans="9:13" ht="16.5" customHeight="1">
      <c r="I578" s="66">
        <f>IF($E578="","",IF($G578&lt;&gt;"","Pago",IF($F578="","Pendente",IF('Config'!$C$9&gt;$F578,"Atrasado","Pendente"))))</f>
        <v/>
      </c>
      <c r="J578" s="126">
        <f>IF($I578="Atrasado",'Config'!$C$9-$F578,"")</f>
        <v/>
      </c>
      <c r="K578" s="127">
        <f>IF(AND($E578&lt;&gt;"",$G578=""),$E578,0)</f>
        <v>0</v>
      </c>
      <c r="L578" s="127">
        <f>IF($I578="Atrasado",$E578,0)</f>
        <v>0</v>
      </c>
      <c r="M578" s="128">
        <f>IF($I578="Atrasado",$J578+ROW()/1000000,0)</f>
        <v>0</v>
      </c>
    </row>
    <row r="579" spans="9:13" ht="16.5" customHeight="1">
      <c r="I579" s="66">
        <f>IF($E579="","",IF($G579&lt;&gt;"","Pago",IF($F579="","Pendente",IF('Config'!$C$9&gt;$F579,"Atrasado","Pendente"))))</f>
        <v/>
      </c>
      <c r="J579" s="126">
        <f>IF($I579="Atrasado",'Config'!$C$9-$F579,"")</f>
        <v/>
      </c>
      <c r="K579" s="127">
        <f>IF(AND($E579&lt;&gt;"",$G579=""),$E579,0)</f>
        <v>0</v>
      </c>
      <c r="L579" s="127">
        <f>IF($I579="Atrasado",$E579,0)</f>
        <v>0</v>
      </c>
      <c r="M579" s="128">
        <f>IF($I579="Atrasado",$J579+ROW()/1000000,0)</f>
        <v>0</v>
      </c>
    </row>
    <row r="580" spans="9:13" ht="16.5" customHeight="1">
      <c r="I580" s="66">
        <f>IF($E580="","",IF($G580&lt;&gt;"","Pago",IF($F580="","Pendente",IF('Config'!$C$9&gt;$F580,"Atrasado","Pendente"))))</f>
        <v/>
      </c>
      <c r="J580" s="126">
        <f>IF($I580="Atrasado",'Config'!$C$9-$F580,"")</f>
        <v/>
      </c>
      <c r="K580" s="127">
        <f>IF(AND($E580&lt;&gt;"",$G580=""),$E580,0)</f>
        <v>0</v>
      </c>
      <c r="L580" s="127">
        <f>IF($I580="Atrasado",$E580,0)</f>
        <v>0</v>
      </c>
      <c r="M580" s="128">
        <f>IF($I580="Atrasado",$J580+ROW()/1000000,0)</f>
        <v>0</v>
      </c>
    </row>
    <row r="581" spans="9:13" ht="16.5" customHeight="1">
      <c r="I581" s="66">
        <f>IF($E581="","",IF($G581&lt;&gt;"","Pago",IF($F581="","Pendente",IF('Config'!$C$9&gt;$F581,"Atrasado","Pendente"))))</f>
        <v/>
      </c>
      <c r="J581" s="126">
        <f>IF($I581="Atrasado",'Config'!$C$9-$F581,"")</f>
        <v/>
      </c>
      <c r="K581" s="127">
        <f>IF(AND($E581&lt;&gt;"",$G581=""),$E581,0)</f>
        <v>0</v>
      </c>
      <c r="L581" s="127">
        <f>IF($I581="Atrasado",$E581,0)</f>
        <v>0</v>
      </c>
      <c r="M581" s="128">
        <f>IF($I581="Atrasado",$J581+ROW()/1000000,0)</f>
        <v>0</v>
      </c>
    </row>
    <row r="582" spans="9:13" ht="16.5" customHeight="1">
      <c r="I582" s="66">
        <f>IF($E582="","",IF($G582&lt;&gt;"","Pago",IF($F582="","Pendente",IF('Config'!$C$9&gt;$F582,"Atrasado","Pendente"))))</f>
        <v/>
      </c>
      <c r="J582" s="126">
        <f>IF($I582="Atrasado",'Config'!$C$9-$F582,"")</f>
        <v/>
      </c>
      <c r="K582" s="127">
        <f>IF(AND($E582&lt;&gt;"",$G582=""),$E582,0)</f>
        <v>0</v>
      </c>
      <c r="L582" s="127">
        <f>IF($I582="Atrasado",$E582,0)</f>
        <v>0</v>
      </c>
      <c r="M582" s="128">
        <f>IF($I582="Atrasado",$J582+ROW()/1000000,0)</f>
        <v>0</v>
      </c>
    </row>
    <row r="583" spans="9:13" ht="16.5" customHeight="1">
      <c r="I583" s="66">
        <f>IF($E583="","",IF($G583&lt;&gt;"","Pago",IF($F583="","Pendente",IF('Config'!$C$9&gt;$F583,"Atrasado","Pendente"))))</f>
        <v/>
      </c>
      <c r="J583" s="126">
        <f>IF($I583="Atrasado",'Config'!$C$9-$F583,"")</f>
        <v/>
      </c>
      <c r="K583" s="127">
        <f>IF(AND($E583&lt;&gt;"",$G583=""),$E583,0)</f>
        <v>0</v>
      </c>
      <c r="L583" s="127">
        <f>IF($I583="Atrasado",$E583,0)</f>
        <v>0</v>
      </c>
      <c r="M583" s="128">
        <f>IF($I583="Atrasado",$J583+ROW()/1000000,0)</f>
        <v>0</v>
      </c>
    </row>
    <row r="584" spans="9:13" ht="16.5" customHeight="1">
      <c r="I584" s="66">
        <f>IF($E584="","",IF($G584&lt;&gt;"","Pago",IF($F584="","Pendente",IF('Config'!$C$9&gt;$F584,"Atrasado","Pendente"))))</f>
        <v/>
      </c>
      <c r="J584" s="126">
        <f>IF($I584="Atrasado",'Config'!$C$9-$F584,"")</f>
        <v/>
      </c>
      <c r="K584" s="127">
        <f>IF(AND($E584&lt;&gt;"",$G584=""),$E584,0)</f>
        <v>0</v>
      </c>
      <c r="L584" s="127">
        <f>IF($I584="Atrasado",$E584,0)</f>
        <v>0</v>
      </c>
      <c r="M584" s="128">
        <f>IF($I584="Atrasado",$J584+ROW()/1000000,0)</f>
        <v>0</v>
      </c>
    </row>
    <row r="585" spans="9:13" ht="16.5" customHeight="1">
      <c r="I585" s="66">
        <f>IF($E585="","",IF($G585&lt;&gt;"","Pago",IF($F585="","Pendente",IF('Config'!$C$9&gt;$F585,"Atrasado","Pendente"))))</f>
        <v/>
      </c>
      <c r="J585" s="126">
        <f>IF($I585="Atrasado",'Config'!$C$9-$F585,"")</f>
        <v/>
      </c>
      <c r="K585" s="127">
        <f>IF(AND($E585&lt;&gt;"",$G585=""),$E585,0)</f>
        <v>0</v>
      </c>
      <c r="L585" s="127">
        <f>IF($I585="Atrasado",$E585,0)</f>
        <v>0</v>
      </c>
      <c r="M585" s="128">
        <f>IF($I585="Atrasado",$J585+ROW()/1000000,0)</f>
        <v>0</v>
      </c>
    </row>
    <row r="586" spans="9:13" ht="16.5" customHeight="1">
      <c r="I586" s="66">
        <f>IF($E586="","",IF($G586&lt;&gt;"","Pago",IF($F586="","Pendente",IF('Config'!$C$9&gt;$F586,"Atrasado","Pendente"))))</f>
        <v/>
      </c>
      <c r="J586" s="126">
        <f>IF($I586="Atrasado",'Config'!$C$9-$F586,"")</f>
        <v/>
      </c>
      <c r="K586" s="127">
        <f>IF(AND($E586&lt;&gt;"",$G586=""),$E586,0)</f>
        <v>0</v>
      </c>
      <c r="L586" s="127">
        <f>IF($I586="Atrasado",$E586,0)</f>
        <v>0</v>
      </c>
      <c r="M586" s="128">
        <f>IF($I586="Atrasado",$J586+ROW()/1000000,0)</f>
        <v>0</v>
      </c>
    </row>
    <row r="587" spans="9:13" ht="16.5" customHeight="1">
      <c r="I587" s="66">
        <f>IF($E587="","",IF($G587&lt;&gt;"","Pago",IF($F587="","Pendente",IF('Config'!$C$9&gt;$F587,"Atrasado","Pendente"))))</f>
        <v/>
      </c>
      <c r="J587" s="126">
        <f>IF($I587="Atrasado",'Config'!$C$9-$F587,"")</f>
        <v/>
      </c>
      <c r="K587" s="127">
        <f>IF(AND($E587&lt;&gt;"",$G587=""),$E587,0)</f>
        <v>0</v>
      </c>
      <c r="L587" s="127">
        <f>IF($I587="Atrasado",$E587,0)</f>
        <v>0</v>
      </c>
      <c r="M587" s="128">
        <f>IF($I587="Atrasado",$J587+ROW()/1000000,0)</f>
        <v>0</v>
      </c>
    </row>
    <row r="588" spans="9:13" ht="16.5" customHeight="1">
      <c r="I588" s="66">
        <f>IF($E588="","",IF($G588&lt;&gt;"","Pago",IF($F588="","Pendente",IF('Config'!$C$9&gt;$F588,"Atrasado","Pendente"))))</f>
        <v/>
      </c>
      <c r="J588" s="126">
        <f>IF($I588="Atrasado",'Config'!$C$9-$F588,"")</f>
        <v/>
      </c>
      <c r="K588" s="127">
        <f>IF(AND($E588&lt;&gt;"",$G588=""),$E588,0)</f>
        <v>0</v>
      </c>
      <c r="L588" s="127">
        <f>IF($I588="Atrasado",$E588,0)</f>
        <v>0</v>
      </c>
      <c r="M588" s="128">
        <f>IF($I588="Atrasado",$J588+ROW()/1000000,0)</f>
        <v>0</v>
      </c>
    </row>
    <row r="589" spans="9:13" ht="16.5" customHeight="1">
      <c r="I589" s="66">
        <f>IF($E589="","",IF($G589&lt;&gt;"","Pago",IF($F589="","Pendente",IF('Config'!$C$9&gt;$F589,"Atrasado","Pendente"))))</f>
        <v/>
      </c>
      <c r="J589" s="126">
        <f>IF($I589="Atrasado",'Config'!$C$9-$F589,"")</f>
        <v/>
      </c>
      <c r="K589" s="127">
        <f>IF(AND($E589&lt;&gt;"",$G589=""),$E589,0)</f>
        <v>0</v>
      </c>
      <c r="L589" s="127">
        <f>IF($I589="Atrasado",$E589,0)</f>
        <v>0</v>
      </c>
      <c r="M589" s="128">
        <f>IF($I589="Atrasado",$J589+ROW()/1000000,0)</f>
        <v>0</v>
      </c>
    </row>
    <row r="590" spans="9:13" ht="16.5" customHeight="1">
      <c r="I590" s="66">
        <f>IF($E590="","",IF($G590&lt;&gt;"","Pago",IF($F590="","Pendente",IF('Config'!$C$9&gt;$F590,"Atrasado","Pendente"))))</f>
        <v/>
      </c>
      <c r="J590" s="126">
        <f>IF($I590="Atrasado",'Config'!$C$9-$F590,"")</f>
        <v/>
      </c>
      <c r="K590" s="127">
        <f>IF(AND($E590&lt;&gt;"",$G590=""),$E590,0)</f>
        <v>0</v>
      </c>
      <c r="L590" s="127">
        <f>IF($I590="Atrasado",$E590,0)</f>
        <v>0</v>
      </c>
      <c r="M590" s="128">
        <f>IF($I590="Atrasado",$J590+ROW()/1000000,0)</f>
        <v>0</v>
      </c>
    </row>
    <row r="591" spans="9:13" ht="16.5" customHeight="1">
      <c r="I591" s="66">
        <f>IF($E591="","",IF($G591&lt;&gt;"","Pago",IF($F591="","Pendente",IF('Config'!$C$9&gt;$F591,"Atrasado","Pendente"))))</f>
        <v/>
      </c>
      <c r="J591" s="126">
        <f>IF($I591="Atrasado",'Config'!$C$9-$F591,"")</f>
        <v/>
      </c>
      <c r="K591" s="127">
        <f>IF(AND($E591&lt;&gt;"",$G591=""),$E591,0)</f>
        <v>0</v>
      </c>
      <c r="L591" s="127">
        <f>IF($I591="Atrasado",$E591,0)</f>
        <v>0</v>
      </c>
      <c r="M591" s="128">
        <f>IF($I591="Atrasado",$J591+ROW()/1000000,0)</f>
        <v>0</v>
      </c>
    </row>
    <row r="592" spans="9:13" ht="16.5" customHeight="1">
      <c r="I592" s="66">
        <f>IF($E592="","",IF($G592&lt;&gt;"","Pago",IF($F592="","Pendente",IF('Config'!$C$9&gt;$F592,"Atrasado","Pendente"))))</f>
        <v/>
      </c>
      <c r="J592" s="126">
        <f>IF($I592="Atrasado",'Config'!$C$9-$F592,"")</f>
        <v/>
      </c>
      <c r="K592" s="127">
        <f>IF(AND($E592&lt;&gt;"",$G592=""),$E592,0)</f>
        <v>0</v>
      </c>
      <c r="L592" s="127">
        <f>IF($I592="Atrasado",$E592,0)</f>
        <v>0</v>
      </c>
      <c r="M592" s="128">
        <f>IF($I592="Atrasado",$J592+ROW()/1000000,0)</f>
        <v>0</v>
      </c>
    </row>
    <row r="593" spans="9:13" ht="16.5" customHeight="1">
      <c r="I593" s="66">
        <f>IF($E593="","",IF($G593&lt;&gt;"","Pago",IF($F593="","Pendente",IF('Config'!$C$9&gt;$F593,"Atrasado","Pendente"))))</f>
        <v/>
      </c>
      <c r="J593" s="126">
        <f>IF($I593="Atrasado",'Config'!$C$9-$F593,"")</f>
        <v/>
      </c>
      <c r="K593" s="127">
        <f>IF(AND($E593&lt;&gt;"",$G593=""),$E593,0)</f>
        <v>0</v>
      </c>
      <c r="L593" s="127">
        <f>IF($I593="Atrasado",$E593,0)</f>
        <v>0</v>
      </c>
      <c r="M593" s="128">
        <f>IF($I593="Atrasado",$J593+ROW()/1000000,0)</f>
        <v>0</v>
      </c>
    </row>
    <row r="594" spans="9:13" ht="16.5" customHeight="1">
      <c r="I594" s="66">
        <f>IF($E594="","",IF($G594&lt;&gt;"","Pago",IF($F594="","Pendente",IF('Config'!$C$9&gt;$F594,"Atrasado","Pendente"))))</f>
        <v/>
      </c>
      <c r="J594" s="126">
        <f>IF($I594="Atrasado",'Config'!$C$9-$F594,"")</f>
        <v/>
      </c>
      <c r="K594" s="127">
        <f>IF(AND($E594&lt;&gt;"",$G594=""),$E594,0)</f>
        <v>0</v>
      </c>
      <c r="L594" s="127">
        <f>IF($I594="Atrasado",$E594,0)</f>
        <v>0</v>
      </c>
      <c r="M594" s="128">
        <f>IF($I594="Atrasado",$J594+ROW()/1000000,0)</f>
        <v>0</v>
      </c>
    </row>
    <row r="595" spans="9:13" ht="16.5" customHeight="1">
      <c r="I595" s="66">
        <f>IF($E595="","",IF($G595&lt;&gt;"","Pago",IF($F595="","Pendente",IF('Config'!$C$9&gt;$F595,"Atrasado","Pendente"))))</f>
        <v/>
      </c>
      <c r="J595" s="126">
        <f>IF($I595="Atrasado",'Config'!$C$9-$F595,"")</f>
        <v/>
      </c>
      <c r="K595" s="127">
        <f>IF(AND($E595&lt;&gt;"",$G595=""),$E595,0)</f>
        <v>0</v>
      </c>
      <c r="L595" s="127">
        <f>IF($I595="Atrasado",$E595,0)</f>
        <v>0</v>
      </c>
      <c r="M595" s="128">
        <f>IF($I595="Atrasado",$J595+ROW()/1000000,0)</f>
        <v>0</v>
      </c>
    </row>
    <row r="596" spans="9:13" ht="16.5" customHeight="1">
      <c r="I596" s="66">
        <f>IF($E596="","",IF($G596&lt;&gt;"","Pago",IF($F596="","Pendente",IF('Config'!$C$9&gt;$F596,"Atrasado","Pendente"))))</f>
        <v/>
      </c>
      <c r="J596" s="126">
        <f>IF($I596="Atrasado",'Config'!$C$9-$F596,"")</f>
        <v/>
      </c>
      <c r="K596" s="127">
        <f>IF(AND($E596&lt;&gt;"",$G596=""),$E596,0)</f>
        <v>0</v>
      </c>
      <c r="L596" s="127">
        <f>IF($I596="Atrasado",$E596,0)</f>
        <v>0</v>
      </c>
      <c r="M596" s="128">
        <f>IF($I596="Atrasado",$J596+ROW()/1000000,0)</f>
        <v>0</v>
      </c>
    </row>
    <row r="597" spans="9:13" ht="16.5" customHeight="1">
      <c r="I597" s="66">
        <f>IF($E597="","",IF($G597&lt;&gt;"","Pago",IF($F597="","Pendente",IF('Config'!$C$9&gt;$F597,"Atrasado","Pendente"))))</f>
        <v/>
      </c>
      <c r="J597" s="126">
        <f>IF($I597="Atrasado",'Config'!$C$9-$F597,"")</f>
        <v/>
      </c>
      <c r="K597" s="127">
        <f>IF(AND($E597&lt;&gt;"",$G597=""),$E597,0)</f>
        <v>0</v>
      </c>
      <c r="L597" s="127">
        <f>IF($I597="Atrasado",$E597,0)</f>
        <v>0</v>
      </c>
      <c r="M597" s="128">
        <f>IF($I597="Atrasado",$J597+ROW()/1000000,0)</f>
        <v>0</v>
      </c>
    </row>
    <row r="598" spans="9:13" ht="16.5" customHeight="1">
      <c r="I598" s="66">
        <f>IF($E598="","",IF($G598&lt;&gt;"","Pago",IF($F598="","Pendente",IF('Config'!$C$9&gt;$F598,"Atrasado","Pendente"))))</f>
        <v/>
      </c>
      <c r="J598" s="126">
        <f>IF($I598="Atrasado",'Config'!$C$9-$F598,"")</f>
        <v/>
      </c>
      <c r="K598" s="127">
        <f>IF(AND($E598&lt;&gt;"",$G598=""),$E598,0)</f>
        <v>0</v>
      </c>
      <c r="L598" s="127">
        <f>IF($I598="Atrasado",$E598,0)</f>
        <v>0</v>
      </c>
      <c r="M598" s="128">
        <f>IF($I598="Atrasado",$J598+ROW()/1000000,0)</f>
        <v>0</v>
      </c>
    </row>
    <row r="599" spans="9:13" ht="16.5" customHeight="1">
      <c r="I599" s="66">
        <f>IF($E599="","",IF($G599&lt;&gt;"","Pago",IF($F599="","Pendente",IF('Config'!$C$9&gt;$F599,"Atrasado","Pendente"))))</f>
        <v/>
      </c>
      <c r="J599" s="126">
        <f>IF($I599="Atrasado",'Config'!$C$9-$F599,"")</f>
        <v/>
      </c>
      <c r="K599" s="127">
        <f>IF(AND($E599&lt;&gt;"",$G599=""),$E599,0)</f>
        <v>0</v>
      </c>
      <c r="L599" s="127">
        <f>IF($I599="Atrasado",$E599,0)</f>
        <v>0</v>
      </c>
      <c r="M599" s="128">
        <f>IF($I599="Atrasado",$J599+ROW()/1000000,0)</f>
        <v>0</v>
      </c>
    </row>
    <row r="600" spans="9:13" ht="16.5" customHeight="1">
      <c r="I600" s="66">
        <f>IF($E600="","",IF($G600&lt;&gt;"","Pago",IF($F600="","Pendente",IF('Config'!$C$9&gt;$F600,"Atrasado","Pendente"))))</f>
        <v/>
      </c>
      <c r="J600" s="126">
        <f>IF($I600="Atrasado",'Config'!$C$9-$F600,"")</f>
        <v/>
      </c>
      <c r="K600" s="127">
        <f>IF(AND($E600&lt;&gt;"",$G600=""),$E600,0)</f>
        <v>0</v>
      </c>
      <c r="L600" s="127">
        <f>IF($I600="Atrasado",$E600,0)</f>
        <v>0</v>
      </c>
      <c r="M600" s="128">
        <f>IF($I600="Atrasado",$J600+ROW()/1000000,0)</f>
        <v>0</v>
      </c>
    </row>
    <row r="601" spans="9:13" ht="16.5" customHeight="1">
      <c r="I601" s="66">
        <f>IF($E601="","",IF($G601&lt;&gt;"","Pago",IF($F601="","Pendente",IF('Config'!$C$9&gt;$F601,"Atrasado","Pendente"))))</f>
        <v/>
      </c>
      <c r="J601" s="126">
        <f>IF($I601="Atrasado",'Config'!$C$9-$F601,"")</f>
        <v/>
      </c>
      <c r="K601" s="127">
        <f>IF(AND($E601&lt;&gt;"",$G601=""),$E601,0)</f>
        <v>0</v>
      </c>
      <c r="L601" s="127">
        <f>IF($I601="Atrasado",$E601,0)</f>
        <v>0</v>
      </c>
      <c r="M601" s="128">
        <f>IF($I601="Atrasado",$J601+ROW()/1000000,0)</f>
        <v>0</v>
      </c>
    </row>
    <row r="602" spans="9:13" ht="16.5" customHeight="1">
      <c r="I602" s="66">
        <f>IF($E602="","",IF($G602&lt;&gt;"","Pago",IF($F602="","Pendente",IF('Config'!$C$9&gt;$F602,"Atrasado","Pendente"))))</f>
        <v/>
      </c>
      <c r="J602" s="126">
        <f>IF($I602="Atrasado",'Config'!$C$9-$F602,"")</f>
        <v/>
      </c>
      <c r="K602" s="127">
        <f>IF(AND($E602&lt;&gt;"",$G602=""),$E602,0)</f>
        <v>0</v>
      </c>
      <c r="L602" s="127">
        <f>IF($I602="Atrasado",$E602,0)</f>
        <v>0</v>
      </c>
      <c r="M602" s="128">
        <f>IF($I602="Atrasado",$J602+ROW()/1000000,0)</f>
        <v>0</v>
      </c>
    </row>
    <row r="603" spans="9:13" ht="16.5" customHeight="1">
      <c r="I603" s="66">
        <f>IF($E603="","",IF($G603&lt;&gt;"","Pago",IF($F603="","Pendente",IF('Config'!$C$9&gt;$F603,"Atrasado","Pendente"))))</f>
        <v/>
      </c>
      <c r="J603" s="126">
        <f>IF($I603="Atrasado",'Config'!$C$9-$F603,"")</f>
        <v/>
      </c>
      <c r="K603" s="127">
        <f>IF(AND($E603&lt;&gt;"",$G603=""),$E603,0)</f>
        <v>0</v>
      </c>
      <c r="L603" s="127">
        <f>IF($I603="Atrasado",$E603,0)</f>
        <v>0</v>
      </c>
      <c r="M603" s="128">
        <f>IF($I603="Atrasado",$J603+ROW()/1000000,0)</f>
        <v>0</v>
      </c>
    </row>
    <row r="604" spans="9:13" ht="16.5" customHeight="1">
      <c r="I604" s="66">
        <f>IF($E604="","",IF($G604&lt;&gt;"","Pago",IF($F604="","Pendente",IF('Config'!$C$9&gt;$F604,"Atrasado","Pendente"))))</f>
        <v/>
      </c>
      <c r="J604" s="126">
        <f>IF($I604="Atrasado",'Config'!$C$9-$F604,"")</f>
        <v/>
      </c>
      <c r="K604" s="127">
        <f>IF(AND($E604&lt;&gt;"",$G604=""),$E604,0)</f>
        <v>0</v>
      </c>
      <c r="L604" s="127">
        <f>IF($I604="Atrasado",$E604,0)</f>
        <v>0</v>
      </c>
      <c r="M604" s="128">
        <f>IF($I604="Atrasado",$J604+ROW()/1000000,0)</f>
        <v>0</v>
      </c>
    </row>
    <row r="605" spans="9:13" ht="16.5" customHeight="1">
      <c r="I605" s="66">
        <f>IF($E605="","",IF($G605&lt;&gt;"","Pago",IF($F605="","Pendente",IF('Config'!$C$9&gt;$F605,"Atrasado","Pendente"))))</f>
        <v/>
      </c>
      <c r="J605" s="126">
        <f>IF($I605="Atrasado",'Config'!$C$9-$F605,"")</f>
        <v/>
      </c>
      <c r="K605" s="127">
        <f>IF(AND($E605&lt;&gt;"",$G605=""),$E605,0)</f>
        <v>0</v>
      </c>
      <c r="L605" s="127">
        <f>IF($I605="Atrasado",$E605,0)</f>
        <v>0</v>
      </c>
      <c r="M605" s="128">
        <f>IF($I605="Atrasado",$J605+ROW()/1000000,0)</f>
        <v>0</v>
      </c>
    </row>
    <row r="606" spans="9:13" ht="16.5" customHeight="1">
      <c r="I606" s="66">
        <f>IF($E606="","",IF($G606&lt;&gt;"","Pago",IF($F606="","Pendente",IF('Config'!$C$9&gt;$F606,"Atrasado","Pendente"))))</f>
        <v/>
      </c>
      <c r="J606" s="126">
        <f>IF($I606="Atrasado",'Config'!$C$9-$F606,"")</f>
        <v/>
      </c>
      <c r="K606" s="127">
        <f>IF(AND($E606&lt;&gt;"",$G606=""),$E606,0)</f>
        <v>0</v>
      </c>
      <c r="L606" s="127">
        <f>IF($I606="Atrasado",$E606,0)</f>
        <v>0</v>
      </c>
      <c r="M606" s="128">
        <f>IF($I606="Atrasado",$J606+ROW()/1000000,0)</f>
        <v>0</v>
      </c>
    </row>
    <row r="607" spans="9:13" ht="16.5" customHeight="1">
      <c r="I607" s="66">
        <f>IF($E607="","",IF($G607&lt;&gt;"","Pago",IF($F607="","Pendente",IF('Config'!$C$9&gt;$F607,"Atrasado","Pendente"))))</f>
        <v/>
      </c>
      <c r="J607" s="126">
        <f>IF($I607="Atrasado",'Config'!$C$9-$F607,"")</f>
        <v/>
      </c>
      <c r="K607" s="127">
        <f>IF(AND($E607&lt;&gt;"",$G607=""),$E607,0)</f>
        <v>0</v>
      </c>
      <c r="L607" s="127">
        <f>IF($I607="Atrasado",$E607,0)</f>
        <v>0</v>
      </c>
      <c r="M607" s="128">
        <f>IF($I607="Atrasado",$J607+ROW()/1000000,0)</f>
        <v>0</v>
      </c>
    </row>
    <row r="608" spans="9:13" ht="16.5" customHeight="1">
      <c r="I608" s="66">
        <f>IF($E608="","",IF($G608&lt;&gt;"","Pago",IF($F608="","Pendente",IF('Config'!$C$9&gt;$F608,"Atrasado","Pendente"))))</f>
        <v/>
      </c>
      <c r="J608" s="126">
        <f>IF($I608="Atrasado",'Config'!$C$9-$F608,"")</f>
        <v/>
      </c>
      <c r="K608" s="127">
        <f>IF(AND($E608&lt;&gt;"",$G608=""),$E608,0)</f>
        <v>0</v>
      </c>
      <c r="L608" s="127">
        <f>IF($I608="Atrasado",$E608,0)</f>
        <v>0</v>
      </c>
      <c r="M608" s="128">
        <f>IF($I608="Atrasado",$J608+ROW()/1000000,0)</f>
        <v>0</v>
      </c>
    </row>
    <row r="609" spans="9:13" ht="16.5" customHeight="1">
      <c r="I609" s="66">
        <f>IF($E609="","",IF($G609&lt;&gt;"","Pago",IF($F609="","Pendente",IF('Config'!$C$9&gt;$F609,"Atrasado","Pendente"))))</f>
        <v/>
      </c>
      <c r="J609" s="126">
        <f>IF($I609="Atrasado",'Config'!$C$9-$F609,"")</f>
        <v/>
      </c>
      <c r="K609" s="127">
        <f>IF(AND($E609&lt;&gt;"",$G609=""),$E609,0)</f>
        <v>0</v>
      </c>
      <c r="L609" s="127">
        <f>IF($I609="Atrasado",$E609,0)</f>
        <v>0</v>
      </c>
      <c r="M609" s="128">
        <f>IF($I609="Atrasado",$J609+ROW()/1000000,0)</f>
        <v>0</v>
      </c>
    </row>
    <row r="610" spans="9:13" ht="16.5" customHeight="1">
      <c r="I610" s="66">
        <f>IF($E610="","",IF($G610&lt;&gt;"","Pago",IF($F610="","Pendente",IF('Config'!$C$9&gt;$F610,"Atrasado","Pendente"))))</f>
        <v/>
      </c>
      <c r="J610" s="126">
        <f>IF($I610="Atrasado",'Config'!$C$9-$F610,"")</f>
        <v/>
      </c>
      <c r="K610" s="127">
        <f>IF(AND($E610&lt;&gt;"",$G610=""),$E610,0)</f>
        <v>0</v>
      </c>
      <c r="L610" s="127">
        <f>IF($I610="Atrasado",$E610,0)</f>
        <v>0</v>
      </c>
      <c r="M610" s="128">
        <f>IF($I610="Atrasado",$J610+ROW()/1000000,0)</f>
        <v>0</v>
      </c>
    </row>
    <row r="611" spans="9:13" ht="16.5" customHeight="1">
      <c r="I611" s="66">
        <f>IF($E611="","",IF($G611&lt;&gt;"","Pago",IF($F611="","Pendente",IF('Config'!$C$9&gt;$F611,"Atrasado","Pendente"))))</f>
        <v/>
      </c>
      <c r="J611" s="126">
        <f>IF($I611="Atrasado",'Config'!$C$9-$F611,"")</f>
        <v/>
      </c>
      <c r="K611" s="127">
        <f>IF(AND($E611&lt;&gt;"",$G611=""),$E611,0)</f>
        <v>0</v>
      </c>
      <c r="L611" s="127">
        <f>IF($I611="Atrasado",$E611,0)</f>
        <v>0</v>
      </c>
      <c r="M611" s="128">
        <f>IF($I611="Atrasado",$J611+ROW()/1000000,0)</f>
        <v>0</v>
      </c>
    </row>
    <row r="612" spans="9:13" ht="16.5" customHeight="1">
      <c r="I612" s="66">
        <f>IF($E612="","",IF($G612&lt;&gt;"","Pago",IF($F612="","Pendente",IF('Config'!$C$9&gt;$F612,"Atrasado","Pendente"))))</f>
        <v/>
      </c>
      <c r="J612" s="126">
        <f>IF($I612="Atrasado",'Config'!$C$9-$F612,"")</f>
        <v/>
      </c>
      <c r="K612" s="127">
        <f>IF(AND($E612&lt;&gt;"",$G612=""),$E612,0)</f>
        <v>0</v>
      </c>
      <c r="L612" s="127">
        <f>IF($I612="Atrasado",$E612,0)</f>
        <v>0</v>
      </c>
      <c r="M612" s="128">
        <f>IF($I612="Atrasado",$J612+ROW()/1000000,0)</f>
        <v>0</v>
      </c>
    </row>
    <row r="613" spans="9:13" ht="16.5" customHeight="1">
      <c r="I613" s="66">
        <f>IF($E613="","",IF($G613&lt;&gt;"","Pago",IF($F613="","Pendente",IF('Config'!$C$9&gt;$F613,"Atrasado","Pendente"))))</f>
        <v/>
      </c>
      <c r="J613" s="126">
        <f>IF($I613="Atrasado",'Config'!$C$9-$F613,"")</f>
        <v/>
      </c>
      <c r="K613" s="127">
        <f>IF(AND($E613&lt;&gt;"",$G613=""),$E613,0)</f>
        <v>0</v>
      </c>
      <c r="L613" s="127">
        <f>IF($I613="Atrasado",$E613,0)</f>
        <v>0</v>
      </c>
      <c r="M613" s="128">
        <f>IF($I613="Atrasado",$J613+ROW()/1000000,0)</f>
        <v>0</v>
      </c>
    </row>
    <row r="614" spans="9:13" ht="16.5" customHeight="1">
      <c r="I614" s="66">
        <f>IF($E614="","",IF($G614&lt;&gt;"","Pago",IF($F614="","Pendente",IF('Config'!$C$9&gt;$F614,"Atrasado","Pendente"))))</f>
        <v/>
      </c>
      <c r="J614" s="126">
        <f>IF($I614="Atrasado",'Config'!$C$9-$F614,"")</f>
        <v/>
      </c>
      <c r="K614" s="127">
        <f>IF(AND($E614&lt;&gt;"",$G614=""),$E614,0)</f>
        <v>0</v>
      </c>
      <c r="L614" s="127">
        <f>IF($I614="Atrasado",$E614,0)</f>
        <v>0</v>
      </c>
      <c r="M614" s="128">
        <f>IF($I614="Atrasado",$J614+ROW()/1000000,0)</f>
        <v>0</v>
      </c>
    </row>
    <row r="615" spans="9:13" ht="16.5" customHeight="1">
      <c r="I615" s="66">
        <f>IF($E615="","",IF($G615&lt;&gt;"","Pago",IF($F615="","Pendente",IF('Config'!$C$9&gt;$F615,"Atrasado","Pendente"))))</f>
        <v/>
      </c>
      <c r="J615" s="126">
        <f>IF($I615="Atrasado",'Config'!$C$9-$F615,"")</f>
        <v/>
      </c>
      <c r="K615" s="127">
        <f>IF(AND($E615&lt;&gt;"",$G615=""),$E615,0)</f>
        <v>0</v>
      </c>
      <c r="L615" s="127">
        <f>IF($I615="Atrasado",$E615,0)</f>
        <v>0</v>
      </c>
      <c r="M615" s="128">
        <f>IF($I615="Atrasado",$J615+ROW()/1000000,0)</f>
        <v>0</v>
      </c>
    </row>
    <row r="616" spans="9:13" ht="16.5" customHeight="1">
      <c r="I616" s="66">
        <f>IF($E616="","",IF($G616&lt;&gt;"","Pago",IF($F616="","Pendente",IF('Config'!$C$9&gt;$F616,"Atrasado","Pendente"))))</f>
        <v/>
      </c>
      <c r="J616" s="126">
        <f>IF($I616="Atrasado",'Config'!$C$9-$F616,"")</f>
        <v/>
      </c>
      <c r="K616" s="127">
        <f>IF(AND($E616&lt;&gt;"",$G616=""),$E616,0)</f>
        <v>0</v>
      </c>
      <c r="L616" s="127">
        <f>IF($I616="Atrasado",$E616,0)</f>
        <v>0</v>
      </c>
      <c r="M616" s="128">
        <f>IF($I616="Atrasado",$J616+ROW()/1000000,0)</f>
        <v>0</v>
      </c>
    </row>
    <row r="617" spans="9:13" ht="16.5" customHeight="1">
      <c r="I617" s="66">
        <f>IF($E617="","",IF($G617&lt;&gt;"","Pago",IF($F617="","Pendente",IF('Config'!$C$9&gt;$F617,"Atrasado","Pendente"))))</f>
        <v/>
      </c>
      <c r="J617" s="126">
        <f>IF($I617="Atrasado",'Config'!$C$9-$F617,"")</f>
        <v/>
      </c>
      <c r="K617" s="127">
        <f>IF(AND($E617&lt;&gt;"",$G617=""),$E617,0)</f>
        <v>0</v>
      </c>
      <c r="L617" s="127">
        <f>IF($I617="Atrasado",$E617,0)</f>
        <v>0</v>
      </c>
      <c r="M617" s="128">
        <f>IF($I617="Atrasado",$J617+ROW()/1000000,0)</f>
        <v>0</v>
      </c>
    </row>
    <row r="618" spans="9:13" ht="16.5" customHeight="1">
      <c r="I618" s="66">
        <f>IF($E618="","",IF($G618&lt;&gt;"","Pago",IF($F618="","Pendente",IF('Config'!$C$9&gt;$F618,"Atrasado","Pendente"))))</f>
        <v/>
      </c>
      <c r="J618" s="126">
        <f>IF($I618="Atrasado",'Config'!$C$9-$F618,"")</f>
        <v/>
      </c>
      <c r="K618" s="127">
        <f>IF(AND($E618&lt;&gt;"",$G618=""),$E618,0)</f>
        <v>0</v>
      </c>
      <c r="L618" s="127">
        <f>IF($I618="Atrasado",$E618,0)</f>
        <v>0</v>
      </c>
      <c r="M618" s="128">
        <f>IF($I618="Atrasado",$J618+ROW()/1000000,0)</f>
        <v>0</v>
      </c>
    </row>
    <row r="619" spans="9:13" ht="16.5" customHeight="1">
      <c r="I619" s="66">
        <f>IF($E619="","",IF($G619&lt;&gt;"","Pago",IF($F619="","Pendente",IF('Config'!$C$9&gt;$F619,"Atrasado","Pendente"))))</f>
        <v/>
      </c>
      <c r="J619" s="126">
        <f>IF($I619="Atrasado",'Config'!$C$9-$F619,"")</f>
        <v/>
      </c>
      <c r="K619" s="127">
        <f>IF(AND($E619&lt;&gt;"",$G619=""),$E619,0)</f>
        <v>0</v>
      </c>
      <c r="L619" s="127">
        <f>IF($I619="Atrasado",$E619,0)</f>
        <v>0</v>
      </c>
      <c r="M619" s="128">
        <f>IF($I619="Atrasado",$J619+ROW()/1000000,0)</f>
        <v>0</v>
      </c>
    </row>
    <row r="620" spans="9:13" ht="16.5" customHeight="1">
      <c r="I620" s="66">
        <f>IF($E620="","",IF($G620&lt;&gt;"","Pago",IF($F620="","Pendente",IF('Config'!$C$9&gt;$F620,"Atrasado","Pendente"))))</f>
        <v/>
      </c>
      <c r="J620" s="126">
        <f>IF($I620="Atrasado",'Config'!$C$9-$F620,"")</f>
        <v/>
      </c>
      <c r="K620" s="127">
        <f>IF(AND($E620&lt;&gt;"",$G620=""),$E620,0)</f>
        <v>0</v>
      </c>
      <c r="L620" s="127">
        <f>IF($I620="Atrasado",$E620,0)</f>
        <v>0</v>
      </c>
      <c r="M620" s="128">
        <f>IF($I620="Atrasado",$J620+ROW()/1000000,0)</f>
        <v>0</v>
      </c>
    </row>
    <row r="621" spans="9:13" ht="16.5" customHeight="1">
      <c r="I621" s="66">
        <f>IF($E621="","",IF($G621&lt;&gt;"","Pago",IF($F621="","Pendente",IF('Config'!$C$9&gt;$F621,"Atrasado","Pendente"))))</f>
        <v/>
      </c>
      <c r="J621" s="126">
        <f>IF($I621="Atrasado",'Config'!$C$9-$F621,"")</f>
        <v/>
      </c>
      <c r="K621" s="127">
        <f>IF(AND($E621&lt;&gt;"",$G621=""),$E621,0)</f>
        <v>0</v>
      </c>
      <c r="L621" s="127">
        <f>IF($I621="Atrasado",$E621,0)</f>
        <v>0</v>
      </c>
      <c r="M621" s="128">
        <f>IF($I621="Atrasado",$J621+ROW()/1000000,0)</f>
        <v>0</v>
      </c>
    </row>
    <row r="622" spans="9:13" ht="16.5" customHeight="1">
      <c r="I622" s="66">
        <f>IF($E622="","",IF($G622&lt;&gt;"","Pago",IF($F622="","Pendente",IF('Config'!$C$9&gt;$F622,"Atrasado","Pendente"))))</f>
        <v/>
      </c>
      <c r="J622" s="126">
        <f>IF($I622="Atrasado",'Config'!$C$9-$F622,"")</f>
        <v/>
      </c>
      <c r="K622" s="127">
        <f>IF(AND($E622&lt;&gt;"",$G622=""),$E622,0)</f>
        <v>0</v>
      </c>
      <c r="L622" s="127">
        <f>IF($I622="Atrasado",$E622,0)</f>
        <v>0</v>
      </c>
      <c r="M622" s="128">
        <f>IF($I622="Atrasado",$J622+ROW()/1000000,0)</f>
        <v>0</v>
      </c>
    </row>
    <row r="623" spans="9:13" ht="16.5" customHeight="1">
      <c r="I623" s="66">
        <f>IF($E623="","",IF($G623&lt;&gt;"","Pago",IF($F623="","Pendente",IF('Config'!$C$9&gt;$F623,"Atrasado","Pendente"))))</f>
        <v/>
      </c>
      <c r="J623" s="126">
        <f>IF($I623="Atrasado",'Config'!$C$9-$F623,"")</f>
        <v/>
      </c>
      <c r="K623" s="127">
        <f>IF(AND($E623&lt;&gt;"",$G623=""),$E623,0)</f>
        <v>0</v>
      </c>
      <c r="L623" s="127">
        <f>IF($I623="Atrasado",$E623,0)</f>
        <v>0</v>
      </c>
      <c r="M623" s="128">
        <f>IF($I623="Atrasado",$J623+ROW()/1000000,0)</f>
        <v>0</v>
      </c>
    </row>
    <row r="624" spans="9:13" ht="16.5" customHeight="1">
      <c r="I624" s="66">
        <f>IF($E624="","",IF($G624&lt;&gt;"","Pago",IF($F624="","Pendente",IF('Config'!$C$9&gt;$F624,"Atrasado","Pendente"))))</f>
        <v/>
      </c>
      <c r="J624" s="126">
        <f>IF($I624="Atrasado",'Config'!$C$9-$F624,"")</f>
        <v/>
      </c>
      <c r="K624" s="127">
        <f>IF(AND($E624&lt;&gt;"",$G624=""),$E624,0)</f>
        <v>0</v>
      </c>
      <c r="L624" s="127">
        <f>IF($I624="Atrasado",$E624,0)</f>
        <v>0</v>
      </c>
      <c r="M624" s="128">
        <f>IF($I624="Atrasado",$J624+ROW()/1000000,0)</f>
        <v>0</v>
      </c>
    </row>
    <row r="625" spans="9:13" ht="16.5" customHeight="1">
      <c r="I625" s="66">
        <f>IF($E625="","",IF($G625&lt;&gt;"","Pago",IF($F625="","Pendente",IF('Config'!$C$9&gt;$F625,"Atrasado","Pendente"))))</f>
        <v/>
      </c>
      <c r="J625" s="126">
        <f>IF($I625="Atrasado",'Config'!$C$9-$F625,"")</f>
        <v/>
      </c>
      <c r="K625" s="127">
        <f>IF(AND($E625&lt;&gt;"",$G625=""),$E625,0)</f>
        <v>0</v>
      </c>
      <c r="L625" s="127">
        <f>IF($I625="Atrasado",$E625,0)</f>
        <v>0</v>
      </c>
      <c r="M625" s="128">
        <f>IF($I625="Atrasado",$J625+ROW()/1000000,0)</f>
        <v>0</v>
      </c>
    </row>
    <row r="626" spans="9:13" ht="16.5" customHeight="1">
      <c r="I626" s="66">
        <f>IF($E626="","",IF($G626&lt;&gt;"","Pago",IF($F626="","Pendente",IF('Config'!$C$9&gt;$F626,"Atrasado","Pendente"))))</f>
        <v/>
      </c>
      <c r="J626" s="126">
        <f>IF($I626="Atrasado",'Config'!$C$9-$F626,"")</f>
        <v/>
      </c>
      <c r="K626" s="127">
        <f>IF(AND($E626&lt;&gt;"",$G626=""),$E626,0)</f>
        <v>0</v>
      </c>
      <c r="L626" s="127">
        <f>IF($I626="Atrasado",$E626,0)</f>
        <v>0</v>
      </c>
      <c r="M626" s="128">
        <f>IF($I626="Atrasado",$J626+ROW()/1000000,0)</f>
        <v>0</v>
      </c>
    </row>
    <row r="627" spans="9:13" ht="16.5" customHeight="1">
      <c r="I627" s="66">
        <f>IF($E627="","",IF($G627&lt;&gt;"","Pago",IF($F627="","Pendente",IF('Config'!$C$9&gt;$F627,"Atrasado","Pendente"))))</f>
        <v/>
      </c>
      <c r="J627" s="126">
        <f>IF($I627="Atrasado",'Config'!$C$9-$F627,"")</f>
        <v/>
      </c>
      <c r="K627" s="127">
        <f>IF(AND($E627&lt;&gt;"",$G627=""),$E627,0)</f>
        <v>0</v>
      </c>
      <c r="L627" s="127">
        <f>IF($I627="Atrasado",$E627,0)</f>
        <v>0</v>
      </c>
      <c r="M627" s="128">
        <f>IF($I627="Atrasado",$J627+ROW()/1000000,0)</f>
        <v>0</v>
      </c>
    </row>
    <row r="628" spans="9:13" ht="16.5" customHeight="1">
      <c r="I628" s="66">
        <f>IF($E628="","",IF($G628&lt;&gt;"","Pago",IF($F628="","Pendente",IF('Config'!$C$9&gt;$F628,"Atrasado","Pendente"))))</f>
        <v/>
      </c>
      <c r="J628" s="126">
        <f>IF($I628="Atrasado",'Config'!$C$9-$F628,"")</f>
        <v/>
      </c>
      <c r="K628" s="127">
        <f>IF(AND($E628&lt;&gt;"",$G628=""),$E628,0)</f>
        <v>0</v>
      </c>
      <c r="L628" s="127">
        <f>IF($I628="Atrasado",$E628,0)</f>
        <v>0</v>
      </c>
      <c r="M628" s="128">
        <f>IF($I628="Atrasado",$J628+ROW()/1000000,0)</f>
        <v>0</v>
      </c>
    </row>
    <row r="629" spans="9:13" ht="16.5" customHeight="1">
      <c r="I629" s="66">
        <f>IF($E629="","",IF($G629&lt;&gt;"","Pago",IF($F629="","Pendente",IF('Config'!$C$9&gt;$F629,"Atrasado","Pendente"))))</f>
        <v/>
      </c>
      <c r="J629" s="126">
        <f>IF($I629="Atrasado",'Config'!$C$9-$F629,"")</f>
        <v/>
      </c>
      <c r="K629" s="127">
        <f>IF(AND($E629&lt;&gt;"",$G629=""),$E629,0)</f>
        <v>0</v>
      </c>
      <c r="L629" s="127">
        <f>IF($I629="Atrasado",$E629,0)</f>
        <v>0</v>
      </c>
      <c r="M629" s="128">
        <f>IF($I629="Atrasado",$J629+ROW()/1000000,0)</f>
        <v>0</v>
      </c>
    </row>
    <row r="630" spans="9:13" ht="16.5" customHeight="1">
      <c r="I630" s="66">
        <f>IF($E630="","",IF($G630&lt;&gt;"","Pago",IF($F630="","Pendente",IF('Config'!$C$9&gt;$F630,"Atrasado","Pendente"))))</f>
        <v/>
      </c>
      <c r="J630" s="126">
        <f>IF($I630="Atrasado",'Config'!$C$9-$F630,"")</f>
        <v/>
      </c>
      <c r="K630" s="127">
        <f>IF(AND($E630&lt;&gt;"",$G630=""),$E630,0)</f>
        <v>0</v>
      </c>
      <c r="L630" s="127">
        <f>IF($I630="Atrasado",$E630,0)</f>
        <v>0</v>
      </c>
      <c r="M630" s="128">
        <f>IF($I630="Atrasado",$J630+ROW()/1000000,0)</f>
        <v>0</v>
      </c>
    </row>
    <row r="631" spans="9:13" ht="16.5" customHeight="1">
      <c r="I631" s="66">
        <f>IF($E631="","",IF($G631&lt;&gt;"","Pago",IF($F631="","Pendente",IF('Config'!$C$9&gt;$F631,"Atrasado","Pendente"))))</f>
        <v/>
      </c>
      <c r="J631" s="126">
        <f>IF($I631="Atrasado",'Config'!$C$9-$F631,"")</f>
        <v/>
      </c>
      <c r="K631" s="127">
        <f>IF(AND($E631&lt;&gt;"",$G631=""),$E631,0)</f>
        <v>0</v>
      </c>
      <c r="L631" s="127">
        <f>IF($I631="Atrasado",$E631,0)</f>
        <v>0</v>
      </c>
      <c r="M631" s="128">
        <f>IF($I631="Atrasado",$J631+ROW()/1000000,0)</f>
        <v>0</v>
      </c>
    </row>
    <row r="632" spans="9:13" ht="16.5" customHeight="1">
      <c r="I632" s="66">
        <f>IF($E632="","",IF($G632&lt;&gt;"","Pago",IF($F632="","Pendente",IF('Config'!$C$9&gt;$F632,"Atrasado","Pendente"))))</f>
        <v/>
      </c>
      <c r="J632" s="126">
        <f>IF($I632="Atrasado",'Config'!$C$9-$F632,"")</f>
        <v/>
      </c>
      <c r="K632" s="127">
        <f>IF(AND($E632&lt;&gt;"",$G632=""),$E632,0)</f>
        <v>0</v>
      </c>
      <c r="L632" s="127">
        <f>IF($I632="Atrasado",$E632,0)</f>
        <v>0</v>
      </c>
      <c r="M632" s="128">
        <f>IF($I632="Atrasado",$J632+ROW()/1000000,0)</f>
        <v>0</v>
      </c>
    </row>
    <row r="633" spans="9:13" ht="16.5" customHeight="1">
      <c r="I633" s="66">
        <f>IF($E633="","",IF($G633&lt;&gt;"","Pago",IF($F633="","Pendente",IF('Config'!$C$9&gt;$F633,"Atrasado","Pendente"))))</f>
        <v/>
      </c>
      <c r="J633" s="126">
        <f>IF($I633="Atrasado",'Config'!$C$9-$F633,"")</f>
        <v/>
      </c>
      <c r="K633" s="127">
        <f>IF(AND($E633&lt;&gt;"",$G633=""),$E633,0)</f>
        <v>0</v>
      </c>
      <c r="L633" s="127">
        <f>IF($I633="Atrasado",$E633,0)</f>
        <v>0</v>
      </c>
      <c r="M633" s="128">
        <f>IF($I633="Atrasado",$J633+ROW()/1000000,0)</f>
        <v>0</v>
      </c>
    </row>
    <row r="634" spans="9:13" ht="16.5" customHeight="1">
      <c r="I634" s="66">
        <f>IF($E634="","",IF($G634&lt;&gt;"","Pago",IF($F634="","Pendente",IF('Config'!$C$9&gt;$F634,"Atrasado","Pendente"))))</f>
        <v/>
      </c>
      <c r="J634" s="126">
        <f>IF($I634="Atrasado",'Config'!$C$9-$F634,"")</f>
        <v/>
      </c>
      <c r="K634" s="127">
        <f>IF(AND($E634&lt;&gt;"",$G634=""),$E634,0)</f>
        <v>0</v>
      </c>
      <c r="L634" s="127">
        <f>IF($I634="Atrasado",$E634,0)</f>
        <v>0</v>
      </c>
      <c r="M634" s="128">
        <f>IF($I634="Atrasado",$J634+ROW()/1000000,0)</f>
        <v>0</v>
      </c>
    </row>
    <row r="635" spans="9:13" ht="16.5" customHeight="1">
      <c r="I635" s="66">
        <f>IF($E635="","",IF($G635&lt;&gt;"","Pago",IF($F635="","Pendente",IF('Config'!$C$9&gt;$F635,"Atrasado","Pendente"))))</f>
        <v/>
      </c>
      <c r="J635" s="126">
        <f>IF($I635="Atrasado",'Config'!$C$9-$F635,"")</f>
        <v/>
      </c>
      <c r="K635" s="127">
        <f>IF(AND($E635&lt;&gt;"",$G635=""),$E635,0)</f>
        <v>0</v>
      </c>
      <c r="L635" s="127">
        <f>IF($I635="Atrasado",$E635,0)</f>
        <v>0</v>
      </c>
      <c r="M635" s="128">
        <f>IF($I635="Atrasado",$J635+ROW()/1000000,0)</f>
        <v>0</v>
      </c>
    </row>
    <row r="636" spans="9:13" ht="16.5" customHeight="1">
      <c r="I636" s="66">
        <f>IF($E636="","",IF($G636&lt;&gt;"","Pago",IF($F636="","Pendente",IF('Config'!$C$9&gt;$F636,"Atrasado","Pendente"))))</f>
        <v/>
      </c>
      <c r="J636" s="126">
        <f>IF($I636="Atrasado",'Config'!$C$9-$F636,"")</f>
        <v/>
      </c>
      <c r="K636" s="127">
        <f>IF(AND($E636&lt;&gt;"",$G636=""),$E636,0)</f>
        <v>0</v>
      </c>
      <c r="L636" s="127">
        <f>IF($I636="Atrasado",$E636,0)</f>
        <v>0</v>
      </c>
      <c r="M636" s="128">
        <f>IF($I636="Atrasado",$J636+ROW()/1000000,0)</f>
        <v>0</v>
      </c>
    </row>
    <row r="637" spans="9:13" ht="16.5" customHeight="1">
      <c r="I637" s="66">
        <f>IF($E637="","",IF($G637&lt;&gt;"","Pago",IF($F637="","Pendente",IF('Config'!$C$9&gt;$F637,"Atrasado","Pendente"))))</f>
        <v/>
      </c>
      <c r="J637" s="126">
        <f>IF($I637="Atrasado",'Config'!$C$9-$F637,"")</f>
        <v/>
      </c>
      <c r="K637" s="127">
        <f>IF(AND($E637&lt;&gt;"",$G637=""),$E637,0)</f>
        <v>0</v>
      </c>
      <c r="L637" s="127">
        <f>IF($I637="Atrasado",$E637,0)</f>
        <v>0</v>
      </c>
      <c r="M637" s="128">
        <f>IF($I637="Atrasado",$J637+ROW()/1000000,0)</f>
        <v>0</v>
      </c>
    </row>
    <row r="638" spans="9:13" ht="16.5" customHeight="1">
      <c r="I638" s="66">
        <f>IF($E638="","",IF($G638&lt;&gt;"","Pago",IF($F638="","Pendente",IF('Config'!$C$9&gt;$F638,"Atrasado","Pendente"))))</f>
        <v/>
      </c>
      <c r="J638" s="126">
        <f>IF($I638="Atrasado",'Config'!$C$9-$F638,"")</f>
        <v/>
      </c>
      <c r="K638" s="127">
        <f>IF(AND($E638&lt;&gt;"",$G638=""),$E638,0)</f>
        <v>0</v>
      </c>
      <c r="L638" s="127">
        <f>IF($I638="Atrasado",$E638,0)</f>
        <v>0</v>
      </c>
      <c r="M638" s="128">
        <f>IF($I638="Atrasado",$J638+ROW()/1000000,0)</f>
        <v>0</v>
      </c>
    </row>
    <row r="639" spans="9:13" ht="16.5" customHeight="1">
      <c r="I639" s="66">
        <f>IF($E639="","",IF($G639&lt;&gt;"","Pago",IF($F639="","Pendente",IF('Config'!$C$9&gt;$F639,"Atrasado","Pendente"))))</f>
        <v/>
      </c>
      <c r="J639" s="126">
        <f>IF($I639="Atrasado",'Config'!$C$9-$F639,"")</f>
        <v/>
      </c>
      <c r="K639" s="127">
        <f>IF(AND($E639&lt;&gt;"",$G639=""),$E639,0)</f>
        <v>0</v>
      </c>
      <c r="L639" s="127">
        <f>IF($I639="Atrasado",$E639,0)</f>
        <v>0</v>
      </c>
      <c r="M639" s="128">
        <f>IF($I639="Atrasado",$J639+ROW()/1000000,0)</f>
        <v>0</v>
      </c>
    </row>
    <row r="640" spans="9:13" ht="16.5" customHeight="1">
      <c r="I640" s="66">
        <f>IF($E640="","",IF($G640&lt;&gt;"","Pago",IF($F640="","Pendente",IF('Config'!$C$9&gt;$F640,"Atrasado","Pendente"))))</f>
        <v/>
      </c>
      <c r="J640" s="126">
        <f>IF($I640="Atrasado",'Config'!$C$9-$F640,"")</f>
        <v/>
      </c>
      <c r="K640" s="127">
        <f>IF(AND($E640&lt;&gt;"",$G640=""),$E640,0)</f>
        <v>0</v>
      </c>
      <c r="L640" s="127">
        <f>IF($I640="Atrasado",$E640,0)</f>
        <v>0</v>
      </c>
      <c r="M640" s="128">
        <f>IF($I640="Atrasado",$J640+ROW()/1000000,0)</f>
        <v>0</v>
      </c>
    </row>
    <row r="641" spans="9:13" ht="16.5" customHeight="1">
      <c r="I641" s="66">
        <f>IF($E641="","",IF($G641&lt;&gt;"","Pago",IF($F641="","Pendente",IF('Config'!$C$9&gt;$F641,"Atrasado","Pendente"))))</f>
        <v/>
      </c>
      <c r="J641" s="126">
        <f>IF($I641="Atrasado",'Config'!$C$9-$F641,"")</f>
        <v/>
      </c>
      <c r="K641" s="127">
        <f>IF(AND($E641&lt;&gt;"",$G641=""),$E641,0)</f>
        <v>0</v>
      </c>
      <c r="L641" s="127">
        <f>IF($I641="Atrasado",$E641,0)</f>
        <v>0</v>
      </c>
      <c r="M641" s="128">
        <f>IF($I641="Atrasado",$J641+ROW()/1000000,0)</f>
        <v>0</v>
      </c>
    </row>
    <row r="642" spans="9:13" ht="16.5" customHeight="1">
      <c r="I642" s="66">
        <f>IF($E642="","",IF($G642&lt;&gt;"","Pago",IF($F642="","Pendente",IF('Config'!$C$9&gt;$F642,"Atrasado","Pendente"))))</f>
        <v/>
      </c>
      <c r="J642" s="126">
        <f>IF($I642="Atrasado",'Config'!$C$9-$F642,"")</f>
        <v/>
      </c>
      <c r="K642" s="127">
        <f>IF(AND($E642&lt;&gt;"",$G642=""),$E642,0)</f>
        <v>0</v>
      </c>
      <c r="L642" s="127">
        <f>IF($I642="Atrasado",$E642,0)</f>
        <v>0</v>
      </c>
      <c r="M642" s="128">
        <f>IF($I642="Atrasado",$J642+ROW()/1000000,0)</f>
        <v>0</v>
      </c>
    </row>
    <row r="643" spans="9:13" ht="16.5" customHeight="1">
      <c r="I643" s="66">
        <f>IF($E643="","",IF($G643&lt;&gt;"","Pago",IF($F643="","Pendente",IF('Config'!$C$9&gt;$F643,"Atrasado","Pendente"))))</f>
        <v/>
      </c>
      <c r="J643" s="126">
        <f>IF($I643="Atrasado",'Config'!$C$9-$F643,"")</f>
        <v/>
      </c>
      <c r="K643" s="127">
        <f>IF(AND($E643&lt;&gt;"",$G643=""),$E643,0)</f>
        <v>0</v>
      </c>
      <c r="L643" s="127">
        <f>IF($I643="Atrasado",$E643,0)</f>
        <v>0</v>
      </c>
      <c r="M643" s="128">
        <f>IF($I643="Atrasado",$J643+ROW()/1000000,0)</f>
        <v>0</v>
      </c>
    </row>
    <row r="644" spans="9:13" ht="16.5" customHeight="1">
      <c r="I644" s="66">
        <f>IF($E644="","",IF($G644&lt;&gt;"","Pago",IF($F644="","Pendente",IF('Config'!$C$9&gt;$F644,"Atrasado","Pendente"))))</f>
        <v/>
      </c>
      <c r="J644" s="126">
        <f>IF($I644="Atrasado",'Config'!$C$9-$F644,"")</f>
        <v/>
      </c>
      <c r="K644" s="127">
        <f>IF(AND($E644&lt;&gt;"",$G644=""),$E644,0)</f>
        <v>0</v>
      </c>
      <c r="L644" s="127">
        <f>IF($I644="Atrasado",$E644,0)</f>
        <v>0</v>
      </c>
      <c r="M644" s="128">
        <f>IF($I644="Atrasado",$J644+ROW()/1000000,0)</f>
        <v>0</v>
      </c>
    </row>
    <row r="645" spans="9:13" ht="16.5" customHeight="1">
      <c r="I645" s="66">
        <f>IF($E645="","",IF($G645&lt;&gt;"","Pago",IF($F645="","Pendente",IF('Config'!$C$9&gt;$F645,"Atrasado","Pendente"))))</f>
        <v/>
      </c>
      <c r="J645" s="126">
        <f>IF($I645="Atrasado",'Config'!$C$9-$F645,"")</f>
        <v/>
      </c>
      <c r="K645" s="127">
        <f>IF(AND($E645&lt;&gt;"",$G645=""),$E645,0)</f>
        <v>0</v>
      </c>
      <c r="L645" s="127">
        <f>IF($I645="Atrasado",$E645,0)</f>
        <v>0</v>
      </c>
      <c r="M645" s="128">
        <f>IF($I645="Atrasado",$J645+ROW()/1000000,0)</f>
        <v>0</v>
      </c>
    </row>
    <row r="646" spans="9:13" ht="16.5" customHeight="1">
      <c r="I646" s="66">
        <f>IF($E646="","",IF($G646&lt;&gt;"","Pago",IF($F646="","Pendente",IF('Config'!$C$9&gt;$F646,"Atrasado","Pendente"))))</f>
        <v/>
      </c>
      <c r="J646" s="126">
        <f>IF($I646="Atrasado",'Config'!$C$9-$F646,"")</f>
        <v/>
      </c>
      <c r="K646" s="127">
        <f>IF(AND($E646&lt;&gt;"",$G646=""),$E646,0)</f>
        <v>0</v>
      </c>
      <c r="L646" s="127">
        <f>IF($I646="Atrasado",$E646,0)</f>
        <v>0</v>
      </c>
      <c r="M646" s="128">
        <f>IF($I646="Atrasado",$J646+ROW()/1000000,0)</f>
        <v>0</v>
      </c>
    </row>
    <row r="647" spans="9:13" ht="16.5" customHeight="1">
      <c r="I647" s="66">
        <f>IF($E647="","",IF($G647&lt;&gt;"","Pago",IF($F647="","Pendente",IF('Config'!$C$9&gt;$F647,"Atrasado","Pendente"))))</f>
        <v/>
      </c>
      <c r="J647" s="126">
        <f>IF($I647="Atrasado",'Config'!$C$9-$F647,"")</f>
        <v/>
      </c>
      <c r="K647" s="127">
        <f>IF(AND($E647&lt;&gt;"",$G647=""),$E647,0)</f>
        <v>0</v>
      </c>
      <c r="L647" s="127">
        <f>IF($I647="Atrasado",$E647,0)</f>
        <v>0</v>
      </c>
      <c r="M647" s="128">
        <f>IF($I647="Atrasado",$J647+ROW()/1000000,0)</f>
        <v>0</v>
      </c>
    </row>
    <row r="648" spans="9:13" ht="16.5" customHeight="1">
      <c r="I648" s="66">
        <f>IF($E648="","",IF($G648&lt;&gt;"","Pago",IF($F648="","Pendente",IF('Config'!$C$9&gt;$F648,"Atrasado","Pendente"))))</f>
        <v/>
      </c>
      <c r="J648" s="126">
        <f>IF($I648="Atrasado",'Config'!$C$9-$F648,"")</f>
        <v/>
      </c>
      <c r="K648" s="127">
        <f>IF(AND($E648&lt;&gt;"",$G648=""),$E648,0)</f>
        <v>0</v>
      </c>
      <c r="L648" s="127">
        <f>IF($I648="Atrasado",$E648,0)</f>
        <v>0</v>
      </c>
      <c r="M648" s="128">
        <f>IF($I648="Atrasado",$J648+ROW()/1000000,0)</f>
        <v>0</v>
      </c>
    </row>
    <row r="649" spans="9:13" ht="16.5" customHeight="1">
      <c r="I649" s="66">
        <f>IF($E649="","",IF($G649&lt;&gt;"","Pago",IF($F649="","Pendente",IF('Config'!$C$9&gt;$F649,"Atrasado","Pendente"))))</f>
        <v/>
      </c>
      <c r="J649" s="126">
        <f>IF($I649="Atrasado",'Config'!$C$9-$F649,"")</f>
        <v/>
      </c>
      <c r="K649" s="127">
        <f>IF(AND($E649&lt;&gt;"",$G649=""),$E649,0)</f>
        <v>0</v>
      </c>
      <c r="L649" s="127">
        <f>IF($I649="Atrasado",$E649,0)</f>
        <v>0</v>
      </c>
      <c r="M649" s="128">
        <f>IF($I649="Atrasado",$J649+ROW()/1000000,0)</f>
        <v>0</v>
      </c>
    </row>
    <row r="650" spans="9:13" ht="16.5" customHeight="1">
      <c r="I650" s="66">
        <f>IF($E650="","",IF($G650&lt;&gt;"","Pago",IF($F650="","Pendente",IF('Config'!$C$9&gt;$F650,"Atrasado","Pendente"))))</f>
        <v/>
      </c>
      <c r="J650" s="126">
        <f>IF($I650="Atrasado",'Config'!$C$9-$F650,"")</f>
        <v/>
      </c>
      <c r="K650" s="127">
        <f>IF(AND($E650&lt;&gt;"",$G650=""),$E650,0)</f>
        <v>0</v>
      </c>
      <c r="L650" s="127">
        <f>IF($I650="Atrasado",$E650,0)</f>
        <v>0</v>
      </c>
      <c r="M650" s="128">
        <f>IF($I650="Atrasado",$J650+ROW()/1000000,0)</f>
        <v>0</v>
      </c>
    </row>
    <row r="651" spans="9:13" ht="16.5" customHeight="1">
      <c r="I651" s="66">
        <f>IF($E651="","",IF($G651&lt;&gt;"","Pago",IF($F651="","Pendente",IF('Config'!$C$9&gt;$F651,"Atrasado","Pendente"))))</f>
        <v/>
      </c>
      <c r="J651" s="126">
        <f>IF($I651="Atrasado",'Config'!$C$9-$F651,"")</f>
        <v/>
      </c>
      <c r="K651" s="127">
        <f>IF(AND($E651&lt;&gt;"",$G651=""),$E651,0)</f>
        <v>0</v>
      </c>
      <c r="L651" s="127">
        <f>IF($I651="Atrasado",$E651,0)</f>
        <v>0</v>
      </c>
      <c r="M651" s="128">
        <f>IF($I651="Atrasado",$J651+ROW()/1000000,0)</f>
        <v>0</v>
      </c>
    </row>
    <row r="652" spans="9:13" ht="16.5" customHeight="1">
      <c r="I652" s="66">
        <f>IF($E652="","",IF($G652&lt;&gt;"","Pago",IF($F652="","Pendente",IF('Config'!$C$9&gt;$F652,"Atrasado","Pendente"))))</f>
        <v/>
      </c>
      <c r="J652" s="126">
        <f>IF($I652="Atrasado",'Config'!$C$9-$F652,"")</f>
        <v/>
      </c>
      <c r="K652" s="127">
        <f>IF(AND($E652&lt;&gt;"",$G652=""),$E652,0)</f>
        <v>0</v>
      </c>
      <c r="L652" s="127">
        <f>IF($I652="Atrasado",$E652,0)</f>
        <v>0</v>
      </c>
      <c r="M652" s="128">
        <f>IF($I652="Atrasado",$J652+ROW()/1000000,0)</f>
        <v>0</v>
      </c>
    </row>
    <row r="653" spans="9:13" ht="16.5" customHeight="1">
      <c r="I653" s="66">
        <f>IF($E653="","",IF($G653&lt;&gt;"","Pago",IF($F653="","Pendente",IF('Config'!$C$9&gt;$F653,"Atrasado","Pendente"))))</f>
        <v/>
      </c>
      <c r="J653" s="126">
        <f>IF($I653="Atrasado",'Config'!$C$9-$F653,"")</f>
        <v/>
      </c>
      <c r="K653" s="127">
        <f>IF(AND($E653&lt;&gt;"",$G653=""),$E653,0)</f>
        <v>0</v>
      </c>
      <c r="L653" s="127">
        <f>IF($I653="Atrasado",$E653,0)</f>
        <v>0</v>
      </c>
      <c r="M653" s="128">
        <f>IF($I653="Atrasado",$J653+ROW()/1000000,0)</f>
        <v>0</v>
      </c>
    </row>
    <row r="654" spans="9:13" ht="16.5" customHeight="1">
      <c r="I654" s="66">
        <f>IF($E654="","",IF($G654&lt;&gt;"","Pago",IF($F654="","Pendente",IF('Config'!$C$9&gt;$F654,"Atrasado","Pendente"))))</f>
        <v/>
      </c>
      <c r="J654" s="126">
        <f>IF($I654="Atrasado",'Config'!$C$9-$F654,"")</f>
        <v/>
      </c>
      <c r="K654" s="127">
        <f>IF(AND($E654&lt;&gt;"",$G654=""),$E654,0)</f>
        <v>0</v>
      </c>
      <c r="L654" s="127">
        <f>IF($I654="Atrasado",$E654,0)</f>
        <v>0</v>
      </c>
      <c r="M654" s="128">
        <f>IF($I654="Atrasado",$J654+ROW()/1000000,0)</f>
        <v>0</v>
      </c>
    </row>
    <row r="655" spans="9:13" ht="16.5" customHeight="1">
      <c r="I655" s="66">
        <f>IF($E655="","",IF($G655&lt;&gt;"","Pago",IF($F655="","Pendente",IF('Config'!$C$9&gt;$F655,"Atrasado","Pendente"))))</f>
        <v/>
      </c>
      <c r="J655" s="126">
        <f>IF($I655="Atrasado",'Config'!$C$9-$F655,"")</f>
        <v/>
      </c>
      <c r="K655" s="127">
        <f>IF(AND($E655&lt;&gt;"",$G655=""),$E655,0)</f>
        <v>0</v>
      </c>
      <c r="L655" s="127">
        <f>IF($I655="Atrasado",$E655,0)</f>
        <v>0</v>
      </c>
      <c r="M655" s="128">
        <f>IF($I655="Atrasado",$J655+ROW()/1000000,0)</f>
        <v>0</v>
      </c>
    </row>
    <row r="656" spans="9:13" ht="16.5" customHeight="1">
      <c r="I656" s="66">
        <f>IF($E656="","",IF($G656&lt;&gt;"","Pago",IF($F656="","Pendente",IF('Config'!$C$9&gt;$F656,"Atrasado","Pendente"))))</f>
        <v/>
      </c>
      <c r="J656" s="126">
        <f>IF($I656="Atrasado",'Config'!$C$9-$F656,"")</f>
        <v/>
      </c>
      <c r="K656" s="127">
        <f>IF(AND($E656&lt;&gt;"",$G656=""),$E656,0)</f>
        <v>0</v>
      </c>
      <c r="L656" s="127">
        <f>IF($I656="Atrasado",$E656,0)</f>
        <v>0</v>
      </c>
      <c r="M656" s="128">
        <f>IF($I656="Atrasado",$J656+ROW()/1000000,0)</f>
        <v>0</v>
      </c>
    </row>
    <row r="657" spans="9:13" ht="16.5" customHeight="1">
      <c r="I657" s="66">
        <f>IF($E657="","",IF($G657&lt;&gt;"","Pago",IF($F657="","Pendente",IF('Config'!$C$9&gt;$F657,"Atrasado","Pendente"))))</f>
        <v/>
      </c>
      <c r="J657" s="126">
        <f>IF($I657="Atrasado",'Config'!$C$9-$F657,"")</f>
        <v/>
      </c>
      <c r="K657" s="127">
        <f>IF(AND($E657&lt;&gt;"",$G657=""),$E657,0)</f>
        <v>0</v>
      </c>
      <c r="L657" s="127">
        <f>IF($I657="Atrasado",$E657,0)</f>
        <v>0</v>
      </c>
      <c r="M657" s="128">
        <f>IF($I657="Atrasado",$J657+ROW()/1000000,0)</f>
        <v>0</v>
      </c>
    </row>
    <row r="658" spans="9:13" ht="16.5" customHeight="1">
      <c r="I658" s="66">
        <f>IF($E658="","",IF($G658&lt;&gt;"","Pago",IF($F658="","Pendente",IF('Config'!$C$9&gt;$F658,"Atrasado","Pendente"))))</f>
        <v/>
      </c>
      <c r="J658" s="126">
        <f>IF($I658="Atrasado",'Config'!$C$9-$F658,"")</f>
        <v/>
      </c>
      <c r="K658" s="127">
        <f>IF(AND($E658&lt;&gt;"",$G658=""),$E658,0)</f>
        <v>0</v>
      </c>
      <c r="L658" s="127">
        <f>IF($I658="Atrasado",$E658,0)</f>
        <v>0</v>
      </c>
      <c r="M658" s="128">
        <f>IF($I658="Atrasado",$J658+ROW()/1000000,0)</f>
        <v>0</v>
      </c>
    </row>
    <row r="659" spans="9:13" ht="16.5" customHeight="1">
      <c r="I659" s="66">
        <f>IF($E659="","",IF($G659&lt;&gt;"","Pago",IF($F659="","Pendente",IF('Config'!$C$9&gt;$F659,"Atrasado","Pendente"))))</f>
        <v/>
      </c>
      <c r="J659" s="126">
        <f>IF($I659="Atrasado",'Config'!$C$9-$F659,"")</f>
        <v/>
      </c>
      <c r="K659" s="127">
        <f>IF(AND($E659&lt;&gt;"",$G659=""),$E659,0)</f>
        <v>0</v>
      </c>
      <c r="L659" s="127">
        <f>IF($I659="Atrasado",$E659,0)</f>
        <v>0</v>
      </c>
      <c r="M659" s="128">
        <f>IF($I659="Atrasado",$J659+ROW()/1000000,0)</f>
        <v>0</v>
      </c>
    </row>
    <row r="660" spans="9:13" ht="16.5" customHeight="1">
      <c r="I660" s="66">
        <f>IF($E660="","",IF($G660&lt;&gt;"","Pago",IF($F660="","Pendente",IF('Config'!$C$9&gt;$F660,"Atrasado","Pendente"))))</f>
        <v/>
      </c>
      <c r="J660" s="126">
        <f>IF($I660="Atrasado",'Config'!$C$9-$F660,"")</f>
        <v/>
      </c>
      <c r="K660" s="127">
        <f>IF(AND($E660&lt;&gt;"",$G660=""),$E660,0)</f>
        <v>0</v>
      </c>
      <c r="L660" s="127">
        <f>IF($I660="Atrasado",$E660,0)</f>
        <v>0</v>
      </c>
      <c r="M660" s="128">
        <f>IF($I660="Atrasado",$J660+ROW()/1000000,0)</f>
        <v>0</v>
      </c>
    </row>
    <row r="661" spans="9:13" ht="16.5" customHeight="1">
      <c r="I661" s="66">
        <f>IF($E661="","",IF($G661&lt;&gt;"","Pago",IF($F661="","Pendente",IF('Config'!$C$9&gt;$F661,"Atrasado","Pendente"))))</f>
        <v/>
      </c>
      <c r="J661" s="126">
        <f>IF($I661="Atrasado",'Config'!$C$9-$F661,"")</f>
        <v/>
      </c>
      <c r="K661" s="127">
        <f>IF(AND($E661&lt;&gt;"",$G661=""),$E661,0)</f>
        <v>0</v>
      </c>
      <c r="L661" s="127">
        <f>IF($I661="Atrasado",$E661,0)</f>
        <v>0</v>
      </c>
      <c r="M661" s="128">
        <f>IF($I661="Atrasado",$J661+ROW()/1000000,0)</f>
        <v>0</v>
      </c>
    </row>
    <row r="662" spans="9:13" ht="16.5" customHeight="1">
      <c r="I662" s="66">
        <f>IF($E662="","",IF($G662&lt;&gt;"","Pago",IF($F662="","Pendente",IF('Config'!$C$9&gt;$F662,"Atrasado","Pendente"))))</f>
        <v/>
      </c>
      <c r="J662" s="126">
        <f>IF($I662="Atrasado",'Config'!$C$9-$F662,"")</f>
        <v/>
      </c>
      <c r="K662" s="127">
        <f>IF(AND($E662&lt;&gt;"",$G662=""),$E662,0)</f>
        <v>0</v>
      </c>
      <c r="L662" s="127">
        <f>IF($I662="Atrasado",$E662,0)</f>
        <v>0</v>
      </c>
      <c r="M662" s="128">
        <f>IF($I662="Atrasado",$J662+ROW()/1000000,0)</f>
        <v>0</v>
      </c>
    </row>
    <row r="663" spans="9:13" ht="16.5" customHeight="1">
      <c r="I663" s="66">
        <f>IF($E663="","",IF($G663&lt;&gt;"","Pago",IF($F663="","Pendente",IF('Config'!$C$9&gt;$F663,"Atrasado","Pendente"))))</f>
        <v/>
      </c>
      <c r="J663" s="126">
        <f>IF($I663="Atrasado",'Config'!$C$9-$F663,"")</f>
        <v/>
      </c>
      <c r="K663" s="127">
        <f>IF(AND($E663&lt;&gt;"",$G663=""),$E663,0)</f>
        <v>0</v>
      </c>
      <c r="L663" s="127">
        <f>IF($I663="Atrasado",$E663,0)</f>
        <v>0</v>
      </c>
      <c r="M663" s="128">
        <f>IF($I663="Atrasado",$J663+ROW()/1000000,0)</f>
        <v>0</v>
      </c>
    </row>
    <row r="664" spans="9:13" ht="16.5" customHeight="1">
      <c r="I664" s="66">
        <f>IF($E664="","",IF($G664&lt;&gt;"","Pago",IF($F664="","Pendente",IF('Config'!$C$9&gt;$F664,"Atrasado","Pendente"))))</f>
        <v/>
      </c>
      <c r="J664" s="126">
        <f>IF($I664="Atrasado",'Config'!$C$9-$F664,"")</f>
        <v/>
      </c>
      <c r="K664" s="127">
        <f>IF(AND($E664&lt;&gt;"",$G664=""),$E664,0)</f>
        <v>0</v>
      </c>
      <c r="L664" s="127">
        <f>IF($I664="Atrasado",$E664,0)</f>
        <v>0</v>
      </c>
      <c r="M664" s="128">
        <f>IF($I664="Atrasado",$J664+ROW()/1000000,0)</f>
        <v>0</v>
      </c>
    </row>
    <row r="665" spans="9:13" ht="16.5" customHeight="1">
      <c r="I665" s="66">
        <f>IF($E665="","",IF($G665&lt;&gt;"","Pago",IF($F665="","Pendente",IF('Config'!$C$9&gt;$F665,"Atrasado","Pendente"))))</f>
        <v/>
      </c>
      <c r="J665" s="126">
        <f>IF($I665="Atrasado",'Config'!$C$9-$F665,"")</f>
        <v/>
      </c>
      <c r="K665" s="127">
        <f>IF(AND($E665&lt;&gt;"",$G665=""),$E665,0)</f>
        <v>0</v>
      </c>
      <c r="L665" s="127">
        <f>IF($I665="Atrasado",$E665,0)</f>
        <v>0</v>
      </c>
      <c r="M665" s="128">
        <f>IF($I665="Atrasado",$J665+ROW()/1000000,0)</f>
        <v>0</v>
      </c>
    </row>
    <row r="666" spans="9:13" ht="16.5" customHeight="1">
      <c r="I666" s="66">
        <f>IF($E666="","",IF($G666&lt;&gt;"","Pago",IF($F666="","Pendente",IF('Config'!$C$9&gt;$F666,"Atrasado","Pendente"))))</f>
        <v/>
      </c>
      <c r="J666" s="126">
        <f>IF($I666="Atrasado",'Config'!$C$9-$F666,"")</f>
        <v/>
      </c>
      <c r="K666" s="127">
        <f>IF(AND($E666&lt;&gt;"",$G666=""),$E666,0)</f>
        <v>0</v>
      </c>
      <c r="L666" s="127">
        <f>IF($I666="Atrasado",$E666,0)</f>
        <v>0</v>
      </c>
      <c r="M666" s="128">
        <f>IF($I666="Atrasado",$J666+ROW()/1000000,0)</f>
        <v>0</v>
      </c>
    </row>
    <row r="667" spans="9:13" ht="16.5" customHeight="1">
      <c r="I667" s="66">
        <f>IF($E667="","",IF($G667&lt;&gt;"","Pago",IF($F667="","Pendente",IF('Config'!$C$9&gt;$F667,"Atrasado","Pendente"))))</f>
        <v/>
      </c>
      <c r="J667" s="126">
        <f>IF($I667="Atrasado",'Config'!$C$9-$F667,"")</f>
        <v/>
      </c>
      <c r="K667" s="127">
        <f>IF(AND($E667&lt;&gt;"",$G667=""),$E667,0)</f>
        <v>0</v>
      </c>
      <c r="L667" s="127">
        <f>IF($I667="Atrasado",$E667,0)</f>
        <v>0</v>
      </c>
      <c r="M667" s="128">
        <f>IF($I667="Atrasado",$J667+ROW()/1000000,0)</f>
        <v>0</v>
      </c>
    </row>
    <row r="668" spans="9:13" ht="16.5" customHeight="1">
      <c r="I668" s="66">
        <f>IF($E668="","",IF($G668&lt;&gt;"","Pago",IF($F668="","Pendente",IF('Config'!$C$9&gt;$F668,"Atrasado","Pendente"))))</f>
        <v/>
      </c>
      <c r="J668" s="126">
        <f>IF($I668="Atrasado",'Config'!$C$9-$F668,"")</f>
        <v/>
      </c>
      <c r="K668" s="127">
        <f>IF(AND($E668&lt;&gt;"",$G668=""),$E668,0)</f>
        <v>0</v>
      </c>
      <c r="L668" s="127">
        <f>IF($I668="Atrasado",$E668,0)</f>
        <v>0</v>
      </c>
      <c r="M668" s="128">
        <f>IF($I668="Atrasado",$J668+ROW()/1000000,0)</f>
        <v>0</v>
      </c>
    </row>
    <row r="669" spans="9:13" ht="16.5" customHeight="1">
      <c r="I669" s="66">
        <f>IF($E669="","",IF($G669&lt;&gt;"","Pago",IF($F669="","Pendente",IF('Config'!$C$9&gt;$F669,"Atrasado","Pendente"))))</f>
        <v/>
      </c>
      <c r="J669" s="126">
        <f>IF($I669="Atrasado",'Config'!$C$9-$F669,"")</f>
        <v/>
      </c>
      <c r="K669" s="127">
        <f>IF(AND($E669&lt;&gt;"",$G669=""),$E669,0)</f>
        <v>0</v>
      </c>
      <c r="L669" s="127">
        <f>IF($I669="Atrasado",$E669,0)</f>
        <v>0</v>
      </c>
      <c r="M669" s="128">
        <f>IF($I669="Atrasado",$J669+ROW()/1000000,0)</f>
        <v>0</v>
      </c>
    </row>
    <row r="670" spans="9:13" ht="16.5" customHeight="1">
      <c r="I670" s="66">
        <f>IF($E670="","",IF($G670&lt;&gt;"","Pago",IF($F670="","Pendente",IF('Config'!$C$9&gt;$F670,"Atrasado","Pendente"))))</f>
        <v/>
      </c>
      <c r="J670" s="126">
        <f>IF($I670="Atrasado",'Config'!$C$9-$F670,"")</f>
        <v/>
      </c>
      <c r="K670" s="127">
        <f>IF(AND($E670&lt;&gt;"",$G670=""),$E670,0)</f>
        <v>0</v>
      </c>
      <c r="L670" s="127">
        <f>IF($I670="Atrasado",$E670,0)</f>
        <v>0</v>
      </c>
      <c r="M670" s="128">
        <f>IF($I670="Atrasado",$J670+ROW()/1000000,0)</f>
        <v>0</v>
      </c>
    </row>
    <row r="671" spans="9:13" ht="16.5" customHeight="1">
      <c r="I671" s="66">
        <f>IF($E671="","",IF($G671&lt;&gt;"","Pago",IF($F671="","Pendente",IF('Config'!$C$9&gt;$F671,"Atrasado","Pendente"))))</f>
        <v/>
      </c>
      <c r="J671" s="126">
        <f>IF($I671="Atrasado",'Config'!$C$9-$F671,"")</f>
        <v/>
      </c>
      <c r="K671" s="127">
        <f>IF(AND($E671&lt;&gt;"",$G671=""),$E671,0)</f>
        <v>0</v>
      </c>
      <c r="L671" s="127">
        <f>IF($I671="Atrasado",$E671,0)</f>
        <v>0</v>
      </c>
      <c r="M671" s="128">
        <f>IF($I671="Atrasado",$J671+ROW()/1000000,0)</f>
        <v>0</v>
      </c>
    </row>
    <row r="672" spans="9:13" ht="16.5" customHeight="1">
      <c r="I672" s="66">
        <f>IF($E672="","",IF($G672&lt;&gt;"","Pago",IF($F672="","Pendente",IF('Config'!$C$9&gt;$F672,"Atrasado","Pendente"))))</f>
        <v/>
      </c>
      <c r="J672" s="126">
        <f>IF($I672="Atrasado",'Config'!$C$9-$F672,"")</f>
        <v/>
      </c>
      <c r="K672" s="127">
        <f>IF(AND($E672&lt;&gt;"",$G672=""),$E672,0)</f>
        <v>0</v>
      </c>
      <c r="L672" s="127">
        <f>IF($I672="Atrasado",$E672,0)</f>
        <v>0</v>
      </c>
      <c r="M672" s="128">
        <f>IF($I672="Atrasado",$J672+ROW()/1000000,0)</f>
        <v>0</v>
      </c>
    </row>
    <row r="673" spans="9:13" ht="16.5" customHeight="1">
      <c r="I673" s="66">
        <f>IF($E673="","",IF($G673&lt;&gt;"","Pago",IF($F673="","Pendente",IF('Config'!$C$9&gt;$F673,"Atrasado","Pendente"))))</f>
        <v/>
      </c>
      <c r="J673" s="126">
        <f>IF($I673="Atrasado",'Config'!$C$9-$F673,"")</f>
        <v/>
      </c>
      <c r="K673" s="127">
        <f>IF(AND($E673&lt;&gt;"",$G673=""),$E673,0)</f>
        <v>0</v>
      </c>
      <c r="L673" s="127">
        <f>IF($I673="Atrasado",$E673,0)</f>
        <v>0</v>
      </c>
      <c r="M673" s="128">
        <f>IF($I673="Atrasado",$J673+ROW()/1000000,0)</f>
        <v>0</v>
      </c>
    </row>
    <row r="674" spans="9:13" ht="16.5" customHeight="1">
      <c r="I674" s="66">
        <f>IF($E674="","",IF($G674&lt;&gt;"","Pago",IF($F674="","Pendente",IF('Config'!$C$9&gt;$F674,"Atrasado","Pendente"))))</f>
        <v/>
      </c>
      <c r="J674" s="126">
        <f>IF($I674="Atrasado",'Config'!$C$9-$F674,"")</f>
        <v/>
      </c>
      <c r="K674" s="127">
        <f>IF(AND($E674&lt;&gt;"",$G674=""),$E674,0)</f>
        <v>0</v>
      </c>
      <c r="L674" s="127">
        <f>IF($I674="Atrasado",$E674,0)</f>
        <v>0</v>
      </c>
      <c r="M674" s="128">
        <f>IF($I674="Atrasado",$J674+ROW()/1000000,0)</f>
        <v>0</v>
      </c>
    </row>
    <row r="675" spans="9:13" ht="16.5" customHeight="1">
      <c r="I675" s="66">
        <f>IF($E675="","",IF($G675&lt;&gt;"","Pago",IF($F675="","Pendente",IF('Config'!$C$9&gt;$F675,"Atrasado","Pendente"))))</f>
        <v/>
      </c>
      <c r="J675" s="126">
        <f>IF($I675="Atrasado",'Config'!$C$9-$F675,"")</f>
        <v/>
      </c>
      <c r="K675" s="127">
        <f>IF(AND($E675&lt;&gt;"",$G675=""),$E675,0)</f>
        <v>0</v>
      </c>
      <c r="L675" s="127">
        <f>IF($I675="Atrasado",$E675,0)</f>
        <v>0</v>
      </c>
      <c r="M675" s="128">
        <f>IF($I675="Atrasado",$J675+ROW()/1000000,0)</f>
        <v>0</v>
      </c>
    </row>
    <row r="676" spans="9:13" ht="16.5" customHeight="1">
      <c r="I676" s="66">
        <f>IF($E676="","",IF($G676&lt;&gt;"","Pago",IF($F676="","Pendente",IF('Config'!$C$9&gt;$F676,"Atrasado","Pendente"))))</f>
        <v/>
      </c>
      <c r="J676" s="126">
        <f>IF($I676="Atrasado",'Config'!$C$9-$F676,"")</f>
        <v/>
      </c>
      <c r="K676" s="127">
        <f>IF(AND($E676&lt;&gt;"",$G676=""),$E676,0)</f>
        <v>0</v>
      </c>
      <c r="L676" s="127">
        <f>IF($I676="Atrasado",$E676,0)</f>
        <v>0</v>
      </c>
      <c r="M676" s="128">
        <f>IF($I676="Atrasado",$J676+ROW()/1000000,0)</f>
        <v>0</v>
      </c>
    </row>
    <row r="677" spans="9:13" ht="16.5" customHeight="1">
      <c r="I677" s="66">
        <f>IF($E677="","",IF($G677&lt;&gt;"","Pago",IF($F677="","Pendente",IF('Config'!$C$9&gt;$F677,"Atrasado","Pendente"))))</f>
        <v/>
      </c>
      <c r="J677" s="126">
        <f>IF($I677="Atrasado",'Config'!$C$9-$F677,"")</f>
        <v/>
      </c>
      <c r="K677" s="127">
        <f>IF(AND($E677&lt;&gt;"",$G677=""),$E677,0)</f>
        <v>0</v>
      </c>
      <c r="L677" s="127">
        <f>IF($I677="Atrasado",$E677,0)</f>
        <v>0</v>
      </c>
      <c r="M677" s="128">
        <f>IF($I677="Atrasado",$J677+ROW()/1000000,0)</f>
        <v>0</v>
      </c>
    </row>
    <row r="678" spans="9:13" ht="16.5" customHeight="1">
      <c r="I678" s="66">
        <f>IF($E678="","",IF($G678&lt;&gt;"","Pago",IF($F678="","Pendente",IF('Config'!$C$9&gt;$F678,"Atrasado","Pendente"))))</f>
        <v/>
      </c>
      <c r="J678" s="126">
        <f>IF($I678="Atrasado",'Config'!$C$9-$F678,"")</f>
        <v/>
      </c>
      <c r="K678" s="127">
        <f>IF(AND($E678&lt;&gt;"",$G678=""),$E678,0)</f>
        <v>0</v>
      </c>
      <c r="L678" s="127">
        <f>IF($I678="Atrasado",$E678,0)</f>
        <v>0</v>
      </c>
      <c r="M678" s="128">
        <f>IF($I678="Atrasado",$J678+ROW()/1000000,0)</f>
        <v>0</v>
      </c>
    </row>
    <row r="679" spans="9:13" ht="16.5" customHeight="1">
      <c r="I679" s="66">
        <f>IF($E679="","",IF($G679&lt;&gt;"","Pago",IF($F679="","Pendente",IF('Config'!$C$9&gt;$F679,"Atrasado","Pendente"))))</f>
        <v/>
      </c>
      <c r="J679" s="126">
        <f>IF($I679="Atrasado",'Config'!$C$9-$F679,"")</f>
        <v/>
      </c>
      <c r="K679" s="127">
        <f>IF(AND($E679&lt;&gt;"",$G679=""),$E679,0)</f>
        <v>0</v>
      </c>
      <c r="L679" s="127">
        <f>IF($I679="Atrasado",$E679,0)</f>
        <v>0</v>
      </c>
      <c r="M679" s="128">
        <f>IF($I679="Atrasado",$J679+ROW()/1000000,0)</f>
        <v>0</v>
      </c>
    </row>
    <row r="680" spans="9:13" ht="16.5" customHeight="1">
      <c r="I680" s="66">
        <f>IF($E680="","",IF($G680&lt;&gt;"","Pago",IF($F680="","Pendente",IF('Config'!$C$9&gt;$F680,"Atrasado","Pendente"))))</f>
        <v/>
      </c>
      <c r="J680" s="126">
        <f>IF($I680="Atrasado",'Config'!$C$9-$F680,"")</f>
        <v/>
      </c>
      <c r="K680" s="127">
        <f>IF(AND($E680&lt;&gt;"",$G680=""),$E680,0)</f>
        <v>0</v>
      </c>
      <c r="L680" s="127">
        <f>IF($I680="Atrasado",$E680,0)</f>
        <v>0</v>
      </c>
      <c r="M680" s="128">
        <f>IF($I680="Atrasado",$J680+ROW()/1000000,0)</f>
        <v>0</v>
      </c>
    </row>
    <row r="681" spans="9:13" ht="16.5" customHeight="1">
      <c r="I681" s="66">
        <f>IF($E681="","",IF($G681&lt;&gt;"","Pago",IF($F681="","Pendente",IF('Config'!$C$9&gt;$F681,"Atrasado","Pendente"))))</f>
        <v/>
      </c>
      <c r="J681" s="126">
        <f>IF($I681="Atrasado",'Config'!$C$9-$F681,"")</f>
        <v/>
      </c>
      <c r="K681" s="127">
        <f>IF(AND($E681&lt;&gt;"",$G681=""),$E681,0)</f>
        <v>0</v>
      </c>
      <c r="L681" s="127">
        <f>IF($I681="Atrasado",$E681,0)</f>
        <v>0</v>
      </c>
      <c r="M681" s="128">
        <f>IF($I681="Atrasado",$J681+ROW()/1000000,0)</f>
        <v>0</v>
      </c>
    </row>
    <row r="682" spans="9:13" ht="16.5" customHeight="1">
      <c r="I682" s="66">
        <f>IF($E682="","",IF($G682&lt;&gt;"","Pago",IF($F682="","Pendente",IF('Config'!$C$9&gt;$F682,"Atrasado","Pendente"))))</f>
        <v/>
      </c>
      <c r="J682" s="126">
        <f>IF($I682="Atrasado",'Config'!$C$9-$F682,"")</f>
        <v/>
      </c>
      <c r="K682" s="127">
        <f>IF(AND($E682&lt;&gt;"",$G682=""),$E682,0)</f>
        <v>0</v>
      </c>
      <c r="L682" s="127">
        <f>IF($I682="Atrasado",$E682,0)</f>
        <v>0</v>
      </c>
      <c r="M682" s="128">
        <f>IF($I682="Atrasado",$J682+ROW()/1000000,0)</f>
        <v>0</v>
      </c>
    </row>
    <row r="683" spans="9:13" ht="16.5" customHeight="1">
      <c r="I683" s="66">
        <f>IF($E683="","",IF($G683&lt;&gt;"","Pago",IF($F683="","Pendente",IF('Config'!$C$9&gt;$F683,"Atrasado","Pendente"))))</f>
        <v/>
      </c>
      <c r="J683" s="126">
        <f>IF($I683="Atrasado",'Config'!$C$9-$F683,"")</f>
        <v/>
      </c>
      <c r="K683" s="127">
        <f>IF(AND($E683&lt;&gt;"",$G683=""),$E683,0)</f>
        <v>0</v>
      </c>
      <c r="L683" s="127">
        <f>IF($I683="Atrasado",$E683,0)</f>
        <v>0</v>
      </c>
      <c r="M683" s="128">
        <f>IF($I683="Atrasado",$J683+ROW()/1000000,0)</f>
        <v>0</v>
      </c>
    </row>
    <row r="684" spans="9:13" ht="16.5" customHeight="1">
      <c r="I684" s="66">
        <f>IF($E684="","",IF($G684&lt;&gt;"","Pago",IF($F684="","Pendente",IF('Config'!$C$9&gt;$F684,"Atrasado","Pendente"))))</f>
        <v/>
      </c>
      <c r="J684" s="126">
        <f>IF($I684="Atrasado",'Config'!$C$9-$F684,"")</f>
        <v/>
      </c>
      <c r="K684" s="127">
        <f>IF(AND($E684&lt;&gt;"",$G684=""),$E684,0)</f>
        <v>0</v>
      </c>
      <c r="L684" s="127">
        <f>IF($I684="Atrasado",$E684,0)</f>
        <v>0</v>
      </c>
      <c r="M684" s="128">
        <f>IF($I684="Atrasado",$J684+ROW()/1000000,0)</f>
        <v>0</v>
      </c>
    </row>
    <row r="685" spans="9:13" ht="16.5" customHeight="1">
      <c r="I685" s="66">
        <f>IF($E685="","",IF($G685&lt;&gt;"","Pago",IF($F685="","Pendente",IF('Config'!$C$9&gt;$F685,"Atrasado","Pendente"))))</f>
        <v/>
      </c>
      <c r="J685" s="126">
        <f>IF($I685="Atrasado",'Config'!$C$9-$F685,"")</f>
        <v/>
      </c>
      <c r="K685" s="127">
        <f>IF(AND($E685&lt;&gt;"",$G685=""),$E685,0)</f>
        <v>0</v>
      </c>
      <c r="L685" s="127">
        <f>IF($I685="Atrasado",$E685,0)</f>
        <v>0</v>
      </c>
      <c r="M685" s="128">
        <f>IF($I685="Atrasado",$J685+ROW()/1000000,0)</f>
        <v>0</v>
      </c>
    </row>
    <row r="686" spans="9:13" ht="16.5" customHeight="1">
      <c r="I686" s="66">
        <f>IF($E686="","",IF($G686&lt;&gt;"","Pago",IF($F686="","Pendente",IF('Config'!$C$9&gt;$F686,"Atrasado","Pendente"))))</f>
        <v/>
      </c>
      <c r="J686" s="126">
        <f>IF($I686="Atrasado",'Config'!$C$9-$F686,"")</f>
        <v/>
      </c>
      <c r="K686" s="127">
        <f>IF(AND($E686&lt;&gt;"",$G686=""),$E686,0)</f>
        <v>0</v>
      </c>
      <c r="L686" s="127">
        <f>IF($I686="Atrasado",$E686,0)</f>
        <v>0</v>
      </c>
      <c r="M686" s="128">
        <f>IF($I686="Atrasado",$J686+ROW()/1000000,0)</f>
        <v>0</v>
      </c>
    </row>
    <row r="687" spans="9:13" ht="16.5" customHeight="1">
      <c r="I687" s="66">
        <f>IF($E687="","",IF($G687&lt;&gt;"","Pago",IF($F687="","Pendente",IF('Config'!$C$9&gt;$F687,"Atrasado","Pendente"))))</f>
        <v/>
      </c>
      <c r="J687" s="126">
        <f>IF($I687="Atrasado",'Config'!$C$9-$F687,"")</f>
        <v/>
      </c>
      <c r="K687" s="127">
        <f>IF(AND($E687&lt;&gt;"",$G687=""),$E687,0)</f>
        <v>0</v>
      </c>
      <c r="L687" s="127">
        <f>IF($I687="Atrasado",$E687,0)</f>
        <v>0</v>
      </c>
      <c r="M687" s="128">
        <f>IF($I687="Atrasado",$J687+ROW()/1000000,0)</f>
        <v>0</v>
      </c>
    </row>
    <row r="688" spans="9:13" ht="16.5" customHeight="1">
      <c r="I688" s="66">
        <f>IF($E688="","",IF($G688&lt;&gt;"","Pago",IF($F688="","Pendente",IF('Config'!$C$9&gt;$F688,"Atrasado","Pendente"))))</f>
        <v/>
      </c>
      <c r="J688" s="126">
        <f>IF($I688="Atrasado",'Config'!$C$9-$F688,"")</f>
        <v/>
      </c>
      <c r="K688" s="127">
        <f>IF(AND($E688&lt;&gt;"",$G688=""),$E688,0)</f>
        <v>0</v>
      </c>
      <c r="L688" s="127">
        <f>IF($I688="Atrasado",$E688,0)</f>
        <v>0</v>
      </c>
      <c r="M688" s="128">
        <f>IF($I688="Atrasado",$J688+ROW()/1000000,0)</f>
        <v>0</v>
      </c>
    </row>
    <row r="689" spans="9:13" ht="16.5" customHeight="1">
      <c r="I689" s="66">
        <f>IF($E689="","",IF($G689&lt;&gt;"","Pago",IF($F689="","Pendente",IF('Config'!$C$9&gt;$F689,"Atrasado","Pendente"))))</f>
        <v/>
      </c>
      <c r="J689" s="126">
        <f>IF($I689="Atrasado",'Config'!$C$9-$F689,"")</f>
        <v/>
      </c>
      <c r="K689" s="127">
        <f>IF(AND($E689&lt;&gt;"",$G689=""),$E689,0)</f>
        <v>0</v>
      </c>
      <c r="L689" s="127">
        <f>IF($I689="Atrasado",$E689,0)</f>
        <v>0</v>
      </c>
      <c r="M689" s="128">
        <f>IF($I689="Atrasado",$J689+ROW()/1000000,0)</f>
        <v>0</v>
      </c>
    </row>
    <row r="690" spans="9:13" ht="16.5" customHeight="1">
      <c r="I690" s="66">
        <f>IF($E690="","",IF($G690&lt;&gt;"","Pago",IF($F690="","Pendente",IF('Config'!$C$9&gt;$F690,"Atrasado","Pendente"))))</f>
        <v/>
      </c>
      <c r="J690" s="126">
        <f>IF($I690="Atrasado",'Config'!$C$9-$F690,"")</f>
        <v/>
      </c>
      <c r="K690" s="127">
        <f>IF(AND($E690&lt;&gt;"",$G690=""),$E690,0)</f>
        <v>0</v>
      </c>
      <c r="L690" s="127">
        <f>IF($I690="Atrasado",$E690,0)</f>
        <v>0</v>
      </c>
      <c r="M690" s="128">
        <f>IF($I690="Atrasado",$J690+ROW()/1000000,0)</f>
        <v>0</v>
      </c>
    </row>
    <row r="691" spans="9:13" ht="16.5" customHeight="1">
      <c r="I691" s="66">
        <f>IF($E691="","",IF($G691&lt;&gt;"","Pago",IF($F691="","Pendente",IF('Config'!$C$9&gt;$F691,"Atrasado","Pendente"))))</f>
        <v/>
      </c>
      <c r="J691" s="126">
        <f>IF($I691="Atrasado",'Config'!$C$9-$F691,"")</f>
        <v/>
      </c>
      <c r="K691" s="127">
        <f>IF(AND($E691&lt;&gt;"",$G691=""),$E691,0)</f>
        <v>0</v>
      </c>
      <c r="L691" s="127">
        <f>IF($I691="Atrasado",$E691,0)</f>
        <v>0</v>
      </c>
      <c r="M691" s="128">
        <f>IF($I691="Atrasado",$J691+ROW()/1000000,0)</f>
        <v>0</v>
      </c>
    </row>
    <row r="692" spans="9:13" ht="16.5" customHeight="1">
      <c r="I692" s="66">
        <f>IF($E692="","",IF($G692&lt;&gt;"","Pago",IF($F692="","Pendente",IF('Config'!$C$9&gt;$F692,"Atrasado","Pendente"))))</f>
        <v/>
      </c>
      <c r="J692" s="126">
        <f>IF($I692="Atrasado",'Config'!$C$9-$F692,"")</f>
        <v/>
      </c>
      <c r="K692" s="127">
        <f>IF(AND($E692&lt;&gt;"",$G692=""),$E692,0)</f>
        <v>0</v>
      </c>
      <c r="L692" s="127">
        <f>IF($I692="Atrasado",$E692,0)</f>
        <v>0</v>
      </c>
      <c r="M692" s="128">
        <f>IF($I692="Atrasado",$J692+ROW()/1000000,0)</f>
        <v>0</v>
      </c>
    </row>
    <row r="693" spans="9:13" ht="16.5" customHeight="1">
      <c r="I693" s="66">
        <f>IF($E693="","",IF($G693&lt;&gt;"","Pago",IF($F693="","Pendente",IF('Config'!$C$9&gt;$F693,"Atrasado","Pendente"))))</f>
        <v/>
      </c>
      <c r="J693" s="126">
        <f>IF($I693="Atrasado",'Config'!$C$9-$F693,"")</f>
        <v/>
      </c>
      <c r="K693" s="127">
        <f>IF(AND($E693&lt;&gt;"",$G693=""),$E693,0)</f>
        <v>0</v>
      </c>
      <c r="L693" s="127">
        <f>IF($I693="Atrasado",$E693,0)</f>
        <v>0</v>
      </c>
      <c r="M693" s="128">
        <f>IF($I693="Atrasado",$J693+ROW()/1000000,0)</f>
        <v>0</v>
      </c>
    </row>
    <row r="694" spans="9:13" ht="16.5" customHeight="1">
      <c r="I694" s="66">
        <f>IF($E694="","",IF($G694&lt;&gt;"","Pago",IF($F694="","Pendente",IF('Config'!$C$9&gt;$F694,"Atrasado","Pendente"))))</f>
        <v/>
      </c>
      <c r="J694" s="126">
        <f>IF($I694="Atrasado",'Config'!$C$9-$F694,"")</f>
        <v/>
      </c>
      <c r="K694" s="127">
        <f>IF(AND($E694&lt;&gt;"",$G694=""),$E694,0)</f>
        <v>0</v>
      </c>
      <c r="L694" s="127">
        <f>IF($I694="Atrasado",$E694,0)</f>
        <v>0</v>
      </c>
      <c r="M694" s="128">
        <f>IF($I694="Atrasado",$J694+ROW()/1000000,0)</f>
        <v>0</v>
      </c>
    </row>
    <row r="695" spans="9:13" ht="16.5" customHeight="1">
      <c r="I695" s="66">
        <f>IF($E695="","",IF($G695&lt;&gt;"","Pago",IF($F695="","Pendente",IF('Config'!$C$9&gt;$F695,"Atrasado","Pendente"))))</f>
        <v/>
      </c>
      <c r="J695" s="126">
        <f>IF($I695="Atrasado",'Config'!$C$9-$F695,"")</f>
        <v/>
      </c>
      <c r="K695" s="127">
        <f>IF(AND($E695&lt;&gt;"",$G695=""),$E695,0)</f>
        <v>0</v>
      </c>
      <c r="L695" s="127">
        <f>IF($I695="Atrasado",$E695,0)</f>
        <v>0</v>
      </c>
      <c r="M695" s="128">
        <f>IF($I695="Atrasado",$J695+ROW()/1000000,0)</f>
        <v>0</v>
      </c>
    </row>
    <row r="696" spans="9:13" ht="16.5" customHeight="1">
      <c r="I696" s="66">
        <f>IF($E696="","",IF($G696&lt;&gt;"","Pago",IF($F696="","Pendente",IF('Config'!$C$9&gt;$F696,"Atrasado","Pendente"))))</f>
        <v/>
      </c>
      <c r="J696" s="126">
        <f>IF($I696="Atrasado",'Config'!$C$9-$F696,"")</f>
        <v/>
      </c>
      <c r="K696" s="127">
        <f>IF(AND($E696&lt;&gt;"",$G696=""),$E696,0)</f>
        <v>0</v>
      </c>
      <c r="L696" s="127">
        <f>IF($I696="Atrasado",$E696,0)</f>
        <v>0</v>
      </c>
      <c r="M696" s="128">
        <f>IF($I696="Atrasado",$J696+ROW()/1000000,0)</f>
        <v>0</v>
      </c>
    </row>
    <row r="697" spans="9:13" ht="16.5" customHeight="1">
      <c r="I697" s="66">
        <f>IF($E697="","",IF($G697&lt;&gt;"","Pago",IF($F697="","Pendente",IF('Config'!$C$9&gt;$F697,"Atrasado","Pendente"))))</f>
        <v/>
      </c>
      <c r="J697" s="126">
        <f>IF($I697="Atrasado",'Config'!$C$9-$F697,"")</f>
        <v/>
      </c>
      <c r="K697" s="127">
        <f>IF(AND($E697&lt;&gt;"",$G697=""),$E697,0)</f>
        <v>0</v>
      </c>
      <c r="L697" s="127">
        <f>IF($I697="Atrasado",$E697,0)</f>
        <v>0</v>
      </c>
      <c r="M697" s="128">
        <f>IF($I697="Atrasado",$J697+ROW()/1000000,0)</f>
        <v>0</v>
      </c>
    </row>
    <row r="698" spans="9:13" ht="16.5" customHeight="1">
      <c r="I698" s="66">
        <f>IF($E698="","",IF($G698&lt;&gt;"","Pago",IF($F698="","Pendente",IF('Config'!$C$9&gt;$F698,"Atrasado","Pendente"))))</f>
        <v/>
      </c>
      <c r="J698" s="126">
        <f>IF($I698="Atrasado",'Config'!$C$9-$F698,"")</f>
        <v/>
      </c>
      <c r="K698" s="127">
        <f>IF(AND($E698&lt;&gt;"",$G698=""),$E698,0)</f>
        <v>0</v>
      </c>
      <c r="L698" s="127">
        <f>IF($I698="Atrasado",$E698,0)</f>
        <v>0</v>
      </c>
      <c r="M698" s="128">
        <f>IF($I698="Atrasado",$J698+ROW()/1000000,0)</f>
        <v>0</v>
      </c>
    </row>
    <row r="699" spans="9:13" ht="16.5" customHeight="1">
      <c r="I699" s="66">
        <f>IF($E699="","",IF($G699&lt;&gt;"","Pago",IF($F699="","Pendente",IF('Config'!$C$9&gt;$F699,"Atrasado","Pendente"))))</f>
        <v/>
      </c>
      <c r="J699" s="126">
        <f>IF($I699="Atrasado",'Config'!$C$9-$F699,"")</f>
        <v/>
      </c>
      <c r="K699" s="127">
        <f>IF(AND($E699&lt;&gt;"",$G699=""),$E699,0)</f>
        <v>0</v>
      </c>
      <c r="L699" s="127">
        <f>IF($I699="Atrasado",$E699,0)</f>
        <v>0</v>
      </c>
      <c r="M699" s="128">
        <f>IF($I699="Atrasado",$J699+ROW()/1000000,0)</f>
        <v>0</v>
      </c>
    </row>
    <row r="700" spans="9:13" ht="16.5" customHeight="1">
      <c r="I700" s="66">
        <f>IF($E700="","",IF($G700&lt;&gt;"","Pago",IF($F700="","Pendente",IF('Config'!$C$9&gt;$F700,"Atrasado","Pendente"))))</f>
        <v/>
      </c>
      <c r="J700" s="126">
        <f>IF($I700="Atrasado",'Config'!$C$9-$F700,"")</f>
        <v/>
      </c>
      <c r="K700" s="127">
        <f>IF(AND($E700&lt;&gt;"",$G700=""),$E700,0)</f>
        <v>0</v>
      </c>
      <c r="L700" s="127">
        <f>IF($I700="Atrasado",$E700,0)</f>
        <v>0</v>
      </c>
      <c r="M700" s="128">
        <f>IF($I700="Atrasado",$J700+ROW()/1000000,0)</f>
        <v>0</v>
      </c>
    </row>
    <row r="701" spans="9:13" ht="16.5" customHeight="1">
      <c r="I701" s="66">
        <f>IF($E701="","",IF($G701&lt;&gt;"","Pago",IF($F701="","Pendente",IF('Config'!$C$9&gt;$F701,"Atrasado","Pendente"))))</f>
        <v/>
      </c>
      <c r="J701" s="126">
        <f>IF($I701="Atrasado",'Config'!$C$9-$F701,"")</f>
        <v/>
      </c>
      <c r="K701" s="127">
        <f>IF(AND($E701&lt;&gt;"",$G701=""),$E701,0)</f>
        <v>0</v>
      </c>
      <c r="L701" s="127">
        <f>IF($I701="Atrasado",$E701,0)</f>
        <v>0</v>
      </c>
      <c r="M701" s="128">
        <f>IF($I701="Atrasado",$J701+ROW()/1000000,0)</f>
        <v>0</v>
      </c>
    </row>
    <row r="702" spans="9:13" ht="16.5" customHeight="1">
      <c r="I702" s="66">
        <f>IF($E702="","",IF($G702&lt;&gt;"","Pago",IF($F702="","Pendente",IF('Config'!$C$9&gt;$F702,"Atrasado","Pendente"))))</f>
        <v/>
      </c>
      <c r="J702" s="126">
        <f>IF($I702="Atrasado",'Config'!$C$9-$F702,"")</f>
        <v/>
      </c>
      <c r="K702" s="127">
        <f>IF(AND($E702&lt;&gt;"",$G702=""),$E702,0)</f>
        <v>0</v>
      </c>
      <c r="L702" s="127">
        <f>IF($I702="Atrasado",$E702,0)</f>
        <v>0</v>
      </c>
      <c r="M702" s="128">
        <f>IF($I702="Atrasado",$J702+ROW()/1000000,0)</f>
        <v>0</v>
      </c>
    </row>
    <row r="703" spans="9:13" ht="16.5" customHeight="1">
      <c r="I703" s="66">
        <f>IF($E703="","",IF($G703&lt;&gt;"","Pago",IF($F703="","Pendente",IF('Config'!$C$9&gt;$F703,"Atrasado","Pendente"))))</f>
        <v/>
      </c>
      <c r="J703" s="126">
        <f>IF($I703="Atrasado",'Config'!$C$9-$F703,"")</f>
        <v/>
      </c>
      <c r="K703" s="127">
        <f>IF(AND($E703&lt;&gt;"",$G703=""),$E703,0)</f>
        <v>0</v>
      </c>
      <c r="L703" s="127">
        <f>IF($I703="Atrasado",$E703,0)</f>
        <v>0</v>
      </c>
      <c r="M703" s="128">
        <f>IF($I703="Atrasado",$J703+ROW()/1000000,0)</f>
        <v>0</v>
      </c>
    </row>
    <row r="704" spans="9:13" ht="16.5" customHeight="1">
      <c r="I704" s="66">
        <f>IF($E704="","",IF($G704&lt;&gt;"","Pago",IF($F704="","Pendente",IF('Config'!$C$9&gt;$F704,"Atrasado","Pendente"))))</f>
        <v/>
      </c>
      <c r="J704" s="126">
        <f>IF($I704="Atrasado",'Config'!$C$9-$F704,"")</f>
        <v/>
      </c>
      <c r="K704" s="127">
        <f>IF(AND($E704&lt;&gt;"",$G704=""),$E704,0)</f>
        <v>0</v>
      </c>
      <c r="L704" s="127">
        <f>IF($I704="Atrasado",$E704,0)</f>
        <v>0</v>
      </c>
      <c r="M704" s="128">
        <f>IF($I704="Atrasado",$J704+ROW()/1000000,0)</f>
        <v>0</v>
      </c>
    </row>
    <row r="705" spans="9:13" ht="16.5" customHeight="1">
      <c r="I705" s="66">
        <f>IF($E705="","",IF($G705&lt;&gt;"","Pago",IF($F705="","Pendente",IF('Config'!$C$9&gt;$F705,"Atrasado","Pendente"))))</f>
        <v/>
      </c>
      <c r="J705" s="126">
        <f>IF($I705="Atrasado",'Config'!$C$9-$F705,"")</f>
        <v/>
      </c>
      <c r="K705" s="127">
        <f>IF(AND($E705&lt;&gt;"",$G705=""),$E705,0)</f>
        <v>0</v>
      </c>
      <c r="L705" s="127">
        <f>IF($I705="Atrasado",$E705,0)</f>
        <v>0</v>
      </c>
      <c r="M705" s="128">
        <f>IF($I705="Atrasado",$J705+ROW()/1000000,0)</f>
        <v>0</v>
      </c>
    </row>
    <row r="706" spans="9:13" ht="16.5" customHeight="1">
      <c r="I706" s="66">
        <f>IF($E706="","",IF($G706&lt;&gt;"","Pago",IF($F706="","Pendente",IF('Config'!$C$9&gt;$F706,"Atrasado","Pendente"))))</f>
        <v/>
      </c>
      <c r="J706" s="126">
        <f>IF($I706="Atrasado",'Config'!$C$9-$F706,"")</f>
        <v/>
      </c>
      <c r="K706" s="127">
        <f>IF(AND($E706&lt;&gt;"",$G706=""),$E706,0)</f>
        <v>0</v>
      </c>
      <c r="L706" s="127">
        <f>IF($I706="Atrasado",$E706,0)</f>
        <v>0</v>
      </c>
      <c r="M706" s="128">
        <f>IF($I706="Atrasado",$J706+ROW()/1000000,0)</f>
        <v>0</v>
      </c>
    </row>
    <row r="707" spans="9:13" ht="16.5" customHeight="1">
      <c r="I707" s="66">
        <f>IF($E707="","",IF($G707&lt;&gt;"","Pago",IF($F707="","Pendente",IF('Config'!$C$9&gt;$F707,"Atrasado","Pendente"))))</f>
        <v/>
      </c>
      <c r="J707" s="126">
        <f>IF($I707="Atrasado",'Config'!$C$9-$F707,"")</f>
        <v/>
      </c>
      <c r="K707" s="127">
        <f>IF(AND($E707&lt;&gt;"",$G707=""),$E707,0)</f>
        <v>0</v>
      </c>
      <c r="L707" s="127">
        <f>IF($I707="Atrasado",$E707,0)</f>
        <v>0</v>
      </c>
      <c r="M707" s="128">
        <f>IF($I707="Atrasado",$J707+ROW()/1000000,0)</f>
        <v>0</v>
      </c>
    </row>
    <row r="708" spans="9:13" ht="16.5" customHeight="1">
      <c r="I708" s="66">
        <f>IF($E708="","",IF($G708&lt;&gt;"","Pago",IF($F708="","Pendente",IF('Config'!$C$9&gt;$F708,"Atrasado","Pendente"))))</f>
        <v/>
      </c>
      <c r="J708" s="126">
        <f>IF($I708="Atrasado",'Config'!$C$9-$F708,"")</f>
        <v/>
      </c>
      <c r="K708" s="127">
        <f>IF(AND($E708&lt;&gt;"",$G708=""),$E708,0)</f>
        <v>0</v>
      </c>
      <c r="L708" s="127">
        <f>IF($I708="Atrasado",$E708,0)</f>
        <v>0</v>
      </c>
      <c r="M708" s="128">
        <f>IF($I708="Atrasado",$J708+ROW()/1000000,0)</f>
        <v>0</v>
      </c>
    </row>
    <row r="709" spans="9:13" ht="16.5" customHeight="1">
      <c r="I709" s="66">
        <f>IF($E709="","",IF($G709&lt;&gt;"","Pago",IF($F709="","Pendente",IF('Config'!$C$9&gt;$F709,"Atrasado","Pendente"))))</f>
        <v/>
      </c>
      <c r="J709" s="126">
        <f>IF($I709="Atrasado",'Config'!$C$9-$F709,"")</f>
        <v/>
      </c>
      <c r="K709" s="127">
        <f>IF(AND($E709&lt;&gt;"",$G709=""),$E709,0)</f>
        <v>0</v>
      </c>
      <c r="L709" s="127">
        <f>IF($I709="Atrasado",$E709,0)</f>
        <v>0</v>
      </c>
      <c r="M709" s="128">
        <f>IF($I709="Atrasado",$J709+ROW()/1000000,0)</f>
        <v>0</v>
      </c>
    </row>
    <row r="710" spans="9:13" ht="16.5" customHeight="1">
      <c r="I710" s="66">
        <f>IF($E710="","",IF($G710&lt;&gt;"","Pago",IF($F710="","Pendente",IF('Config'!$C$9&gt;$F710,"Atrasado","Pendente"))))</f>
        <v/>
      </c>
      <c r="J710" s="126">
        <f>IF($I710="Atrasado",'Config'!$C$9-$F710,"")</f>
        <v/>
      </c>
      <c r="K710" s="127">
        <f>IF(AND($E710&lt;&gt;"",$G710=""),$E710,0)</f>
        <v>0</v>
      </c>
      <c r="L710" s="127">
        <f>IF($I710="Atrasado",$E710,0)</f>
        <v>0</v>
      </c>
      <c r="M710" s="128">
        <f>IF($I710="Atrasado",$J710+ROW()/1000000,0)</f>
        <v>0</v>
      </c>
    </row>
    <row r="711" spans="9:13" ht="16.5" customHeight="1">
      <c r="I711" s="66">
        <f>IF($E711="","",IF($G711&lt;&gt;"","Pago",IF($F711="","Pendente",IF('Config'!$C$9&gt;$F711,"Atrasado","Pendente"))))</f>
        <v/>
      </c>
      <c r="J711" s="126">
        <f>IF($I711="Atrasado",'Config'!$C$9-$F711,"")</f>
        <v/>
      </c>
      <c r="K711" s="127">
        <f>IF(AND($E711&lt;&gt;"",$G711=""),$E711,0)</f>
        <v>0</v>
      </c>
      <c r="L711" s="127">
        <f>IF($I711="Atrasado",$E711,0)</f>
        <v>0</v>
      </c>
      <c r="M711" s="128">
        <f>IF($I711="Atrasado",$J711+ROW()/1000000,0)</f>
        <v>0</v>
      </c>
    </row>
    <row r="712" spans="9:13" ht="16.5" customHeight="1">
      <c r="I712" s="66">
        <f>IF($E712="","",IF($G712&lt;&gt;"","Pago",IF($F712="","Pendente",IF('Config'!$C$9&gt;$F712,"Atrasado","Pendente"))))</f>
        <v/>
      </c>
      <c r="J712" s="126">
        <f>IF($I712="Atrasado",'Config'!$C$9-$F712,"")</f>
        <v/>
      </c>
      <c r="K712" s="127">
        <f>IF(AND($E712&lt;&gt;"",$G712=""),$E712,0)</f>
        <v>0</v>
      </c>
      <c r="L712" s="127">
        <f>IF($I712="Atrasado",$E712,0)</f>
        <v>0</v>
      </c>
      <c r="M712" s="128">
        <f>IF($I712="Atrasado",$J712+ROW()/1000000,0)</f>
        <v>0</v>
      </c>
    </row>
    <row r="713" spans="9:13" ht="16.5" customHeight="1">
      <c r="I713" s="66">
        <f>IF($E713="","",IF($G713&lt;&gt;"","Pago",IF($F713="","Pendente",IF('Config'!$C$9&gt;$F713,"Atrasado","Pendente"))))</f>
        <v/>
      </c>
      <c r="J713" s="126">
        <f>IF($I713="Atrasado",'Config'!$C$9-$F713,"")</f>
        <v/>
      </c>
      <c r="K713" s="127">
        <f>IF(AND($E713&lt;&gt;"",$G713=""),$E713,0)</f>
        <v>0</v>
      </c>
      <c r="L713" s="127">
        <f>IF($I713="Atrasado",$E713,0)</f>
        <v>0</v>
      </c>
      <c r="M713" s="128">
        <f>IF($I713="Atrasado",$J713+ROW()/1000000,0)</f>
        <v>0</v>
      </c>
    </row>
    <row r="714" spans="9:13" ht="16.5" customHeight="1">
      <c r="I714" s="66">
        <f>IF($E714="","",IF($G714&lt;&gt;"","Pago",IF($F714="","Pendente",IF('Config'!$C$9&gt;$F714,"Atrasado","Pendente"))))</f>
        <v/>
      </c>
      <c r="J714" s="126">
        <f>IF($I714="Atrasado",'Config'!$C$9-$F714,"")</f>
        <v/>
      </c>
      <c r="K714" s="127">
        <f>IF(AND($E714&lt;&gt;"",$G714=""),$E714,0)</f>
        <v>0</v>
      </c>
      <c r="L714" s="127">
        <f>IF($I714="Atrasado",$E714,0)</f>
        <v>0</v>
      </c>
      <c r="M714" s="128">
        <f>IF($I714="Atrasado",$J714+ROW()/1000000,0)</f>
        <v>0</v>
      </c>
    </row>
    <row r="715" spans="9:13" ht="16.5" customHeight="1">
      <c r="I715" s="66">
        <f>IF($E715="","",IF($G715&lt;&gt;"","Pago",IF($F715="","Pendente",IF('Config'!$C$9&gt;$F715,"Atrasado","Pendente"))))</f>
        <v/>
      </c>
      <c r="J715" s="126">
        <f>IF($I715="Atrasado",'Config'!$C$9-$F715,"")</f>
        <v/>
      </c>
      <c r="K715" s="127">
        <f>IF(AND($E715&lt;&gt;"",$G715=""),$E715,0)</f>
        <v>0</v>
      </c>
      <c r="L715" s="127">
        <f>IF($I715="Atrasado",$E715,0)</f>
        <v>0</v>
      </c>
      <c r="M715" s="128">
        <f>IF($I715="Atrasado",$J715+ROW()/1000000,0)</f>
        <v>0</v>
      </c>
    </row>
    <row r="716" spans="9:13" ht="16.5" customHeight="1">
      <c r="I716" s="66">
        <f>IF($E716="","",IF($G716&lt;&gt;"","Pago",IF($F716="","Pendente",IF('Config'!$C$9&gt;$F716,"Atrasado","Pendente"))))</f>
        <v/>
      </c>
      <c r="J716" s="126">
        <f>IF($I716="Atrasado",'Config'!$C$9-$F716,"")</f>
        <v/>
      </c>
      <c r="K716" s="127">
        <f>IF(AND($E716&lt;&gt;"",$G716=""),$E716,0)</f>
        <v>0</v>
      </c>
      <c r="L716" s="127">
        <f>IF($I716="Atrasado",$E716,0)</f>
        <v>0</v>
      </c>
      <c r="M716" s="128">
        <f>IF($I716="Atrasado",$J716+ROW()/1000000,0)</f>
        <v>0</v>
      </c>
    </row>
    <row r="717" spans="9:13" ht="16.5" customHeight="1">
      <c r="I717" s="66">
        <f>IF($E717="","",IF($G717&lt;&gt;"","Pago",IF($F717="","Pendente",IF('Config'!$C$9&gt;$F717,"Atrasado","Pendente"))))</f>
        <v/>
      </c>
      <c r="J717" s="126">
        <f>IF($I717="Atrasado",'Config'!$C$9-$F717,"")</f>
        <v/>
      </c>
      <c r="K717" s="127">
        <f>IF(AND($E717&lt;&gt;"",$G717=""),$E717,0)</f>
        <v>0</v>
      </c>
      <c r="L717" s="127">
        <f>IF($I717="Atrasado",$E717,0)</f>
        <v>0</v>
      </c>
      <c r="M717" s="128">
        <f>IF($I717="Atrasado",$J717+ROW()/1000000,0)</f>
        <v>0</v>
      </c>
    </row>
    <row r="718" spans="9:13" ht="16.5" customHeight="1">
      <c r="I718" s="66">
        <f>IF($E718="","",IF($G718&lt;&gt;"","Pago",IF($F718="","Pendente",IF('Config'!$C$9&gt;$F718,"Atrasado","Pendente"))))</f>
        <v/>
      </c>
      <c r="J718" s="126">
        <f>IF($I718="Atrasado",'Config'!$C$9-$F718,"")</f>
        <v/>
      </c>
      <c r="K718" s="127">
        <f>IF(AND($E718&lt;&gt;"",$G718=""),$E718,0)</f>
        <v>0</v>
      </c>
      <c r="L718" s="127">
        <f>IF($I718="Atrasado",$E718,0)</f>
        <v>0</v>
      </c>
      <c r="M718" s="128">
        <f>IF($I718="Atrasado",$J718+ROW()/1000000,0)</f>
        <v>0</v>
      </c>
    </row>
    <row r="719" spans="9:13" ht="16.5" customHeight="1">
      <c r="I719" s="66">
        <f>IF($E719="","",IF($G719&lt;&gt;"","Pago",IF($F719="","Pendente",IF('Config'!$C$9&gt;$F719,"Atrasado","Pendente"))))</f>
        <v/>
      </c>
      <c r="J719" s="126">
        <f>IF($I719="Atrasado",'Config'!$C$9-$F719,"")</f>
        <v/>
      </c>
      <c r="K719" s="127">
        <f>IF(AND($E719&lt;&gt;"",$G719=""),$E719,0)</f>
        <v>0</v>
      </c>
      <c r="L719" s="127">
        <f>IF($I719="Atrasado",$E719,0)</f>
        <v>0</v>
      </c>
      <c r="M719" s="128">
        <f>IF($I719="Atrasado",$J719+ROW()/1000000,0)</f>
        <v>0</v>
      </c>
    </row>
    <row r="720" spans="9:13" ht="16.5" customHeight="1">
      <c r="I720" s="66">
        <f>IF($E720="","",IF($G720&lt;&gt;"","Pago",IF($F720="","Pendente",IF('Config'!$C$9&gt;$F720,"Atrasado","Pendente"))))</f>
        <v/>
      </c>
      <c r="J720" s="126">
        <f>IF($I720="Atrasado",'Config'!$C$9-$F720,"")</f>
        <v/>
      </c>
      <c r="K720" s="127">
        <f>IF(AND($E720&lt;&gt;"",$G720=""),$E720,0)</f>
        <v>0</v>
      </c>
      <c r="L720" s="127">
        <f>IF($I720="Atrasado",$E720,0)</f>
        <v>0</v>
      </c>
      <c r="M720" s="128">
        <f>IF($I720="Atrasado",$J720+ROW()/1000000,0)</f>
        <v>0</v>
      </c>
    </row>
    <row r="721" spans="9:13" ht="16.5" customHeight="1">
      <c r="I721" s="66">
        <f>IF($E721="","",IF($G721&lt;&gt;"","Pago",IF($F721="","Pendente",IF('Config'!$C$9&gt;$F721,"Atrasado","Pendente"))))</f>
        <v/>
      </c>
      <c r="J721" s="126">
        <f>IF($I721="Atrasado",'Config'!$C$9-$F721,"")</f>
        <v/>
      </c>
      <c r="K721" s="127">
        <f>IF(AND($E721&lt;&gt;"",$G721=""),$E721,0)</f>
        <v>0</v>
      </c>
      <c r="L721" s="127">
        <f>IF($I721="Atrasado",$E721,0)</f>
        <v>0</v>
      </c>
      <c r="M721" s="128">
        <f>IF($I721="Atrasado",$J721+ROW()/1000000,0)</f>
        <v>0</v>
      </c>
    </row>
    <row r="722" spans="9:13" ht="16.5" customHeight="1">
      <c r="I722" s="66">
        <f>IF($E722="","",IF($G722&lt;&gt;"","Pago",IF($F722="","Pendente",IF('Config'!$C$9&gt;$F722,"Atrasado","Pendente"))))</f>
        <v/>
      </c>
      <c r="J722" s="126">
        <f>IF($I722="Atrasado",'Config'!$C$9-$F722,"")</f>
        <v/>
      </c>
      <c r="K722" s="127">
        <f>IF(AND($E722&lt;&gt;"",$G722=""),$E722,0)</f>
        <v>0</v>
      </c>
      <c r="L722" s="127">
        <f>IF($I722="Atrasado",$E722,0)</f>
        <v>0</v>
      </c>
      <c r="M722" s="128">
        <f>IF($I722="Atrasado",$J722+ROW()/1000000,0)</f>
        <v>0</v>
      </c>
    </row>
    <row r="723" spans="9:13" ht="16.5" customHeight="1">
      <c r="I723" s="66">
        <f>IF($E723="","",IF($G723&lt;&gt;"","Pago",IF($F723="","Pendente",IF('Config'!$C$9&gt;$F723,"Atrasado","Pendente"))))</f>
        <v/>
      </c>
      <c r="J723" s="126">
        <f>IF($I723="Atrasado",'Config'!$C$9-$F723,"")</f>
        <v/>
      </c>
      <c r="K723" s="127">
        <f>IF(AND($E723&lt;&gt;"",$G723=""),$E723,0)</f>
        <v>0</v>
      </c>
      <c r="L723" s="127">
        <f>IF($I723="Atrasado",$E723,0)</f>
        <v>0</v>
      </c>
      <c r="M723" s="128">
        <f>IF($I723="Atrasado",$J723+ROW()/1000000,0)</f>
        <v>0</v>
      </c>
    </row>
    <row r="724" spans="9:13" ht="16.5" customHeight="1">
      <c r="I724" s="66">
        <f>IF($E724="","",IF($G724&lt;&gt;"","Pago",IF($F724="","Pendente",IF('Config'!$C$9&gt;$F724,"Atrasado","Pendente"))))</f>
        <v/>
      </c>
      <c r="J724" s="126">
        <f>IF($I724="Atrasado",'Config'!$C$9-$F724,"")</f>
        <v/>
      </c>
      <c r="K724" s="127">
        <f>IF(AND($E724&lt;&gt;"",$G724=""),$E724,0)</f>
        <v>0</v>
      </c>
      <c r="L724" s="127">
        <f>IF($I724="Atrasado",$E724,0)</f>
        <v>0</v>
      </c>
      <c r="M724" s="128">
        <f>IF($I724="Atrasado",$J724+ROW()/1000000,0)</f>
        <v>0</v>
      </c>
    </row>
    <row r="725" spans="9:13" ht="16.5" customHeight="1">
      <c r="I725" s="66">
        <f>IF($E725="","",IF($G725&lt;&gt;"","Pago",IF($F725="","Pendente",IF('Config'!$C$9&gt;$F725,"Atrasado","Pendente"))))</f>
        <v/>
      </c>
      <c r="J725" s="126">
        <f>IF($I725="Atrasado",'Config'!$C$9-$F725,"")</f>
        <v/>
      </c>
      <c r="K725" s="127">
        <f>IF(AND($E725&lt;&gt;"",$G725=""),$E725,0)</f>
        <v>0</v>
      </c>
      <c r="L725" s="127">
        <f>IF($I725="Atrasado",$E725,0)</f>
        <v>0</v>
      </c>
      <c r="M725" s="128">
        <f>IF($I725="Atrasado",$J725+ROW()/1000000,0)</f>
        <v>0</v>
      </c>
    </row>
    <row r="726" spans="9:13" ht="16.5" customHeight="1">
      <c r="I726" s="66">
        <f>IF($E726="","",IF($G726&lt;&gt;"","Pago",IF($F726="","Pendente",IF('Config'!$C$9&gt;$F726,"Atrasado","Pendente"))))</f>
        <v/>
      </c>
      <c r="J726" s="126">
        <f>IF($I726="Atrasado",'Config'!$C$9-$F726,"")</f>
        <v/>
      </c>
      <c r="K726" s="127">
        <f>IF(AND($E726&lt;&gt;"",$G726=""),$E726,0)</f>
        <v>0</v>
      </c>
      <c r="L726" s="127">
        <f>IF($I726="Atrasado",$E726,0)</f>
        <v>0</v>
      </c>
      <c r="M726" s="128">
        <f>IF($I726="Atrasado",$J726+ROW()/1000000,0)</f>
        <v>0</v>
      </c>
    </row>
    <row r="727" spans="9:13" ht="16.5" customHeight="1">
      <c r="I727" s="66">
        <f>IF($E727="","",IF($G727&lt;&gt;"","Pago",IF($F727="","Pendente",IF('Config'!$C$9&gt;$F727,"Atrasado","Pendente"))))</f>
        <v/>
      </c>
      <c r="J727" s="126">
        <f>IF($I727="Atrasado",'Config'!$C$9-$F727,"")</f>
        <v/>
      </c>
      <c r="K727" s="127">
        <f>IF(AND($E727&lt;&gt;"",$G727=""),$E727,0)</f>
        <v>0</v>
      </c>
      <c r="L727" s="127">
        <f>IF($I727="Atrasado",$E727,0)</f>
        <v>0</v>
      </c>
      <c r="M727" s="128">
        <f>IF($I727="Atrasado",$J727+ROW()/1000000,0)</f>
        <v>0</v>
      </c>
    </row>
    <row r="728" spans="9:13" ht="16.5" customHeight="1">
      <c r="I728" s="66">
        <f>IF($E728="","",IF($G728&lt;&gt;"","Pago",IF($F728="","Pendente",IF('Config'!$C$9&gt;$F728,"Atrasado","Pendente"))))</f>
        <v/>
      </c>
      <c r="J728" s="126">
        <f>IF($I728="Atrasado",'Config'!$C$9-$F728,"")</f>
        <v/>
      </c>
      <c r="K728" s="127">
        <f>IF(AND($E728&lt;&gt;"",$G728=""),$E728,0)</f>
        <v>0</v>
      </c>
      <c r="L728" s="127">
        <f>IF($I728="Atrasado",$E728,0)</f>
        <v>0</v>
      </c>
      <c r="M728" s="128">
        <f>IF($I728="Atrasado",$J728+ROW()/1000000,0)</f>
        <v>0</v>
      </c>
    </row>
    <row r="729" spans="9:13" ht="16.5" customHeight="1">
      <c r="I729" s="66">
        <f>IF($E729="","",IF($G729&lt;&gt;"","Pago",IF($F729="","Pendente",IF('Config'!$C$9&gt;$F729,"Atrasado","Pendente"))))</f>
        <v/>
      </c>
      <c r="J729" s="126">
        <f>IF($I729="Atrasado",'Config'!$C$9-$F729,"")</f>
        <v/>
      </c>
      <c r="K729" s="127">
        <f>IF(AND($E729&lt;&gt;"",$G729=""),$E729,0)</f>
        <v>0</v>
      </c>
      <c r="L729" s="127">
        <f>IF($I729="Atrasado",$E729,0)</f>
        <v>0</v>
      </c>
      <c r="M729" s="128">
        <f>IF($I729="Atrasado",$J729+ROW()/1000000,0)</f>
        <v>0</v>
      </c>
    </row>
    <row r="730" spans="9:13" ht="16.5" customHeight="1">
      <c r="I730" s="66">
        <f>IF($E730="","",IF($G730&lt;&gt;"","Pago",IF($F730="","Pendente",IF('Config'!$C$9&gt;$F730,"Atrasado","Pendente"))))</f>
        <v/>
      </c>
      <c r="J730" s="126">
        <f>IF($I730="Atrasado",'Config'!$C$9-$F730,"")</f>
        <v/>
      </c>
      <c r="K730" s="127">
        <f>IF(AND($E730&lt;&gt;"",$G730=""),$E730,0)</f>
        <v>0</v>
      </c>
      <c r="L730" s="127">
        <f>IF($I730="Atrasado",$E730,0)</f>
        <v>0</v>
      </c>
      <c r="M730" s="128">
        <f>IF($I730="Atrasado",$J730+ROW()/1000000,0)</f>
        <v>0</v>
      </c>
    </row>
    <row r="731" spans="9:13" ht="16.5" customHeight="1">
      <c r="I731" s="66">
        <f>IF($E731="","",IF($G731&lt;&gt;"","Pago",IF($F731="","Pendente",IF('Config'!$C$9&gt;$F731,"Atrasado","Pendente"))))</f>
        <v/>
      </c>
      <c r="J731" s="126">
        <f>IF($I731="Atrasado",'Config'!$C$9-$F731,"")</f>
        <v/>
      </c>
      <c r="K731" s="127">
        <f>IF(AND($E731&lt;&gt;"",$G731=""),$E731,0)</f>
        <v>0</v>
      </c>
      <c r="L731" s="127">
        <f>IF($I731="Atrasado",$E731,0)</f>
        <v>0</v>
      </c>
      <c r="M731" s="128">
        <f>IF($I731="Atrasado",$J731+ROW()/1000000,0)</f>
        <v>0</v>
      </c>
    </row>
    <row r="732" spans="9:13" ht="16.5" customHeight="1">
      <c r="I732" s="66">
        <f>IF($E732="","",IF($G732&lt;&gt;"","Pago",IF($F732="","Pendente",IF('Config'!$C$9&gt;$F732,"Atrasado","Pendente"))))</f>
        <v/>
      </c>
      <c r="J732" s="126">
        <f>IF($I732="Atrasado",'Config'!$C$9-$F732,"")</f>
        <v/>
      </c>
      <c r="K732" s="127">
        <f>IF(AND($E732&lt;&gt;"",$G732=""),$E732,0)</f>
        <v>0</v>
      </c>
      <c r="L732" s="127">
        <f>IF($I732="Atrasado",$E732,0)</f>
        <v>0</v>
      </c>
      <c r="M732" s="128">
        <f>IF($I732="Atrasado",$J732+ROW()/1000000,0)</f>
        <v>0</v>
      </c>
    </row>
    <row r="733" spans="9:13" ht="16.5" customHeight="1">
      <c r="I733" s="66">
        <f>IF($E733="","",IF($G733&lt;&gt;"","Pago",IF($F733="","Pendente",IF('Config'!$C$9&gt;$F733,"Atrasado","Pendente"))))</f>
        <v/>
      </c>
      <c r="J733" s="126">
        <f>IF($I733="Atrasado",'Config'!$C$9-$F733,"")</f>
        <v/>
      </c>
      <c r="K733" s="127">
        <f>IF(AND($E733&lt;&gt;"",$G733=""),$E733,0)</f>
        <v>0</v>
      </c>
      <c r="L733" s="127">
        <f>IF($I733="Atrasado",$E733,0)</f>
        <v>0</v>
      </c>
      <c r="M733" s="128">
        <f>IF($I733="Atrasado",$J733+ROW()/1000000,0)</f>
        <v>0</v>
      </c>
    </row>
    <row r="734" spans="9:13" ht="16.5" customHeight="1">
      <c r="I734" s="66">
        <f>IF($E734="","",IF($G734&lt;&gt;"","Pago",IF($F734="","Pendente",IF('Config'!$C$9&gt;$F734,"Atrasado","Pendente"))))</f>
        <v/>
      </c>
      <c r="J734" s="126">
        <f>IF($I734="Atrasado",'Config'!$C$9-$F734,"")</f>
        <v/>
      </c>
      <c r="K734" s="127">
        <f>IF(AND($E734&lt;&gt;"",$G734=""),$E734,0)</f>
        <v>0</v>
      </c>
      <c r="L734" s="127">
        <f>IF($I734="Atrasado",$E734,0)</f>
        <v>0</v>
      </c>
      <c r="M734" s="128">
        <f>IF($I734="Atrasado",$J734+ROW()/1000000,0)</f>
        <v>0</v>
      </c>
    </row>
    <row r="735" spans="9:13" ht="16.5" customHeight="1">
      <c r="I735" s="66">
        <f>IF($E735="","",IF($G735&lt;&gt;"","Pago",IF($F735="","Pendente",IF('Config'!$C$9&gt;$F735,"Atrasado","Pendente"))))</f>
        <v/>
      </c>
      <c r="J735" s="126">
        <f>IF($I735="Atrasado",'Config'!$C$9-$F735,"")</f>
        <v/>
      </c>
      <c r="K735" s="127">
        <f>IF(AND($E735&lt;&gt;"",$G735=""),$E735,0)</f>
        <v>0</v>
      </c>
      <c r="L735" s="127">
        <f>IF($I735="Atrasado",$E735,0)</f>
        <v>0</v>
      </c>
      <c r="M735" s="128">
        <f>IF($I735="Atrasado",$J735+ROW()/1000000,0)</f>
        <v>0</v>
      </c>
    </row>
    <row r="736" spans="9:13" ht="16.5" customHeight="1">
      <c r="I736" s="66">
        <f>IF($E736="","",IF($G736&lt;&gt;"","Pago",IF($F736="","Pendente",IF('Config'!$C$9&gt;$F736,"Atrasado","Pendente"))))</f>
        <v/>
      </c>
      <c r="J736" s="126">
        <f>IF($I736="Atrasado",'Config'!$C$9-$F736,"")</f>
        <v/>
      </c>
      <c r="K736" s="127">
        <f>IF(AND($E736&lt;&gt;"",$G736=""),$E736,0)</f>
        <v>0</v>
      </c>
      <c r="L736" s="127">
        <f>IF($I736="Atrasado",$E736,0)</f>
        <v>0</v>
      </c>
      <c r="M736" s="128">
        <f>IF($I736="Atrasado",$J736+ROW()/1000000,0)</f>
        <v>0</v>
      </c>
    </row>
    <row r="737" spans="9:13" ht="16.5" customHeight="1">
      <c r="I737" s="66">
        <f>IF($E737="","",IF($G737&lt;&gt;"","Pago",IF($F737="","Pendente",IF('Config'!$C$9&gt;$F737,"Atrasado","Pendente"))))</f>
        <v/>
      </c>
      <c r="J737" s="126">
        <f>IF($I737="Atrasado",'Config'!$C$9-$F737,"")</f>
        <v/>
      </c>
      <c r="K737" s="127">
        <f>IF(AND($E737&lt;&gt;"",$G737=""),$E737,0)</f>
        <v>0</v>
      </c>
      <c r="L737" s="127">
        <f>IF($I737="Atrasado",$E737,0)</f>
        <v>0</v>
      </c>
      <c r="M737" s="128">
        <f>IF($I737="Atrasado",$J737+ROW()/1000000,0)</f>
        <v>0</v>
      </c>
    </row>
    <row r="738" spans="9:13" ht="16.5" customHeight="1">
      <c r="I738" s="66">
        <f>IF($E738="","",IF($G738&lt;&gt;"","Pago",IF($F738="","Pendente",IF('Config'!$C$9&gt;$F738,"Atrasado","Pendente"))))</f>
        <v/>
      </c>
      <c r="J738" s="126">
        <f>IF($I738="Atrasado",'Config'!$C$9-$F738,"")</f>
        <v/>
      </c>
      <c r="K738" s="127">
        <f>IF(AND($E738&lt;&gt;"",$G738=""),$E738,0)</f>
        <v>0</v>
      </c>
      <c r="L738" s="127">
        <f>IF($I738="Atrasado",$E738,0)</f>
        <v>0</v>
      </c>
      <c r="M738" s="128">
        <f>IF($I738="Atrasado",$J738+ROW()/1000000,0)</f>
        <v>0</v>
      </c>
    </row>
    <row r="739" spans="9:13" ht="16.5" customHeight="1">
      <c r="I739" s="66">
        <f>IF($E739="","",IF($G739&lt;&gt;"","Pago",IF($F739="","Pendente",IF('Config'!$C$9&gt;$F739,"Atrasado","Pendente"))))</f>
        <v/>
      </c>
      <c r="J739" s="126">
        <f>IF($I739="Atrasado",'Config'!$C$9-$F739,"")</f>
        <v/>
      </c>
      <c r="K739" s="127">
        <f>IF(AND($E739&lt;&gt;"",$G739=""),$E739,0)</f>
        <v>0</v>
      </c>
      <c r="L739" s="127">
        <f>IF($I739="Atrasado",$E739,0)</f>
        <v>0</v>
      </c>
      <c r="M739" s="128">
        <f>IF($I739="Atrasado",$J739+ROW()/1000000,0)</f>
        <v>0</v>
      </c>
    </row>
    <row r="740" spans="9:13" ht="16.5" customHeight="1">
      <c r="I740" s="66">
        <f>IF($E740="","",IF($G740&lt;&gt;"","Pago",IF($F740="","Pendente",IF('Config'!$C$9&gt;$F740,"Atrasado","Pendente"))))</f>
        <v/>
      </c>
      <c r="J740" s="126">
        <f>IF($I740="Atrasado",'Config'!$C$9-$F740,"")</f>
        <v/>
      </c>
      <c r="K740" s="127">
        <f>IF(AND($E740&lt;&gt;"",$G740=""),$E740,0)</f>
        <v>0</v>
      </c>
      <c r="L740" s="127">
        <f>IF($I740="Atrasado",$E740,0)</f>
        <v>0</v>
      </c>
      <c r="M740" s="128">
        <f>IF($I740="Atrasado",$J740+ROW()/1000000,0)</f>
        <v>0</v>
      </c>
    </row>
    <row r="741" spans="9:13" ht="16.5" customHeight="1">
      <c r="I741" s="66">
        <f>IF($E741="","",IF($G741&lt;&gt;"","Pago",IF($F741="","Pendente",IF('Config'!$C$9&gt;$F741,"Atrasado","Pendente"))))</f>
        <v/>
      </c>
      <c r="J741" s="126">
        <f>IF($I741="Atrasado",'Config'!$C$9-$F741,"")</f>
        <v/>
      </c>
      <c r="K741" s="127">
        <f>IF(AND($E741&lt;&gt;"",$G741=""),$E741,0)</f>
        <v>0</v>
      </c>
      <c r="L741" s="127">
        <f>IF($I741="Atrasado",$E741,0)</f>
        <v>0</v>
      </c>
      <c r="M741" s="128">
        <f>IF($I741="Atrasado",$J741+ROW()/1000000,0)</f>
        <v>0</v>
      </c>
    </row>
    <row r="742" spans="9:13" ht="16.5" customHeight="1">
      <c r="I742" s="66">
        <f>IF($E742="","",IF($G742&lt;&gt;"","Pago",IF($F742="","Pendente",IF('Config'!$C$9&gt;$F742,"Atrasado","Pendente"))))</f>
        <v/>
      </c>
      <c r="J742" s="126">
        <f>IF($I742="Atrasado",'Config'!$C$9-$F742,"")</f>
        <v/>
      </c>
      <c r="K742" s="127">
        <f>IF(AND($E742&lt;&gt;"",$G742=""),$E742,0)</f>
        <v>0</v>
      </c>
      <c r="L742" s="127">
        <f>IF($I742="Atrasado",$E742,0)</f>
        <v>0</v>
      </c>
      <c r="M742" s="128">
        <f>IF($I742="Atrasado",$J742+ROW()/1000000,0)</f>
        <v>0</v>
      </c>
    </row>
    <row r="743" spans="9:13" ht="16.5" customHeight="1">
      <c r="I743" s="66">
        <f>IF($E743="","",IF($G743&lt;&gt;"","Pago",IF($F743="","Pendente",IF('Config'!$C$9&gt;$F743,"Atrasado","Pendente"))))</f>
        <v/>
      </c>
      <c r="J743" s="126">
        <f>IF($I743="Atrasado",'Config'!$C$9-$F743,"")</f>
        <v/>
      </c>
      <c r="K743" s="127">
        <f>IF(AND($E743&lt;&gt;"",$G743=""),$E743,0)</f>
        <v>0</v>
      </c>
      <c r="L743" s="127">
        <f>IF($I743="Atrasado",$E743,0)</f>
        <v>0</v>
      </c>
      <c r="M743" s="128">
        <f>IF($I743="Atrasado",$J743+ROW()/1000000,0)</f>
        <v>0</v>
      </c>
    </row>
    <row r="744" spans="9:13" ht="16.5" customHeight="1">
      <c r="I744" s="66">
        <f>IF($E744="","",IF($G744&lt;&gt;"","Pago",IF($F744="","Pendente",IF('Config'!$C$9&gt;$F744,"Atrasado","Pendente"))))</f>
        <v/>
      </c>
      <c r="J744" s="126">
        <f>IF($I744="Atrasado",'Config'!$C$9-$F744,"")</f>
        <v/>
      </c>
      <c r="K744" s="127">
        <f>IF(AND($E744&lt;&gt;"",$G744=""),$E744,0)</f>
        <v>0</v>
      </c>
      <c r="L744" s="127">
        <f>IF($I744="Atrasado",$E744,0)</f>
        <v>0</v>
      </c>
      <c r="M744" s="128">
        <f>IF($I744="Atrasado",$J744+ROW()/1000000,0)</f>
        <v>0</v>
      </c>
    </row>
    <row r="745" spans="9:13" ht="16.5" customHeight="1">
      <c r="I745" s="66">
        <f>IF($E745="","",IF($G745&lt;&gt;"","Pago",IF($F745="","Pendente",IF('Config'!$C$9&gt;$F745,"Atrasado","Pendente"))))</f>
        <v/>
      </c>
      <c r="J745" s="126">
        <f>IF($I745="Atrasado",'Config'!$C$9-$F745,"")</f>
        <v/>
      </c>
      <c r="K745" s="127">
        <f>IF(AND($E745&lt;&gt;"",$G745=""),$E745,0)</f>
        <v>0</v>
      </c>
      <c r="L745" s="127">
        <f>IF($I745="Atrasado",$E745,0)</f>
        <v>0</v>
      </c>
      <c r="M745" s="128">
        <f>IF($I745="Atrasado",$J745+ROW()/1000000,0)</f>
        <v>0</v>
      </c>
    </row>
    <row r="746" spans="9:13" ht="16.5" customHeight="1">
      <c r="I746" s="66">
        <f>IF($E746="","",IF($G746&lt;&gt;"","Pago",IF($F746="","Pendente",IF('Config'!$C$9&gt;$F746,"Atrasado","Pendente"))))</f>
        <v/>
      </c>
      <c r="J746" s="126">
        <f>IF($I746="Atrasado",'Config'!$C$9-$F746,"")</f>
        <v/>
      </c>
      <c r="K746" s="127">
        <f>IF(AND($E746&lt;&gt;"",$G746=""),$E746,0)</f>
        <v>0</v>
      </c>
      <c r="L746" s="127">
        <f>IF($I746="Atrasado",$E746,0)</f>
        <v>0</v>
      </c>
      <c r="M746" s="128">
        <f>IF($I746="Atrasado",$J746+ROW()/1000000,0)</f>
        <v>0</v>
      </c>
    </row>
    <row r="747" spans="9:13" ht="16.5" customHeight="1">
      <c r="I747" s="66">
        <f>IF($E747="","",IF($G747&lt;&gt;"","Pago",IF($F747="","Pendente",IF('Config'!$C$9&gt;$F747,"Atrasado","Pendente"))))</f>
        <v/>
      </c>
      <c r="J747" s="126">
        <f>IF($I747="Atrasado",'Config'!$C$9-$F747,"")</f>
        <v/>
      </c>
      <c r="K747" s="127">
        <f>IF(AND($E747&lt;&gt;"",$G747=""),$E747,0)</f>
        <v>0</v>
      </c>
      <c r="L747" s="127">
        <f>IF($I747="Atrasado",$E747,0)</f>
        <v>0</v>
      </c>
      <c r="M747" s="128">
        <f>IF($I747="Atrasado",$J747+ROW()/1000000,0)</f>
        <v>0</v>
      </c>
    </row>
    <row r="748" spans="9:13" ht="16.5" customHeight="1">
      <c r="I748" s="66">
        <f>IF($E748="","",IF($G748&lt;&gt;"","Pago",IF($F748="","Pendente",IF('Config'!$C$9&gt;$F748,"Atrasado","Pendente"))))</f>
        <v/>
      </c>
      <c r="J748" s="126">
        <f>IF($I748="Atrasado",'Config'!$C$9-$F748,"")</f>
        <v/>
      </c>
      <c r="K748" s="127">
        <f>IF(AND($E748&lt;&gt;"",$G748=""),$E748,0)</f>
        <v>0</v>
      </c>
      <c r="L748" s="127">
        <f>IF($I748="Atrasado",$E748,0)</f>
        <v>0</v>
      </c>
      <c r="M748" s="128">
        <f>IF($I748="Atrasado",$J748+ROW()/1000000,0)</f>
        <v>0</v>
      </c>
    </row>
    <row r="749" spans="9:13" ht="16.5" customHeight="1">
      <c r="I749" s="66">
        <f>IF($E749="","",IF($G749&lt;&gt;"","Pago",IF($F749="","Pendente",IF('Config'!$C$9&gt;$F749,"Atrasado","Pendente"))))</f>
        <v/>
      </c>
      <c r="J749" s="126">
        <f>IF($I749="Atrasado",'Config'!$C$9-$F749,"")</f>
        <v/>
      </c>
      <c r="K749" s="127">
        <f>IF(AND($E749&lt;&gt;"",$G749=""),$E749,0)</f>
        <v>0</v>
      </c>
      <c r="L749" s="127">
        <f>IF($I749="Atrasado",$E749,0)</f>
        <v>0</v>
      </c>
      <c r="M749" s="128">
        <f>IF($I749="Atrasado",$J749+ROW()/1000000,0)</f>
        <v>0</v>
      </c>
    </row>
    <row r="750" spans="9:13" ht="16.5" customHeight="1">
      <c r="I750" s="66">
        <f>IF($E750="","",IF($G750&lt;&gt;"","Pago",IF($F750="","Pendente",IF('Config'!$C$9&gt;$F750,"Atrasado","Pendente"))))</f>
        <v/>
      </c>
      <c r="J750" s="126">
        <f>IF($I750="Atrasado",'Config'!$C$9-$F750,"")</f>
        <v/>
      </c>
      <c r="K750" s="127">
        <f>IF(AND($E750&lt;&gt;"",$G750=""),$E750,0)</f>
        <v>0</v>
      </c>
      <c r="L750" s="127">
        <f>IF($I750="Atrasado",$E750,0)</f>
        <v>0</v>
      </c>
      <c r="M750" s="128">
        <f>IF($I750="Atrasado",$J750+ROW()/1000000,0)</f>
        <v>0</v>
      </c>
    </row>
    <row r="751" spans="9:13" ht="16.5" customHeight="1">
      <c r="I751" s="66">
        <f>IF($E751="","",IF($G751&lt;&gt;"","Pago",IF($F751="","Pendente",IF('Config'!$C$9&gt;$F751,"Atrasado","Pendente"))))</f>
        <v/>
      </c>
      <c r="J751" s="126">
        <f>IF($I751="Atrasado",'Config'!$C$9-$F751,"")</f>
        <v/>
      </c>
      <c r="K751" s="127">
        <f>IF(AND($E751&lt;&gt;"",$G751=""),$E751,0)</f>
        <v>0</v>
      </c>
      <c r="L751" s="127">
        <f>IF($I751="Atrasado",$E751,0)</f>
        <v>0</v>
      </c>
      <c r="M751" s="128">
        <f>IF($I751="Atrasado",$J751+ROW()/1000000,0)</f>
        <v>0</v>
      </c>
    </row>
    <row r="752" spans="9:13" ht="16.5" customHeight="1">
      <c r="I752" s="66">
        <f>IF($E752="","",IF($G752&lt;&gt;"","Pago",IF($F752="","Pendente",IF('Config'!$C$9&gt;$F752,"Atrasado","Pendente"))))</f>
        <v/>
      </c>
      <c r="J752" s="126">
        <f>IF($I752="Atrasado",'Config'!$C$9-$F752,"")</f>
        <v/>
      </c>
      <c r="K752" s="127">
        <f>IF(AND($E752&lt;&gt;"",$G752=""),$E752,0)</f>
        <v>0</v>
      </c>
      <c r="L752" s="127">
        <f>IF($I752="Atrasado",$E752,0)</f>
        <v>0</v>
      </c>
      <c r="M752" s="128">
        <f>IF($I752="Atrasado",$J752+ROW()/1000000,0)</f>
        <v>0</v>
      </c>
    </row>
    <row r="753" spans="9:13" ht="16.5" customHeight="1">
      <c r="I753" s="66">
        <f>IF($E753="","",IF($G753&lt;&gt;"","Pago",IF($F753="","Pendente",IF('Config'!$C$9&gt;$F753,"Atrasado","Pendente"))))</f>
        <v/>
      </c>
      <c r="J753" s="126">
        <f>IF($I753="Atrasado",'Config'!$C$9-$F753,"")</f>
        <v/>
      </c>
      <c r="K753" s="127">
        <f>IF(AND($E753&lt;&gt;"",$G753=""),$E753,0)</f>
        <v>0</v>
      </c>
      <c r="L753" s="127">
        <f>IF($I753="Atrasado",$E753,0)</f>
        <v>0</v>
      </c>
      <c r="M753" s="128">
        <f>IF($I753="Atrasado",$J753+ROW()/1000000,0)</f>
        <v>0</v>
      </c>
    </row>
    <row r="754" spans="9:13" ht="16.5" customHeight="1">
      <c r="I754" s="66">
        <f>IF($E754="","",IF($G754&lt;&gt;"","Pago",IF($F754="","Pendente",IF('Config'!$C$9&gt;$F754,"Atrasado","Pendente"))))</f>
        <v/>
      </c>
      <c r="J754" s="126">
        <f>IF($I754="Atrasado",'Config'!$C$9-$F754,"")</f>
        <v/>
      </c>
      <c r="K754" s="127">
        <f>IF(AND($E754&lt;&gt;"",$G754=""),$E754,0)</f>
        <v>0</v>
      </c>
      <c r="L754" s="127">
        <f>IF($I754="Atrasado",$E754,0)</f>
        <v>0</v>
      </c>
      <c r="M754" s="128">
        <f>IF($I754="Atrasado",$J754+ROW()/1000000,0)</f>
        <v>0</v>
      </c>
    </row>
    <row r="755" spans="9:13" ht="16.5" customHeight="1">
      <c r="I755" s="66">
        <f>IF($E755="","",IF($G755&lt;&gt;"","Pago",IF($F755="","Pendente",IF('Config'!$C$9&gt;$F755,"Atrasado","Pendente"))))</f>
        <v/>
      </c>
      <c r="J755" s="126">
        <f>IF($I755="Atrasado",'Config'!$C$9-$F755,"")</f>
        <v/>
      </c>
      <c r="K755" s="127">
        <f>IF(AND($E755&lt;&gt;"",$G755=""),$E755,0)</f>
        <v>0</v>
      </c>
      <c r="L755" s="127">
        <f>IF($I755="Atrasado",$E755,0)</f>
        <v>0</v>
      </c>
      <c r="M755" s="128">
        <f>IF($I755="Atrasado",$J755+ROW()/1000000,0)</f>
        <v>0</v>
      </c>
    </row>
    <row r="756" spans="9:13" ht="16.5" customHeight="1">
      <c r="I756" s="66">
        <f>IF($E756="","",IF($G756&lt;&gt;"","Pago",IF($F756="","Pendente",IF('Config'!$C$9&gt;$F756,"Atrasado","Pendente"))))</f>
        <v/>
      </c>
      <c r="J756" s="126">
        <f>IF($I756="Atrasado",'Config'!$C$9-$F756,"")</f>
        <v/>
      </c>
      <c r="K756" s="127">
        <f>IF(AND($E756&lt;&gt;"",$G756=""),$E756,0)</f>
        <v>0</v>
      </c>
      <c r="L756" s="127">
        <f>IF($I756="Atrasado",$E756,0)</f>
        <v>0</v>
      </c>
      <c r="M756" s="128">
        <f>IF($I756="Atrasado",$J756+ROW()/1000000,0)</f>
        <v>0</v>
      </c>
    </row>
    <row r="757" spans="9:13" ht="16.5" customHeight="1">
      <c r="I757" s="66">
        <f>IF($E757="","",IF($G757&lt;&gt;"","Pago",IF($F757="","Pendente",IF('Config'!$C$9&gt;$F757,"Atrasado","Pendente"))))</f>
        <v/>
      </c>
      <c r="J757" s="126">
        <f>IF($I757="Atrasado",'Config'!$C$9-$F757,"")</f>
        <v/>
      </c>
      <c r="K757" s="127">
        <f>IF(AND($E757&lt;&gt;"",$G757=""),$E757,0)</f>
        <v>0</v>
      </c>
      <c r="L757" s="127">
        <f>IF($I757="Atrasado",$E757,0)</f>
        <v>0</v>
      </c>
      <c r="M757" s="128">
        <f>IF($I757="Atrasado",$J757+ROW()/1000000,0)</f>
        <v>0</v>
      </c>
    </row>
    <row r="758" spans="9:13" ht="16.5" customHeight="1">
      <c r="I758" s="66">
        <f>IF($E758="","",IF($G758&lt;&gt;"","Pago",IF($F758="","Pendente",IF('Config'!$C$9&gt;$F758,"Atrasado","Pendente"))))</f>
        <v/>
      </c>
      <c r="J758" s="126">
        <f>IF($I758="Atrasado",'Config'!$C$9-$F758,"")</f>
        <v/>
      </c>
      <c r="K758" s="127">
        <f>IF(AND($E758&lt;&gt;"",$G758=""),$E758,0)</f>
        <v>0</v>
      </c>
      <c r="L758" s="127">
        <f>IF($I758="Atrasado",$E758,0)</f>
        <v>0</v>
      </c>
      <c r="M758" s="128">
        <f>IF($I758="Atrasado",$J758+ROW()/1000000,0)</f>
        <v>0</v>
      </c>
    </row>
    <row r="759" spans="9:13" ht="16.5" customHeight="1">
      <c r="I759" s="66">
        <f>IF($E759="","",IF($G759&lt;&gt;"","Pago",IF($F759="","Pendente",IF('Config'!$C$9&gt;$F759,"Atrasado","Pendente"))))</f>
        <v/>
      </c>
      <c r="J759" s="126">
        <f>IF($I759="Atrasado",'Config'!$C$9-$F759,"")</f>
        <v/>
      </c>
      <c r="K759" s="127">
        <f>IF(AND($E759&lt;&gt;"",$G759=""),$E759,0)</f>
        <v>0</v>
      </c>
      <c r="L759" s="127">
        <f>IF($I759="Atrasado",$E759,0)</f>
        <v>0</v>
      </c>
      <c r="M759" s="128">
        <f>IF($I759="Atrasado",$J759+ROW()/1000000,0)</f>
        <v>0</v>
      </c>
    </row>
    <row r="760" spans="9:13" ht="16.5" customHeight="1">
      <c r="I760" s="66">
        <f>IF($E760="","",IF($G760&lt;&gt;"","Pago",IF($F760="","Pendente",IF('Config'!$C$9&gt;$F760,"Atrasado","Pendente"))))</f>
        <v/>
      </c>
      <c r="J760" s="126">
        <f>IF($I760="Atrasado",'Config'!$C$9-$F760,"")</f>
        <v/>
      </c>
      <c r="K760" s="127">
        <f>IF(AND($E760&lt;&gt;"",$G760=""),$E760,0)</f>
        <v>0</v>
      </c>
      <c r="L760" s="127">
        <f>IF($I760="Atrasado",$E760,0)</f>
        <v>0</v>
      </c>
      <c r="M760" s="128">
        <f>IF($I760="Atrasado",$J760+ROW()/1000000,0)</f>
        <v>0</v>
      </c>
    </row>
    <row r="761" spans="9:13" ht="16.5" customHeight="1">
      <c r="I761" s="66">
        <f>IF($E761="","",IF($G761&lt;&gt;"","Pago",IF($F761="","Pendente",IF('Config'!$C$9&gt;$F761,"Atrasado","Pendente"))))</f>
        <v/>
      </c>
      <c r="J761" s="126">
        <f>IF($I761="Atrasado",'Config'!$C$9-$F761,"")</f>
        <v/>
      </c>
      <c r="K761" s="127">
        <f>IF(AND($E761&lt;&gt;"",$G761=""),$E761,0)</f>
        <v>0</v>
      </c>
      <c r="L761" s="127">
        <f>IF($I761="Atrasado",$E761,0)</f>
        <v>0</v>
      </c>
      <c r="M761" s="128">
        <f>IF($I761="Atrasado",$J761+ROW()/1000000,0)</f>
        <v>0</v>
      </c>
    </row>
    <row r="762" spans="9:13" ht="16.5" customHeight="1">
      <c r="I762" s="66">
        <f>IF($E762="","",IF($G762&lt;&gt;"","Pago",IF($F762="","Pendente",IF('Config'!$C$9&gt;$F762,"Atrasado","Pendente"))))</f>
        <v/>
      </c>
      <c r="J762" s="126">
        <f>IF($I762="Atrasado",'Config'!$C$9-$F762,"")</f>
        <v/>
      </c>
      <c r="K762" s="127">
        <f>IF(AND($E762&lt;&gt;"",$G762=""),$E762,0)</f>
        <v>0</v>
      </c>
      <c r="L762" s="127">
        <f>IF($I762="Atrasado",$E762,0)</f>
        <v>0</v>
      </c>
      <c r="M762" s="128">
        <f>IF($I762="Atrasado",$J762+ROW()/1000000,0)</f>
        <v>0</v>
      </c>
    </row>
    <row r="763" spans="9:13" ht="16.5" customHeight="1">
      <c r="I763" s="66">
        <f>IF($E763="","",IF($G763&lt;&gt;"","Pago",IF($F763="","Pendente",IF('Config'!$C$9&gt;$F763,"Atrasado","Pendente"))))</f>
        <v/>
      </c>
      <c r="J763" s="126">
        <f>IF($I763="Atrasado",'Config'!$C$9-$F763,"")</f>
        <v/>
      </c>
      <c r="K763" s="127">
        <f>IF(AND($E763&lt;&gt;"",$G763=""),$E763,0)</f>
        <v>0</v>
      </c>
      <c r="L763" s="127">
        <f>IF($I763="Atrasado",$E763,0)</f>
        <v>0</v>
      </c>
      <c r="M763" s="128">
        <f>IF($I763="Atrasado",$J763+ROW()/1000000,0)</f>
        <v>0</v>
      </c>
    </row>
    <row r="764" spans="9:13" ht="16.5" customHeight="1">
      <c r="I764" s="66">
        <f>IF($E764="","",IF($G764&lt;&gt;"","Pago",IF($F764="","Pendente",IF('Config'!$C$9&gt;$F764,"Atrasado","Pendente"))))</f>
        <v/>
      </c>
      <c r="J764" s="126">
        <f>IF($I764="Atrasado",'Config'!$C$9-$F764,"")</f>
        <v/>
      </c>
      <c r="K764" s="127">
        <f>IF(AND($E764&lt;&gt;"",$G764=""),$E764,0)</f>
        <v>0</v>
      </c>
      <c r="L764" s="127">
        <f>IF($I764="Atrasado",$E764,0)</f>
        <v>0</v>
      </c>
      <c r="M764" s="128">
        <f>IF($I764="Atrasado",$J764+ROW()/1000000,0)</f>
        <v>0</v>
      </c>
    </row>
    <row r="765" spans="9:13" ht="16.5" customHeight="1">
      <c r="I765" s="66">
        <f>IF($E765="","",IF($G765&lt;&gt;"","Pago",IF($F765="","Pendente",IF('Config'!$C$9&gt;$F765,"Atrasado","Pendente"))))</f>
        <v/>
      </c>
      <c r="J765" s="126">
        <f>IF($I765="Atrasado",'Config'!$C$9-$F765,"")</f>
        <v/>
      </c>
      <c r="K765" s="127">
        <f>IF(AND($E765&lt;&gt;"",$G765=""),$E765,0)</f>
        <v>0</v>
      </c>
      <c r="L765" s="127">
        <f>IF($I765="Atrasado",$E765,0)</f>
        <v>0</v>
      </c>
      <c r="M765" s="128">
        <f>IF($I765="Atrasado",$J765+ROW()/1000000,0)</f>
        <v>0</v>
      </c>
    </row>
    <row r="766" spans="9:13" ht="16.5" customHeight="1">
      <c r="I766" s="66">
        <f>IF($E766="","",IF($G766&lt;&gt;"","Pago",IF($F766="","Pendente",IF('Config'!$C$9&gt;$F766,"Atrasado","Pendente"))))</f>
        <v/>
      </c>
      <c r="J766" s="126">
        <f>IF($I766="Atrasado",'Config'!$C$9-$F766,"")</f>
        <v/>
      </c>
      <c r="K766" s="127">
        <f>IF(AND($E766&lt;&gt;"",$G766=""),$E766,0)</f>
        <v>0</v>
      </c>
      <c r="L766" s="127">
        <f>IF($I766="Atrasado",$E766,0)</f>
        <v>0</v>
      </c>
      <c r="M766" s="128">
        <f>IF($I766="Atrasado",$J766+ROW()/1000000,0)</f>
        <v>0</v>
      </c>
    </row>
    <row r="767" spans="9:13" ht="16.5" customHeight="1">
      <c r="I767" s="66">
        <f>IF($E767="","",IF($G767&lt;&gt;"","Pago",IF($F767="","Pendente",IF('Config'!$C$9&gt;$F767,"Atrasado","Pendente"))))</f>
        <v/>
      </c>
      <c r="J767" s="126">
        <f>IF($I767="Atrasado",'Config'!$C$9-$F767,"")</f>
        <v/>
      </c>
      <c r="K767" s="127">
        <f>IF(AND($E767&lt;&gt;"",$G767=""),$E767,0)</f>
        <v>0</v>
      </c>
      <c r="L767" s="127">
        <f>IF($I767="Atrasado",$E767,0)</f>
        <v>0</v>
      </c>
      <c r="M767" s="128">
        <f>IF($I767="Atrasado",$J767+ROW()/1000000,0)</f>
        <v>0</v>
      </c>
    </row>
    <row r="768" spans="9:13" ht="16.5" customHeight="1">
      <c r="I768" s="66">
        <f>IF($E768="","",IF($G768&lt;&gt;"","Pago",IF($F768="","Pendente",IF('Config'!$C$9&gt;$F768,"Atrasado","Pendente"))))</f>
        <v/>
      </c>
      <c r="J768" s="126">
        <f>IF($I768="Atrasado",'Config'!$C$9-$F768,"")</f>
        <v/>
      </c>
      <c r="K768" s="127">
        <f>IF(AND($E768&lt;&gt;"",$G768=""),$E768,0)</f>
        <v>0</v>
      </c>
      <c r="L768" s="127">
        <f>IF($I768="Atrasado",$E768,0)</f>
        <v>0</v>
      </c>
      <c r="M768" s="128">
        <f>IF($I768="Atrasado",$J768+ROW()/1000000,0)</f>
        <v>0</v>
      </c>
    </row>
    <row r="769" spans="9:13" ht="16.5" customHeight="1">
      <c r="I769" s="66">
        <f>IF($E769="","",IF($G769&lt;&gt;"","Pago",IF($F769="","Pendente",IF('Config'!$C$9&gt;$F769,"Atrasado","Pendente"))))</f>
        <v/>
      </c>
      <c r="J769" s="126">
        <f>IF($I769="Atrasado",'Config'!$C$9-$F769,"")</f>
        <v/>
      </c>
      <c r="K769" s="127">
        <f>IF(AND($E769&lt;&gt;"",$G769=""),$E769,0)</f>
        <v>0</v>
      </c>
      <c r="L769" s="127">
        <f>IF($I769="Atrasado",$E769,0)</f>
        <v>0</v>
      </c>
      <c r="M769" s="128">
        <f>IF($I769="Atrasado",$J769+ROW()/1000000,0)</f>
        <v>0</v>
      </c>
    </row>
    <row r="770" spans="9:13" ht="16.5" customHeight="1">
      <c r="I770" s="66">
        <f>IF($E770="","",IF($G770&lt;&gt;"","Pago",IF($F770="","Pendente",IF('Config'!$C$9&gt;$F770,"Atrasado","Pendente"))))</f>
        <v/>
      </c>
      <c r="J770" s="126">
        <f>IF($I770="Atrasado",'Config'!$C$9-$F770,"")</f>
        <v/>
      </c>
      <c r="K770" s="127">
        <f>IF(AND($E770&lt;&gt;"",$G770=""),$E770,0)</f>
        <v>0</v>
      </c>
      <c r="L770" s="127">
        <f>IF($I770="Atrasado",$E770,0)</f>
        <v>0</v>
      </c>
      <c r="M770" s="128">
        <f>IF($I770="Atrasado",$J770+ROW()/1000000,0)</f>
        <v>0</v>
      </c>
    </row>
    <row r="771" spans="9:13" ht="16.5" customHeight="1">
      <c r="I771" s="66">
        <f>IF($E771="","",IF($G771&lt;&gt;"","Pago",IF($F771="","Pendente",IF('Config'!$C$9&gt;$F771,"Atrasado","Pendente"))))</f>
        <v/>
      </c>
      <c r="J771" s="126">
        <f>IF($I771="Atrasado",'Config'!$C$9-$F771,"")</f>
        <v/>
      </c>
      <c r="K771" s="127">
        <f>IF(AND($E771&lt;&gt;"",$G771=""),$E771,0)</f>
        <v>0</v>
      </c>
      <c r="L771" s="127">
        <f>IF($I771="Atrasado",$E771,0)</f>
        <v>0</v>
      </c>
      <c r="M771" s="128">
        <f>IF($I771="Atrasado",$J771+ROW()/1000000,0)</f>
        <v>0</v>
      </c>
    </row>
    <row r="772" spans="9:13" ht="16.5" customHeight="1">
      <c r="I772" s="66">
        <f>IF($E772="","",IF($G772&lt;&gt;"","Pago",IF($F772="","Pendente",IF('Config'!$C$9&gt;$F772,"Atrasado","Pendente"))))</f>
        <v/>
      </c>
      <c r="J772" s="126">
        <f>IF($I772="Atrasado",'Config'!$C$9-$F772,"")</f>
        <v/>
      </c>
      <c r="K772" s="127">
        <f>IF(AND($E772&lt;&gt;"",$G772=""),$E772,0)</f>
        <v>0</v>
      </c>
      <c r="L772" s="127">
        <f>IF($I772="Atrasado",$E772,0)</f>
        <v>0</v>
      </c>
      <c r="M772" s="128">
        <f>IF($I772="Atrasado",$J772+ROW()/1000000,0)</f>
        <v>0</v>
      </c>
    </row>
    <row r="773" spans="9:13" ht="16.5" customHeight="1">
      <c r="I773" s="66">
        <f>IF($E773="","",IF($G773&lt;&gt;"","Pago",IF($F773="","Pendente",IF('Config'!$C$9&gt;$F773,"Atrasado","Pendente"))))</f>
        <v/>
      </c>
      <c r="J773" s="126">
        <f>IF($I773="Atrasado",'Config'!$C$9-$F773,"")</f>
        <v/>
      </c>
      <c r="K773" s="127">
        <f>IF(AND($E773&lt;&gt;"",$G773=""),$E773,0)</f>
        <v>0</v>
      </c>
      <c r="L773" s="127">
        <f>IF($I773="Atrasado",$E773,0)</f>
        <v>0</v>
      </c>
      <c r="M773" s="128">
        <f>IF($I773="Atrasado",$J773+ROW()/1000000,0)</f>
        <v>0</v>
      </c>
    </row>
    <row r="774" spans="9:13" ht="16.5" customHeight="1">
      <c r="I774" s="66">
        <f>IF($E774="","",IF($G774&lt;&gt;"","Pago",IF($F774="","Pendente",IF('Config'!$C$9&gt;$F774,"Atrasado","Pendente"))))</f>
        <v/>
      </c>
      <c r="J774" s="126">
        <f>IF($I774="Atrasado",'Config'!$C$9-$F774,"")</f>
        <v/>
      </c>
      <c r="K774" s="127">
        <f>IF(AND($E774&lt;&gt;"",$G774=""),$E774,0)</f>
        <v>0</v>
      </c>
      <c r="L774" s="127">
        <f>IF($I774="Atrasado",$E774,0)</f>
        <v>0</v>
      </c>
      <c r="M774" s="128">
        <f>IF($I774="Atrasado",$J774+ROW()/1000000,0)</f>
        <v>0</v>
      </c>
    </row>
    <row r="775" spans="9:13" ht="16.5" customHeight="1">
      <c r="I775" s="66">
        <f>IF($E775="","",IF($G775&lt;&gt;"","Pago",IF($F775="","Pendente",IF('Config'!$C$9&gt;$F775,"Atrasado","Pendente"))))</f>
        <v/>
      </c>
      <c r="J775" s="126">
        <f>IF($I775="Atrasado",'Config'!$C$9-$F775,"")</f>
        <v/>
      </c>
      <c r="K775" s="127">
        <f>IF(AND($E775&lt;&gt;"",$G775=""),$E775,0)</f>
        <v>0</v>
      </c>
      <c r="L775" s="127">
        <f>IF($I775="Atrasado",$E775,0)</f>
        <v>0</v>
      </c>
      <c r="M775" s="128">
        <f>IF($I775="Atrasado",$J775+ROW()/1000000,0)</f>
        <v>0</v>
      </c>
    </row>
    <row r="776" spans="9:13" ht="16.5" customHeight="1">
      <c r="I776" s="66">
        <f>IF($E776="","",IF($G776&lt;&gt;"","Pago",IF($F776="","Pendente",IF('Config'!$C$9&gt;$F776,"Atrasado","Pendente"))))</f>
        <v/>
      </c>
      <c r="J776" s="126">
        <f>IF($I776="Atrasado",'Config'!$C$9-$F776,"")</f>
        <v/>
      </c>
      <c r="K776" s="127">
        <f>IF(AND($E776&lt;&gt;"",$G776=""),$E776,0)</f>
        <v>0</v>
      </c>
      <c r="L776" s="127">
        <f>IF($I776="Atrasado",$E776,0)</f>
        <v>0</v>
      </c>
      <c r="M776" s="128">
        <f>IF($I776="Atrasado",$J776+ROW()/1000000,0)</f>
        <v>0</v>
      </c>
    </row>
    <row r="777" spans="9:13" ht="16.5" customHeight="1">
      <c r="I777" s="66">
        <f>IF($E777="","",IF($G777&lt;&gt;"","Pago",IF($F777="","Pendente",IF('Config'!$C$9&gt;$F777,"Atrasado","Pendente"))))</f>
        <v/>
      </c>
      <c r="J777" s="126">
        <f>IF($I777="Atrasado",'Config'!$C$9-$F777,"")</f>
        <v/>
      </c>
      <c r="K777" s="127">
        <f>IF(AND($E777&lt;&gt;"",$G777=""),$E777,0)</f>
        <v>0</v>
      </c>
      <c r="L777" s="127">
        <f>IF($I777="Atrasado",$E777,0)</f>
        <v>0</v>
      </c>
      <c r="M777" s="128">
        <f>IF($I777="Atrasado",$J777+ROW()/1000000,0)</f>
        <v>0</v>
      </c>
    </row>
    <row r="778" spans="9:13" ht="16.5" customHeight="1">
      <c r="I778" s="66">
        <f>IF($E778="","",IF($G778&lt;&gt;"","Pago",IF($F778="","Pendente",IF('Config'!$C$9&gt;$F778,"Atrasado","Pendente"))))</f>
        <v/>
      </c>
      <c r="J778" s="126">
        <f>IF($I778="Atrasado",'Config'!$C$9-$F778,"")</f>
        <v/>
      </c>
      <c r="K778" s="127">
        <f>IF(AND($E778&lt;&gt;"",$G778=""),$E778,0)</f>
        <v>0</v>
      </c>
      <c r="L778" s="127">
        <f>IF($I778="Atrasado",$E778,0)</f>
        <v>0</v>
      </c>
      <c r="M778" s="128">
        <f>IF($I778="Atrasado",$J778+ROW()/1000000,0)</f>
        <v>0</v>
      </c>
    </row>
    <row r="779" spans="9:13" ht="16.5" customHeight="1">
      <c r="I779" s="66">
        <f>IF($E779="","",IF($G779&lt;&gt;"","Pago",IF($F779="","Pendente",IF('Config'!$C$9&gt;$F779,"Atrasado","Pendente"))))</f>
        <v/>
      </c>
      <c r="J779" s="126">
        <f>IF($I779="Atrasado",'Config'!$C$9-$F779,"")</f>
        <v/>
      </c>
      <c r="K779" s="127">
        <f>IF(AND($E779&lt;&gt;"",$G779=""),$E779,0)</f>
        <v>0</v>
      </c>
      <c r="L779" s="127">
        <f>IF($I779="Atrasado",$E779,0)</f>
        <v>0</v>
      </c>
      <c r="M779" s="128">
        <f>IF($I779="Atrasado",$J779+ROW()/1000000,0)</f>
        <v>0</v>
      </c>
    </row>
    <row r="780" spans="9:13" ht="16.5" customHeight="1">
      <c r="I780" s="66">
        <f>IF($E780="","",IF($G780&lt;&gt;"","Pago",IF($F780="","Pendente",IF('Config'!$C$9&gt;$F780,"Atrasado","Pendente"))))</f>
        <v/>
      </c>
      <c r="J780" s="126">
        <f>IF($I780="Atrasado",'Config'!$C$9-$F780,"")</f>
        <v/>
      </c>
      <c r="K780" s="127">
        <f>IF(AND($E780&lt;&gt;"",$G780=""),$E780,0)</f>
        <v>0</v>
      </c>
      <c r="L780" s="127">
        <f>IF($I780="Atrasado",$E780,0)</f>
        <v>0</v>
      </c>
      <c r="M780" s="128">
        <f>IF($I780="Atrasado",$J780+ROW()/1000000,0)</f>
        <v>0</v>
      </c>
    </row>
    <row r="781" spans="9:13" ht="16.5" customHeight="1">
      <c r="I781" s="66">
        <f>IF($E781="","",IF($G781&lt;&gt;"","Pago",IF($F781="","Pendente",IF('Config'!$C$9&gt;$F781,"Atrasado","Pendente"))))</f>
        <v/>
      </c>
      <c r="J781" s="126">
        <f>IF($I781="Atrasado",'Config'!$C$9-$F781,"")</f>
        <v/>
      </c>
      <c r="K781" s="127">
        <f>IF(AND($E781&lt;&gt;"",$G781=""),$E781,0)</f>
        <v>0</v>
      </c>
      <c r="L781" s="127">
        <f>IF($I781="Atrasado",$E781,0)</f>
        <v>0</v>
      </c>
      <c r="M781" s="128">
        <f>IF($I781="Atrasado",$J781+ROW()/1000000,0)</f>
        <v>0</v>
      </c>
    </row>
    <row r="782" spans="9:13" ht="16.5" customHeight="1">
      <c r="I782" s="66">
        <f>IF($E782="","",IF($G782&lt;&gt;"","Pago",IF($F782="","Pendente",IF('Config'!$C$9&gt;$F782,"Atrasado","Pendente"))))</f>
        <v/>
      </c>
      <c r="J782" s="126">
        <f>IF($I782="Atrasado",'Config'!$C$9-$F782,"")</f>
        <v/>
      </c>
      <c r="K782" s="127">
        <f>IF(AND($E782&lt;&gt;"",$G782=""),$E782,0)</f>
        <v>0</v>
      </c>
      <c r="L782" s="127">
        <f>IF($I782="Atrasado",$E782,0)</f>
        <v>0</v>
      </c>
      <c r="M782" s="128">
        <f>IF($I782="Atrasado",$J782+ROW()/1000000,0)</f>
        <v>0</v>
      </c>
    </row>
    <row r="783" spans="9:13" ht="16.5" customHeight="1">
      <c r="I783" s="66">
        <f>IF($E783="","",IF($G783&lt;&gt;"","Pago",IF($F783="","Pendente",IF('Config'!$C$9&gt;$F783,"Atrasado","Pendente"))))</f>
        <v/>
      </c>
      <c r="J783" s="126">
        <f>IF($I783="Atrasado",'Config'!$C$9-$F783,"")</f>
        <v/>
      </c>
      <c r="K783" s="127">
        <f>IF(AND($E783&lt;&gt;"",$G783=""),$E783,0)</f>
        <v>0</v>
      </c>
      <c r="L783" s="127">
        <f>IF($I783="Atrasado",$E783,0)</f>
        <v>0</v>
      </c>
      <c r="M783" s="128">
        <f>IF($I783="Atrasado",$J783+ROW()/1000000,0)</f>
        <v>0</v>
      </c>
    </row>
    <row r="784" spans="9:13" ht="16.5" customHeight="1">
      <c r="I784" s="66">
        <f>IF($E784="","",IF($G784&lt;&gt;"","Pago",IF($F784="","Pendente",IF('Config'!$C$9&gt;$F784,"Atrasado","Pendente"))))</f>
        <v/>
      </c>
      <c r="J784" s="126">
        <f>IF($I784="Atrasado",'Config'!$C$9-$F784,"")</f>
        <v/>
      </c>
      <c r="K784" s="127">
        <f>IF(AND($E784&lt;&gt;"",$G784=""),$E784,0)</f>
        <v>0</v>
      </c>
      <c r="L784" s="127">
        <f>IF($I784="Atrasado",$E784,0)</f>
        <v>0</v>
      </c>
      <c r="M784" s="128">
        <f>IF($I784="Atrasado",$J784+ROW()/1000000,0)</f>
        <v>0</v>
      </c>
    </row>
    <row r="785" spans="9:13" ht="16.5" customHeight="1">
      <c r="I785" s="66">
        <f>IF($E785="","",IF($G785&lt;&gt;"","Pago",IF($F785="","Pendente",IF('Config'!$C$9&gt;$F785,"Atrasado","Pendente"))))</f>
        <v/>
      </c>
      <c r="J785" s="126">
        <f>IF($I785="Atrasado",'Config'!$C$9-$F785,"")</f>
        <v/>
      </c>
      <c r="K785" s="127">
        <f>IF(AND($E785&lt;&gt;"",$G785=""),$E785,0)</f>
        <v>0</v>
      </c>
      <c r="L785" s="127">
        <f>IF($I785="Atrasado",$E785,0)</f>
        <v>0</v>
      </c>
      <c r="M785" s="128">
        <f>IF($I785="Atrasado",$J785+ROW()/1000000,0)</f>
        <v>0</v>
      </c>
    </row>
    <row r="786" spans="9:13" ht="16.5" customHeight="1">
      <c r="I786" s="66">
        <f>IF($E786="","",IF($G786&lt;&gt;"","Pago",IF($F786="","Pendente",IF('Config'!$C$9&gt;$F786,"Atrasado","Pendente"))))</f>
        <v/>
      </c>
      <c r="J786" s="126">
        <f>IF($I786="Atrasado",'Config'!$C$9-$F786,"")</f>
        <v/>
      </c>
      <c r="K786" s="127">
        <f>IF(AND($E786&lt;&gt;"",$G786=""),$E786,0)</f>
        <v>0</v>
      </c>
      <c r="L786" s="127">
        <f>IF($I786="Atrasado",$E786,0)</f>
        <v>0</v>
      </c>
      <c r="M786" s="128">
        <f>IF($I786="Atrasado",$J786+ROW()/1000000,0)</f>
        <v>0</v>
      </c>
    </row>
    <row r="787" spans="9:13" ht="16.5" customHeight="1">
      <c r="I787" s="66">
        <f>IF($E787="","",IF($G787&lt;&gt;"","Pago",IF($F787="","Pendente",IF('Config'!$C$9&gt;$F787,"Atrasado","Pendente"))))</f>
        <v/>
      </c>
      <c r="J787" s="126">
        <f>IF($I787="Atrasado",'Config'!$C$9-$F787,"")</f>
        <v/>
      </c>
      <c r="K787" s="127">
        <f>IF(AND($E787&lt;&gt;"",$G787=""),$E787,0)</f>
        <v>0</v>
      </c>
      <c r="L787" s="127">
        <f>IF($I787="Atrasado",$E787,0)</f>
        <v>0</v>
      </c>
      <c r="M787" s="128">
        <f>IF($I787="Atrasado",$J787+ROW()/1000000,0)</f>
        <v>0</v>
      </c>
    </row>
    <row r="788" spans="9:13" ht="16.5" customHeight="1">
      <c r="I788" s="66">
        <f>IF($E788="","",IF($G788&lt;&gt;"","Pago",IF($F788="","Pendente",IF('Config'!$C$9&gt;$F788,"Atrasado","Pendente"))))</f>
        <v/>
      </c>
      <c r="J788" s="126">
        <f>IF($I788="Atrasado",'Config'!$C$9-$F788,"")</f>
        <v/>
      </c>
      <c r="K788" s="127">
        <f>IF(AND($E788&lt;&gt;"",$G788=""),$E788,0)</f>
        <v>0</v>
      </c>
      <c r="L788" s="127">
        <f>IF($I788="Atrasado",$E788,0)</f>
        <v>0</v>
      </c>
      <c r="M788" s="128">
        <f>IF($I788="Atrasado",$J788+ROW()/1000000,0)</f>
        <v>0</v>
      </c>
    </row>
    <row r="789" spans="9:13" ht="16.5" customHeight="1">
      <c r="I789" s="66">
        <f>IF($E789="","",IF($G789&lt;&gt;"","Pago",IF($F789="","Pendente",IF('Config'!$C$9&gt;$F789,"Atrasado","Pendente"))))</f>
        <v/>
      </c>
      <c r="J789" s="126">
        <f>IF($I789="Atrasado",'Config'!$C$9-$F789,"")</f>
        <v/>
      </c>
      <c r="K789" s="127">
        <f>IF(AND($E789&lt;&gt;"",$G789=""),$E789,0)</f>
        <v>0</v>
      </c>
      <c r="L789" s="127">
        <f>IF($I789="Atrasado",$E789,0)</f>
        <v>0</v>
      </c>
      <c r="M789" s="128">
        <f>IF($I789="Atrasado",$J789+ROW()/1000000,0)</f>
        <v>0</v>
      </c>
    </row>
    <row r="790" spans="9:13" ht="16.5" customHeight="1">
      <c r="I790" s="66">
        <f>IF($E790="","",IF($G790&lt;&gt;"","Pago",IF($F790="","Pendente",IF('Config'!$C$9&gt;$F790,"Atrasado","Pendente"))))</f>
        <v/>
      </c>
      <c r="J790" s="126">
        <f>IF($I790="Atrasado",'Config'!$C$9-$F790,"")</f>
        <v/>
      </c>
      <c r="K790" s="127">
        <f>IF(AND($E790&lt;&gt;"",$G790=""),$E790,0)</f>
        <v>0</v>
      </c>
      <c r="L790" s="127">
        <f>IF($I790="Atrasado",$E790,0)</f>
        <v>0</v>
      </c>
      <c r="M790" s="128">
        <f>IF($I790="Atrasado",$J790+ROW()/1000000,0)</f>
        <v>0</v>
      </c>
    </row>
    <row r="791" spans="9:13" ht="16.5" customHeight="1">
      <c r="I791" s="66">
        <f>IF($E791="","",IF($G791&lt;&gt;"","Pago",IF($F791="","Pendente",IF('Config'!$C$9&gt;$F791,"Atrasado","Pendente"))))</f>
        <v/>
      </c>
      <c r="J791" s="126">
        <f>IF($I791="Atrasado",'Config'!$C$9-$F791,"")</f>
        <v/>
      </c>
      <c r="K791" s="127">
        <f>IF(AND($E791&lt;&gt;"",$G791=""),$E791,0)</f>
        <v>0</v>
      </c>
      <c r="L791" s="127">
        <f>IF($I791="Atrasado",$E791,0)</f>
        <v>0</v>
      </c>
      <c r="M791" s="128">
        <f>IF($I791="Atrasado",$J791+ROW()/1000000,0)</f>
        <v>0</v>
      </c>
    </row>
    <row r="792" spans="9:13" ht="16.5" customHeight="1">
      <c r="I792" s="66">
        <f>IF($E792="","",IF($G792&lt;&gt;"","Pago",IF($F792="","Pendente",IF('Config'!$C$9&gt;$F792,"Atrasado","Pendente"))))</f>
        <v/>
      </c>
      <c r="J792" s="126">
        <f>IF($I792="Atrasado",'Config'!$C$9-$F792,"")</f>
        <v/>
      </c>
      <c r="K792" s="127">
        <f>IF(AND($E792&lt;&gt;"",$G792=""),$E792,0)</f>
        <v>0</v>
      </c>
      <c r="L792" s="127">
        <f>IF($I792="Atrasado",$E792,0)</f>
        <v>0</v>
      </c>
      <c r="M792" s="128">
        <f>IF($I792="Atrasado",$J792+ROW()/1000000,0)</f>
        <v>0</v>
      </c>
    </row>
    <row r="793" spans="9:13" ht="16.5" customHeight="1">
      <c r="I793" s="66">
        <f>IF($E793="","",IF($G793&lt;&gt;"","Pago",IF($F793="","Pendente",IF('Config'!$C$9&gt;$F793,"Atrasado","Pendente"))))</f>
        <v/>
      </c>
      <c r="J793" s="126">
        <f>IF($I793="Atrasado",'Config'!$C$9-$F793,"")</f>
        <v/>
      </c>
      <c r="K793" s="127">
        <f>IF(AND($E793&lt;&gt;"",$G793=""),$E793,0)</f>
        <v>0</v>
      </c>
      <c r="L793" s="127">
        <f>IF($I793="Atrasado",$E793,0)</f>
        <v>0</v>
      </c>
      <c r="M793" s="128">
        <f>IF($I793="Atrasado",$J793+ROW()/1000000,0)</f>
        <v>0</v>
      </c>
    </row>
    <row r="794" spans="9:13" ht="16.5" customHeight="1">
      <c r="I794" s="66">
        <f>IF($E794="","",IF($G794&lt;&gt;"","Pago",IF($F794="","Pendente",IF('Config'!$C$9&gt;$F794,"Atrasado","Pendente"))))</f>
        <v/>
      </c>
      <c r="J794" s="126">
        <f>IF($I794="Atrasado",'Config'!$C$9-$F794,"")</f>
        <v/>
      </c>
      <c r="K794" s="127">
        <f>IF(AND($E794&lt;&gt;"",$G794=""),$E794,0)</f>
        <v>0</v>
      </c>
      <c r="L794" s="127">
        <f>IF($I794="Atrasado",$E794,0)</f>
        <v>0</v>
      </c>
      <c r="M794" s="128">
        <f>IF($I794="Atrasado",$J794+ROW()/1000000,0)</f>
        <v>0</v>
      </c>
    </row>
    <row r="795" spans="9:13" ht="16.5" customHeight="1">
      <c r="I795" s="66">
        <f>IF($E795="","",IF($G795&lt;&gt;"","Pago",IF($F795="","Pendente",IF('Config'!$C$9&gt;$F795,"Atrasado","Pendente"))))</f>
        <v/>
      </c>
      <c r="J795" s="126">
        <f>IF($I795="Atrasado",'Config'!$C$9-$F795,"")</f>
        <v/>
      </c>
      <c r="K795" s="127">
        <f>IF(AND($E795&lt;&gt;"",$G795=""),$E795,0)</f>
        <v>0</v>
      </c>
      <c r="L795" s="127">
        <f>IF($I795="Atrasado",$E795,0)</f>
        <v>0</v>
      </c>
      <c r="M795" s="128">
        <f>IF($I795="Atrasado",$J795+ROW()/1000000,0)</f>
        <v>0</v>
      </c>
    </row>
    <row r="796" spans="9:13" ht="16.5" customHeight="1">
      <c r="I796" s="66">
        <f>IF($E796="","",IF($G796&lt;&gt;"","Pago",IF($F796="","Pendente",IF('Config'!$C$9&gt;$F796,"Atrasado","Pendente"))))</f>
        <v/>
      </c>
      <c r="J796" s="126">
        <f>IF($I796="Atrasado",'Config'!$C$9-$F796,"")</f>
        <v/>
      </c>
      <c r="K796" s="127">
        <f>IF(AND($E796&lt;&gt;"",$G796=""),$E796,0)</f>
        <v>0</v>
      </c>
      <c r="L796" s="127">
        <f>IF($I796="Atrasado",$E796,0)</f>
        <v>0</v>
      </c>
      <c r="M796" s="128">
        <f>IF($I796="Atrasado",$J796+ROW()/1000000,0)</f>
        <v>0</v>
      </c>
    </row>
    <row r="797" spans="9:13" ht="16.5" customHeight="1">
      <c r="I797" s="66">
        <f>IF($E797="","",IF($G797&lt;&gt;"","Pago",IF($F797="","Pendente",IF('Config'!$C$9&gt;$F797,"Atrasado","Pendente"))))</f>
        <v/>
      </c>
      <c r="J797" s="126">
        <f>IF($I797="Atrasado",'Config'!$C$9-$F797,"")</f>
        <v/>
      </c>
      <c r="K797" s="127">
        <f>IF(AND($E797&lt;&gt;"",$G797=""),$E797,0)</f>
        <v>0</v>
      </c>
      <c r="L797" s="127">
        <f>IF($I797="Atrasado",$E797,0)</f>
        <v>0</v>
      </c>
      <c r="M797" s="128">
        <f>IF($I797="Atrasado",$J797+ROW()/1000000,0)</f>
        <v>0</v>
      </c>
    </row>
    <row r="798" spans="9:13" ht="16.5" customHeight="1">
      <c r="I798" s="66">
        <f>IF($E798="","",IF($G798&lt;&gt;"","Pago",IF($F798="","Pendente",IF('Config'!$C$9&gt;$F798,"Atrasado","Pendente"))))</f>
        <v/>
      </c>
      <c r="J798" s="126">
        <f>IF($I798="Atrasado",'Config'!$C$9-$F798,"")</f>
        <v/>
      </c>
      <c r="K798" s="127">
        <f>IF(AND($E798&lt;&gt;"",$G798=""),$E798,0)</f>
        <v>0</v>
      </c>
      <c r="L798" s="127">
        <f>IF($I798="Atrasado",$E798,0)</f>
        <v>0</v>
      </c>
      <c r="M798" s="128">
        <f>IF($I798="Atrasado",$J798+ROW()/1000000,0)</f>
        <v>0</v>
      </c>
    </row>
    <row r="799" spans="9:13" ht="16.5" customHeight="1">
      <c r="I799" s="66">
        <f>IF($E799="","",IF($G799&lt;&gt;"","Pago",IF($F799="","Pendente",IF('Config'!$C$9&gt;$F799,"Atrasado","Pendente"))))</f>
        <v/>
      </c>
      <c r="J799" s="126">
        <f>IF($I799="Atrasado",'Config'!$C$9-$F799,"")</f>
        <v/>
      </c>
      <c r="K799" s="127">
        <f>IF(AND($E799&lt;&gt;"",$G799=""),$E799,0)</f>
        <v>0</v>
      </c>
      <c r="L799" s="127">
        <f>IF($I799="Atrasado",$E799,0)</f>
        <v>0</v>
      </c>
      <c r="M799" s="128">
        <f>IF($I799="Atrasado",$J799+ROW()/1000000,0)</f>
        <v>0</v>
      </c>
    </row>
    <row r="800" spans="9:13" ht="16.5" customHeight="1">
      <c r="I800" s="66">
        <f>IF($E800="","",IF($G800&lt;&gt;"","Pago",IF($F800="","Pendente",IF('Config'!$C$9&gt;$F800,"Atrasado","Pendente"))))</f>
        <v/>
      </c>
      <c r="J800" s="126">
        <f>IF($I800="Atrasado",'Config'!$C$9-$F800,"")</f>
        <v/>
      </c>
      <c r="K800" s="127">
        <f>IF(AND($E800&lt;&gt;"",$G800=""),$E800,0)</f>
        <v>0</v>
      </c>
      <c r="L800" s="127">
        <f>IF($I800="Atrasado",$E800,0)</f>
        <v>0</v>
      </c>
      <c r="M800" s="128">
        <f>IF($I800="Atrasado",$J800+ROW()/1000000,0)</f>
        <v>0</v>
      </c>
    </row>
    <row r="801" spans="9:13" ht="16.5" customHeight="1">
      <c r="I801" s="66">
        <f>IF($E801="","",IF($G801&lt;&gt;"","Pago",IF($F801="","Pendente",IF('Config'!$C$9&gt;$F801,"Atrasado","Pendente"))))</f>
        <v/>
      </c>
      <c r="J801" s="126">
        <f>IF($I801="Atrasado",'Config'!$C$9-$F801,"")</f>
        <v/>
      </c>
      <c r="K801" s="127">
        <f>IF(AND($E801&lt;&gt;"",$G801=""),$E801,0)</f>
        <v>0</v>
      </c>
      <c r="L801" s="127">
        <f>IF($I801="Atrasado",$E801,0)</f>
        <v>0</v>
      </c>
      <c r="M801" s="128">
        <f>IF($I801="Atrasado",$J801+ROW()/1000000,0)</f>
        <v>0</v>
      </c>
    </row>
    <row r="802" spans="9:13" ht="16.5" customHeight="1">
      <c r="I802" s="66">
        <f>IF($E802="","",IF($G802&lt;&gt;"","Pago",IF($F802="","Pendente",IF('Config'!$C$9&gt;$F802,"Atrasado","Pendente"))))</f>
        <v/>
      </c>
      <c r="J802" s="126">
        <f>IF($I802="Atrasado",'Config'!$C$9-$F802,"")</f>
        <v/>
      </c>
      <c r="K802" s="127">
        <f>IF(AND($E802&lt;&gt;"",$G802=""),$E802,0)</f>
        <v>0</v>
      </c>
      <c r="L802" s="127">
        <f>IF($I802="Atrasado",$E802,0)</f>
        <v>0</v>
      </c>
      <c r="M802" s="128">
        <f>IF($I802="Atrasado",$J802+ROW()/1000000,0)</f>
        <v>0</v>
      </c>
    </row>
    <row r="803" spans="9:13" ht="16.5" customHeight="1">
      <c r="I803" s="66">
        <f>IF($E803="","",IF($G803&lt;&gt;"","Pago",IF($F803="","Pendente",IF('Config'!$C$9&gt;$F803,"Atrasado","Pendente"))))</f>
        <v/>
      </c>
      <c r="J803" s="126">
        <f>IF($I803="Atrasado",'Config'!$C$9-$F803,"")</f>
        <v/>
      </c>
      <c r="K803" s="127">
        <f>IF(AND($E803&lt;&gt;"",$G803=""),$E803,0)</f>
        <v>0</v>
      </c>
      <c r="L803" s="127">
        <f>IF($I803="Atrasado",$E803,0)</f>
        <v>0</v>
      </c>
      <c r="M803" s="128">
        <f>IF($I803="Atrasado",$J803+ROW()/1000000,0)</f>
        <v>0</v>
      </c>
    </row>
    <row r="804" spans="9:13" ht="16.5" customHeight="1">
      <c r="I804" s="66">
        <f>IF($E804="","",IF($G804&lt;&gt;"","Pago",IF($F804="","Pendente",IF('Config'!$C$9&gt;$F804,"Atrasado","Pendente"))))</f>
        <v/>
      </c>
      <c r="J804" s="126">
        <f>IF($I804="Atrasado",'Config'!$C$9-$F804,"")</f>
        <v/>
      </c>
      <c r="K804" s="127">
        <f>IF(AND($E804&lt;&gt;"",$G804=""),$E804,0)</f>
        <v>0</v>
      </c>
      <c r="L804" s="127">
        <f>IF($I804="Atrasado",$E804,0)</f>
        <v>0</v>
      </c>
      <c r="M804" s="128">
        <f>IF($I804="Atrasado",$J804+ROW()/1000000,0)</f>
        <v>0</v>
      </c>
    </row>
    <row r="805" spans="9:13" ht="16.5" customHeight="1">
      <c r="I805" s="66">
        <f>IF($E805="","",IF($G805&lt;&gt;"","Pago",IF($F805="","Pendente",IF('Config'!$C$9&gt;$F805,"Atrasado","Pendente"))))</f>
        <v/>
      </c>
      <c r="J805" s="126">
        <f>IF($I805="Atrasado",'Config'!$C$9-$F805,"")</f>
        <v/>
      </c>
      <c r="K805" s="127">
        <f>IF(AND($E805&lt;&gt;"",$G805=""),$E805,0)</f>
        <v>0</v>
      </c>
      <c r="L805" s="127">
        <f>IF($I805="Atrasado",$E805,0)</f>
        <v>0</v>
      </c>
      <c r="M805" s="128">
        <f>IF($I805="Atrasado",$J805+ROW()/1000000,0)</f>
        <v>0</v>
      </c>
    </row>
    <row r="806" spans="9:13" ht="16.5" customHeight="1">
      <c r="I806" s="66">
        <f>IF($E806="","",IF($G806&lt;&gt;"","Pago",IF($F806="","Pendente",IF('Config'!$C$9&gt;$F806,"Atrasado","Pendente"))))</f>
        <v/>
      </c>
      <c r="J806" s="126">
        <f>IF($I806="Atrasado",'Config'!$C$9-$F806,"")</f>
        <v/>
      </c>
      <c r="K806" s="127">
        <f>IF(AND($E806&lt;&gt;"",$G806=""),$E806,0)</f>
        <v>0</v>
      </c>
      <c r="L806" s="127">
        <f>IF($I806="Atrasado",$E806,0)</f>
        <v>0</v>
      </c>
      <c r="M806" s="128">
        <f>IF($I806="Atrasado",$J806+ROW()/1000000,0)</f>
        <v>0</v>
      </c>
    </row>
    <row r="807" spans="9:13" ht="16.5" customHeight="1">
      <c r="I807" s="66">
        <f>IF($E807="","",IF($G807&lt;&gt;"","Pago",IF($F807="","Pendente",IF('Config'!$C$9&gt;$F807,"Atrasado","Pendente"))))</f>
        <v/>
      </c>
      <c r="J807" s="126">
        <f>IF($I807="Atrasado",'Config'!$C$9-$F807,"")</f>
        <v/>
      </c>
      <c r="K807" s="127">
        <f>IF(AND($E807&lt;&gt;"",$G807=""),$E807,0)</f>
        <v>0</v>
      </c>
      <c r="L807" s="127">
        <f>IF($I807="Atrasado",$E807,0)</f>
        <v>0</v>
      </c>
      <c r="M807" s="128">
        <f>IF($I807="Atrasado",$J807+ROW()/1000000,0)</f>
        <v>0</v>
      </c>
    </row>
    <row r="808" spans="9:13" ht="16.5" customHeight="1">
      <c r="I808" s="66">
        <f>IF($E808="","",IF($G808&lt;&gt;"","Pago",IF($F808="","Pendente",IF('Config'!$C$9&gt;$F808,"Atrasado","Pendente"))))</f>
        <v/>
      </c>
      <c r="J808" s="126">
        <f>IF($I808="Atrasado",'Config'!$C$9-$F808,"")</f>
        <v/>
      </c>
      <c r="K808" s="127">
        <f>IF(AND($E808&lt;&gt;"",$G808=""),$E808,0)</f>
        <v>0</v>
      </c>
      <c r="L808" s="127">
        <f>IF($I808="Atrasado",$E808,0)</f>
        <v>0</v>
      </c>
      <c r="M808" s="128">
        <f>IF($I808="Atrasado",$J808+ROW()/1000000,0)</f>
        <v>0</v>
      </c>
    </row>
    <row r="809" spans="9:13" ht="16.5" customHeight="1">
      <c r="I809" s="66">
        <f>IF($E809="","",IF($G809&lt;&gt;"","Pago",IF($F809="","Pendente",IF('Config'!$C$9&gt;$F809,"Atrasado","Pendente"))))</f>
        <v/>
      </c>
      <c r="J809" s="126">
        <f>IF($I809="Atrasado",'Config'!$C$9-$F809,"")</f>
        <v/>
      </c>
      <c r="K809" s="127">
        <f>IF(AND($E809&lt;&gt;"",$G809=""),$E809,0)</f>
        <v>0</v>
      </c>
      <c r="L809" s="127">
        <f>IF($I809="Atrasado",$E809,0)</f>
        <v>0</v>
      </c>
      <c r="M809" s="128">
        <f>IF($I809="Atrasado",$J809+ROW()/1000000,0)</f>
        <v>0</v>
      </c>
    </row>
    <row r="810" spans="9:13" ht="16.5" customHeight="1">
      <c r="I810" s="66">
        <f>IF($E810="","",IF($G810&lt;&gt;"","Pago",IF($F810="","Pendente",IF('Config'!$C$9&gt;$F810,"Atrasado","Pendente"))))</f>
        <v/>
      </c>
      <c r="J810" s="126">
        <f>IF($I810="Atrasado",'Config'!$C$9-$F810,"")</f>
        <v/>
      </c>
      <c r="K810" s="127">
        <f>IF(AND($E810&lt;&gt;"",$G810=""),$E810,0)</f>
        <v>0</v>
      </c>
      <c r="L810" s="127">
        <f>IF($I810="Atrasado",$E810,0)</f>
        <v>0</v>
      </c>
      <c r="M810" s="128">
        <f>IF($I810="Atrasado",$J810+ROW()/1000000,0)</f>
        <v>0</v>
      </c>
    </row>
    <row r="811" spans="9:13" ht="16.5" customHeight="1">
      <c r="I811" s="66">
        <f>IF($E811="","",IF($G811&lt;&gt;"","Pago",IF($F811="","Pendente",IF('Config'!$C$9&gt;$F811,"Atrasado","Pendente"))))</f>
        <v/>
      </c>
      <c r="J811" s="126">
        <f>IF($I811="Atrasado",'Config'!$C$9-$F811,"")</f>
        <v/>
      </c>
      <c r="K811" s="127">
        <f>IF(AND($E811&lt;&gt;"",$G811=""),$E811,0)</f>
        <v>0</v>
      </c>
      <c r="L811" s="127">
        <f>IF($I811="Atrasado",$E811,0)</f>
        <v>0</v>
      </c>
      <c r="M811" s="128">
        <f>IF($I811="Atrasado",$J811+ROW()/1000000,0)</f>
        <v>0</v>
      </c>
    </row>
    <row r="812" spans="9:13" ht="16.5" customHeight="1">
      <c r="I812" s="66">
        <f>IF($E812="","",IF($G812&lt;&gt;"","Pago",IF($F812="","Pendente",IF('Config'!$C$9&gt;$F812,"Atrasado","Pendente"))))</f>
        <v/>
      </c>
      <c r="J812" s="126">
        <f>IF($I812="Atrasado",'Config'!$C$9-$F812,"")</f>
        <v/>
      </c>
      <c r="K812" s="127">
        <f>IF(AND($E812&lt;&gt;"",$G812=""),$E812,0)</f>
        <v>0</v>
      </c>
      <c r="L812" s="127">
        <f>IF($I812="Atrasado",$E812,0)</f>
        <v>0</v>
      </c>
      <c r="M812" s="128">
        <f>IF($I812="Atrasado",$J812+ROW()/1000000,0)</f>
        <v>0</v>
      </c>
    </row>
    <row r="813" spans="9:13" ht="16.5" customHeight="1">
      <c r="I813" s="66">
        <f>IF($E813="","",IF($G813&lt;&gt;"","Pago",IF($F813="","Pendente",IF('Config'!$C$9&gt;$F813,"Atrasado","Pendente"))))</f>
        <v/>
      </c>
      <c r="J813" s="126">
        <f>IF($I813="Atrasado",'Config'!$C$9-$F813,"")</f>
        <v/>
      </c>
      <c r="K813" s="127">
        <f>IF(AND($E813&lt;&gt;"",$G813=""),$E813,0)</f>
        <v>0</v>
      </c>
      <c r="L813" s="127">
        <f>IF($I813="Atrasado",$E813,0)</f>
        <v>0</v>
      </c>
      <c r="M813" s="128">
        <f>IF($I813="Atrasado",$J813+ROW()/1000000,0)</f>
        <v>0</v>
      </c>
    </row>
    <row r="814" spans="9:13" ht="16.5" customHeight="1">
      <c r="I814" s="66">
        <f>IF($E814="","",IF($G814&lt;&gt;"","Pago",IF($F814="","Pendente",IF('Config'!$C$9&gt;$F814,"Atrasado","Pendente"))))</f>
        <v/>
      </c>
      <c r="J814" s="126">
        <f>IF($I814="Atrasado",'Config'!$C$9-$F814,"")</f>
        <v/>
      </c>
      <c r="K814" s="127">
        <f>IF(AND($E814&lt;&gt;"",$G814=""),$E814,0)</f>
        <v>0</v>
      </c>
      <c r="L814" s="127">
        <f>IF($I814="Atrasado",$E814,0)</f>
        <v>0</v>
      </c>
      <c r="M814" s="128">
        <f>IF($I814="Atrasado",$J814+ROW()/1000000,0)</f>
        <v>0</v>
      </c>
    </row>
    <row r="815" spans="9:13" ht="16.5" customHeight="1">
      <c r="I815" s="66">
        <f>IF($E815="","",IF($G815&lt;&gt;"","Pago",IF($F815="","Pendente",IF('Config'!$C$9&gt;$F815,"Atrasado","Pendente"))))</f>
        <v/>
      </c>
      <c r="J815" s="126">
        <f>IF($I815="Atrasado",'Config'!$C$9-$F815,"")</f>
        <v/>
      </c>
      <c r="K815" s="127">
        <f>IF(AND($E815&lt;&gt;"",$G815=""),$E815,0)</f>
        <v>0</v>
      </c>
      <c r="L815" s="127">
        <f>IF($I815="Atrasado",$E815,0)</f>
        <v>0</v>
      </c>
      <c r="M815" s="128">
        <f>IF($I815="Atrasado",$J815+ROW()/1000000,0)</f>
        <v>0</v>
      </c>
    </row>
    <row r="816" spans="9:13" ht="16.5" customHeight="1">
      <c r="I816" s="66">
        <f>IF($E816="","",IF($G816&lt;&gt;"","Pago",IF($F816="","Pendente",IF('Config'!$C$9&gt;$F816,"Atrasado","Pendente"))))</f>
        <v/>
      </c>
      <c r="J816" s="126">
        <f>IF($I816="Atrasado",'Config'!$C$9-$F816,"")</f>
        <v/>
      </c>
      <c r="K816" s="127">
        <f>IF(AND($E816&lt;&gt;"",$G816=""),$E816,0)</f>
        <v>0</v>
      </c>
      <c r="L816" s="127">
        <f>IF($I816="Atrasado",$E816,0)</f>
        <v>0</v>
      </c>
      <c r="M816" s="128">
        <f>IF($I816="Atrasado",$J816+ROW()/1000000,0)</f>
        <v>0</v>
      </c>
    </row>
    <row r="817" spans="9:13" ht="16.5" customHeight="1">
      <c r="I817" s="66">
        <f>IF($E817="","",IF($G817&lt;&gt;"","Pago",IF($F817="","Pendente",IF('Config'!$C$9&gt;$F817,"Atrasado","Pendente"))))</f>
        <v/>
      </c>
      <c r="J817" s="126">
        <f>IF($I817="Atrasado",'Config'!$C$9-$F817,"")</f>
        <v/>
      </c>
      <c r="K817" s="127">
        <f>IF(AND($E817&lt;&gt;"",$G817=""),$E817,0)</f>
        <v>0</v>
      </c>
      <c r="L817" s="127">
        <f>IF($I817="Atrasado",$E817,0)</f>
        <v>0</v>
      </c>
      <c r="M817" s="128">
        <f>IF($I817="Atrasado",$J817+ROW()/1000000,0)</f>
        <v>0</v>
      </c>
    </row>
    <row r="818" spans="9:13" ht="16.5" customHeight="1">
      <c r="I818" s="66">
        <f>IF($E818="","",IF($G818&lt;&gt;"","Pago",IF($F818="","Pendente",IF('Config'!$C$9&gt;$F818,"Atrasado","Pendente"))))</f>
        <v/>
      </c>
      <c r="J818" s="126">
        <f>IF($I818="Atrasado",'Config'!$C$9-$F818,"")</f>
        <v/>
      </c>
      <c r="K818" s="127">
        <f>IF(AND($E818&lt;&gt;"",$G818=""),$E818,0)</f>
        <v>0</v>
      </c>
      <c r="L818" s="127">
        <f>IF($I818="Atrasado",$E818,0)</f>
        <v>0</v>
      </c>
      <c r="M818" s="128">
        <f>IF($I818="Atrasado",$J818+ROW()/1000000,0)</f>
        <v>0</v>
      </c>
    </row>
    <row r="819" spans="9:13" ht="16.5" customHeight="1">
      <c r="I819" s="66">
        <f>IF($E819="","",IF($G819&lt;&gt;"","Pago",IF($F819="","Pendente",IF('Config'!$C$9&gt;$F819,"Atrasado","Pendente"))))</f>
        <v/>
      </c>
      <c r="J819" s="126">
        <f>IF($I819="Atrasado",'Config'!$C$9-$F819,"")</f>
        <v/>
      </c>
      <c r="K819" s="127">
        <f>IF(AND($E819&lt;&gt;"",$G819=""),$E819,0)</f>
        <v>0</v>
      </c>
      <c r="L819" s="127">
        <f>IF($I819="Atrasado",$E819,0)</f>
        <v>0</v>
      </c>
      <c r="M819" s="128">
        <f>IF($I819="Atrasado",$J819+ROW()/1000000,0)</f>
        <v>0</v>
      </c>
    </row>
    <row r="820" spans="9:13" ht="16.5" customHeight="1">
      <c r="I820" s="66">
        <f>IF($E820="","",IF($G820&lt;&gt;"","Pago",IF($F820="","Pendente",IF('Config'!$C$9&gt;$F820,"Atrasado","Pendente"))))</f>
        <v/>
      </c>
      <c r="J820" s="126">
        <f>IF($I820="Atrasado",'Config'!$C$9-$F820,"")</f>
        <v/>
      </c>
      <c r="K820" s="127">
        <f>IF(AND($E820&lt;&gt;"",$G820=""),$E820,0)</f>
        <v>0</v>
      </c>
      <c r="L820" s="127">
        <f>IF($I820="Atrasado",$E820,0)</f>
        <v>0</v>
      </c>
      <c r="M820" s="128">
        <f>IF($I820="Atrasado",$J820+ROW()/1000000,0)</f>
        <v>0</v>
      </c>
    </row>
    <row r="821" spans="9:13" ht="16.5" customHeight="1">
      <c r="I821" s="66">
        <f>IF($E821="","",IF($G821&lt;&gt;"","Pago",IF($F821="","Pendente",IF('Config'!$C$9&gt;$F821,"Atrasado","Pendente"))))</f>
        <v/>
      </c>
      <c r="J821" s="126">
        <f>IF($I821="Atrasado",'Config'!$C$9-$F821,"")</f>
        <v/>
      </c>
      <c r="K821" s="127">
        <f>IF(AND($E821&lt;&gt;"",$G821=""),$E821,0)</f>
        <v>0</v>
      </c>
      <c r="L821" s="127">
        <f>IF($I821="Atrasado",$E821,0)</f>
        <v>0</v>
      </c>
      <c r="M821" s="128">
        <f>IF($I821="Atrasado",$J821+ROW()/1000000,0)</f>
        <v>0</v>
      </c>
    </row>
    <row r="822" spans="9:13" ht="16.5" customHeight="1">
      <c r="I822" s="66">
        <f>IF($E822="","",IF($G822&lt;&gt;"","Pago",IF($F822="","Pendente",IF('Config'!$C$9&gt;$F822,"Atrasado","Pendente"))))</f>
        <v/>
      </c>
      <c r="J822" s="126">
        <f>IF($I822="Atrasado",'Config'!$C$9-$F822,"")</f>
        <v/>
      </c>
      <c r="K822" s="127">
        <f>IF(AND($E822&lt;&gt;"",$G822=""),$E822,0)</f>
        <v>0</v>
      </c>
      <c r="L822" s="127">
        <f>IF($I822="Atrasado",$E822,0)</f>
        <v>0</v>
      </c>
      <c r="M822" s="128">
        <f>IF($I822="Atrasado",$J822+ROW()/1000000,0)</f>
        <v>0</v>
      </c>
    </row>
    <row r="823" spans="9:13" ht="16.5" customHeight="1">
      <c r="I823" s="66">
        <f>IF($E823="","",IF($G823&lt;&gt;"","Pago",IF($F823="","Pendente",IF('Config'!$C$9&gt;$F823,"Atrasado","Pendente"))))</f>
        <v/>
      </c>
      <c r="J823" s="126">
        <f>IF($I823="Atrasado",'Config'!$C$9-$F823,"")</f>
        <v/>
      </c>
      <c r="K823" s="127">
        <f>IF(AND($E823&lt;&gt;"",$G823=""),$E823,0)</f>
        <v>0</v>
      </c>
      <c r="L823" s="127">
        <f>IF($I823="Atrasado",$E823,0)</f>
        <v>0</v>
      </c>
      <c r="M823" s="128">
        <f>IF($I823="Atrasado",$J823+ROW()/1000000,0)</f>
        <v>0</v>
      </c>
    </row>
    <row r="824" spans="9:13" ht="16.5" customHeight="1">
      <c r="I824" s="66">
        <f>IF($E824="","",IF($G824&lt;&gt;"","Pago",IF($F824="","Pendente",IF('Config'!$C$9&gt;$F824,"Atrasado","Pendente"))))</f>
        <v/>
      </c>
      <c r="J824" s="126">
        <f>IF($I824="Atrasado",'Config'!$C$9-$F824,"")</f>
        <v/>
      </c>
      <c r="K824" s="127">
        <f>IF(AND($E824&lt;&gt;"",$G824=""),$E824,0)</f>
        <v>0</v>
      </c>
      <c r="L824" s="127">
        <f>IF($I824="Atrasado",$E824,0)</f>
        <v>0</v>
      </c>
      <c r="M824" s="128">
        <f>IF($I824="Atrasado",$J824+ROW()/1000000,0)</f>
        <v>0</v>
      </c>
    </row>
    <row r="825" spans="9:13" ht="16.5" customHeight="1">
      <c r="I825" s="66">
        <f>IF($E825="","",IF($G825&lt;&gt;"","Pago",IF($F825="","Pendente",IF('Config'!$C$9&gt;$F825,"Atrasado","Pendente"))))</f>
        <v/>
      </c>
      <c r="J825" s="126">
        <f>IF($I825="Atrasado",'Config'!$C$9-$F825,"")</f>
        <v/>
      </c>
      <c r="K825" s="127">
        <f>IF(AND($E825&lt;&gt;"",$G825=""),$E825,0)</f>
        <v>0</v>
      </c>
      <c r="L825" s="127">
        <f>IF($I825="Atrasado",$E825,0)</f>
        <v>0</v>
      </c>
      <c r="M825" s="128">
        <f>IF($I825="Atrasado",$J825+ROW()/1000000,0)</f>
        <v>0</v>
      </c>
    </row>
    <row r="826" spans="9:13" ht="16.5" customHeight="1">
      <c r="I826" s="66">
        <f>IF($E826="","",IF($G826&lt;&gt;"","Pago",IF($F826="","Pendente",IF('Config'!$C$9&gt;$F826,"Atrasado","Pendente"))))</f>
        <v/>
      </c>
      <c r="J826" s="126">
        <f>IF($I826="Atrasado",'Config'!$C$9-$F826,"")</f>
        <v/>
      </c>
      <c r="K826" s="127">
        <f>IF(AND($E826&lt;&gt;"",$G826=""),$E826,0)</f>
        <v>0</v>
      </c>
      <c r="L826" s="127">
        <f>IF($I826="Atrasado",$E826,0)</f>
        <v>0</v>
      </c>
      <c r="M826" s="128">
        <f>IF($I826="Atrasado",$J826+ROW()/1000000,0)</f>
        <v>0</v>
      </c>
    </row>
    <row r="827" spans="9:13" ht="16.5" customHeight="1">
      <c r="I827" s="66">
        <f>IF($E827="","",IF($G827&lt;&gt;"","Pago",IF($F827="","Pendente",IF('Config'!$C$9&gt;$F827,"Atrasado","Pendente"))))</f>
        <v/>
      </c>
      <c r="J827" s="126">
        <f>IF($I827="Atrasado",'Config'!$C$9-$F827,"")</f>
        <v/>
      </c>
      <c r="K827" s="127">
        <f>IF(AND($E827&lt;&gt;"",$G827=""),$E827,0)</f>
        <v>0</v>
      </c>
      <c r="L827" s="127">
        <f>IF($I827="Atrasado",$E827,0)</f>
        <v>0</v>
      </c>
      <c r="M827" s="128">
        <f>IF($I827="Atrasado",$J827+ROW()/1000000,0)</f>
        <v>0</v>
      </c>
    </row>
    <row r="828" spans="9:13" ht="16.5" customHeight="1">
      <c r="I828" s="66">
        <f>IF($E828="","",IF($G828&lt;&gt;"","Pago",IF($F828="","Pendente",IF('Config'!$C$9&gt;$F828,"Atrasado","Pendente"))))</f>
        <v/>
      </c>
      <c r="J828" s="126">
        <f>IF($I828="Atrasado",'Config'!$C$9-$F828,"")</f>
        <v/>
      </c>
      <c r="K828" s="127">
        <f>IF(AND($E828&lt;&gt;"",$G828=""),$E828,0)</f>
        <v>0</v>
      </c>
      <c r="L828" s="127">
        <f>IF($I828="Atrasado",$E828,0)</f>
        <v>0</v>
      </c>
      <c r="M828" s="128">
        <f>IF($I828="Atrasado",$J828+ROW()/1000000,0)</f>
        <v>0</v>
      </c>
    </row>
    <row r="829" spans="9:13" ht="16.5" customHeight="1">
      <c r="I829" s="66">
        <f>IF($E829="","",IF($G829&lt;&gt;"","Pago",IF($F829="","Pendente",IF('Config'!$C$9&gt;$F829,"Atrasado","Pendente"))))</f>
        <v/>
      </c>
      <c r="J829" s="126">
        <f>IF($I829="Atrasado",'Config'!$C$9-$F829,"")</f>
        <v/>
      </c>
      <c r="K829" s="127">
        <f>IF(AND($E829&lt;&gt;"",$G829=""),$E829,0)</f>
        <v>0</v>
      </c>
      <c r="L829" s="127">
        <f>IF($I829="Atrasado",$E829,0)</f>
        <v>0</v>
      </c>
      <c r="M829" s="128">
        <f>IF($I829="Atrasado",$J829+ROW()/1000000,0)</f>
        <v>0</v>
      </c>
    </row>
    <row r="830" spans="9:13" ht="16.5" customHeight="1">
      <c r="I830" s="66">
        <f>IF($E830="","",IF($G830&lt;&gt;"","Pago",IF($F830="","Pendente",IF('Config'!$C$9&gt;$F830,"Atrasado","Pendente"))))</f>
        <v/>
      </c>
      <c r="J830" s="126">
        <f>IF($I830="Atrasado",'Config'!$C$9-$F830,"")</f>
        <v/>
      </c>
      <c r="K830" s="127">
        <f>IF(AND($E830&lt;&gt;"",$G830=""),$E830,0)</f>
        <v>0</v>
      </c>
      <c r="L830" s="127">
        <f>IF($I830="Atrasado",$E830,0)</f>
        <v>0</v>
      </c>
      <c r="M830" s="128">
        <f>IF($I830="Atrasado",$J830+ROW()/1000000,0)</f>
        <v>0</v>
      </c>
    </row>
    <row r="831" spans="9:13" ht="16.5" customHeight="1">
      <c r="I831" s="66">
        <f>IF($E831="","",IF($G831&lt;&gt;"","Pago",IF($F831="","Pendente",IF('Config'!$C$9&gt;$F831,"Atrasado","Pendente"))))</f>
        <v/>
      </c>
      <c r="J831" s="126">
        <f>IF($I831="Atrasado",'Config'!$C$9-$F831,"")</f>
        <v/>
      </c>
      <c r="K831" s="127">
        <f>IF(AND($E831&lt;&gt;"",$G831=""),$E831,0)</f>
        <v>0</v>
      </c>
      <c r="L831" s="127">
        <f>IF($I831="Atrasado",$E831,0)</f>
        <v>0</v>
      </c>
      <c r="M831" s="128">
        <f>IF($I831="Atrasado",$J831+ROW()/1000000,0)</f>
        <v>0</v>
      </c>
    </row>
    <row r="832" spans="9:13" ht="16.5" customHeight="1">
      <c r="I832" s="66">
        <f>IF($E832="","",IF($G832&lt;&gt;"","Pago",IF($F832="","Pendente",IF('Config'!$C$9&gt;$F832,"Atrasado","Pendente"))))</f>
        <v/>
      </c>
      <c r="J832" s="126">
        <f>IF($I832="Atrasado",'Config'!$C$9-$F832,"")</f>
        <v/>
      </c>
      <c r="K832" s="127">
        <f>IF(AND($E832&lt;&gt;"",$G832=""),$E832,0)</f>
        <v>0</v>
      </c>
      <c r="L832" s="127">
        <f>IF($I832="Atrasado",$E832,0)</f>
        <v>0</v>
      </c>
      <c r="M832" s="128">
        <f>IF($I832="Atrasado",$J832+ROW()/1000000,0)</f>
        <v>0</v>
      </c>
    </row>
    <row r="833" spans="9:13" ht="16.5" customHeight="1">
      <c r="I833" s="66">
        <f>IF($E833="","",IF($G833&lt;&gt;"","Pago",IF($F833="","Pendente",IF('Config'!$C$9&gt;$F833,"Atrasado","Pendente"))))</f>
        <v/>
      </c>
      <c r="J833" s="126">
        <f>IF($I833="Atrasado",'Config'!$C$9-$F833,"")</f>
        <v/>
      </c>
      <c r="K833" s="127">
        <f>IF(AND($E833&lt;&gt;"",$G833=""),$E833,0)</f>
        <v>0</v>
      </c>
      <c r="L833" s="127">
        <f>IF($I833="Atrasado",$E833,0)</f>
        <v>0</v>
      </c>
      <c r="M833" s="128">
        <f>IF($I833="Atrasado",$J833+ROW()/1000000,0)</f>
        <v>0</v>
      </c>
    </row>
    <row r="834" spans="9:13" ht="16.5" customHeight="1">
      <c r="I834" s="66">
        <f>IF($E834="","",IF($G834&lt;&gt;"","Pago",IF($F834="","Pendente",IF('Config'!$C$9&gt;$F834,"Atrasado","Pendente"))))</f>
        <v/>
      </c>
      <c r="J834" s="126">
        <f>IF($I834="Atrasado",'Config'!$C$9-$F834,"")</f>
        <v/>
      </c>
      <c r="K834" s="127">
        <f>IF(AND($E834&lt;&gt;"",$G834=""),$E834,0)</f>
        <v>0</v>
      </c>
      <c r="L834" s="127">
        <f>IF($I834="Atrasado",$E834,0)</f>
        <v>0</v>
      </c>
      <c r="M834" s="128">
        <f>IF($I834="Atrasado",$J834+ROW()/1000000,0)</f>
        <v>0</v>
      </c>
    </row>
    <row r="835" spans="9:13" ht="16.5" customHeight="1">
      <c r="I835" s="66">
        <f>IF($E835="","",IF($G835&lt;&gt;"","Pago",IF($F835="","Pendente",IF('Config'!$C$9&gt;$F835,"Atrasado","Pendente"))))</f>
        <v/>
      </c>
      <c r="J835" s="126">
        <f>IF($I835="Atrasado",'Config'!$C$9-$F835,"")</f>
        <v/>
      </c>
      <c r="K835" s="127">
        <f>IF(AND($E835&lt;&gt;"",$G835=""),$E835,0)</f>
        <v>0</v>
      </c>
      <c r="L835" s="127">
        <f>IF($I835="Atrasado",$E835,0)</f>
        <v>0</v>
      </c>
      <c r="M835" s="128">
        <f>IF($I835="Atrasado",$J835+ROW()/1000000,0)</f>
        <v>0</v>
      </c>
    </row>
    <row r="836" spans="9:13" ht="16.5" customHeight="1">
      <c r="I836" s="66">
        <f>IF($E836="","",IF($G836&lt;&gt;"","Pago",IF($F836="","Pendente",IF('Config'!$C$9&gt;$F836,"Atrasado","Pendente"))))</f>
        <v/>
      </c>
      <c r="J836" s="126">
        <f>IF($I836="Atrasado",'Config'!$C$9-$F836,"")</f>
        <v/>
      </c>
      <c r="K836" s="127">
        <f>IF(AND($E836&lt;&gt;"",$G836=""),$E836,0)</f>
        <v>0</v>
      </c>
      <c r="L836" s="127">
        <f>IF($I836="Atrasado",$E836,0)</f>
        <v>0</v>
      </c>
      <c r="M836" s="128">
        <f>IF($I836="Atrasado",$J836+ROW()/1000000,0)</f>
        <v>0</v>
      </c>
    </row>
    <row r="837" spans="9:13" ht="16.5" customHeight="1">
      <c r="I837" s="66">
        <f>IF($E837="","",IF($G837&lt;&gt;"","Pago",IF($F837="","Pendente",IF('Config'!$C$9&gt;$F837,"Atrasado","Pendente"))))</f>
        <v/>
      </c>
      <c r="J837" s="126">
        <f>IF($I837="Atrasado",'Config'!$C$9-$F837,"")</f>
        <v/>
      </c>
      <c r="K837" s="127">
        <f>IF(AND($E837&lt;&gt;"",$G837=""),$E837,0)</f>
        <v>0</v>
      </c>
      <c r="L837" s="127">
        <f>IF($I837="Atrasado",$E837,0)</f>
        <v>0</v>
      </c>
      <c r="M837" s="128">
        <f>IF($I837="Atrasado",$J837+ROW()/1000000,0)</f>
        <v>0</v>
      </c>
    </row>
    <row r="838" spans="9:13" ht="16.5" customHeight="1">
      <c r="I838" s="66">
        <f>IF($E838="","",IF($G838&lt;&gt;"","Pago",IF($F838="","Pendente",IF('Config'!$C$9&gt;$F838,"Atrasado","Pendente"))))</f>
        <v/>
      </c>
      <c r="J838" s="126">
        <f>IF($I838="Atrasado",'Config'!$C$9-$F838,"")</f>
        <v/>
      </c>
      <c r="K838" s="127">
        <f>IF(AND($E838&lt;&gt;"",$G838=""),$E838,0)</f>
        <v>0</v>
      </c>
      <c r="L838" s="127">
        <f>IF($I838="Atrasado",$E838,0)</f>
        <v>0</v>
      </c>
      <c r="M838" s="128">
        <f>IF($I838="Atrasado",$J838+ROW()/1000000,0)</f>
        <v>0</v>
      </c>
    </row>
    <row r="839" spans="9:13" ht="16.5" customHeight="1">
      <c r="I839" s="66">
        <f>IF($E839="","",IF($G839&lt;&gt;"","Pago",IF($F839="","Pendente",IF('Config'!$C$9&gt;$F839,"Atrasado","Pendente"))))</f>
        <v/>
      </c>
      <c r="J839" s="126">
        <f>IF($I839="Atrasado",'Config'!$C$9-$F839,"")</f>
        <v/>
      </c>
      <c r="K839" s="127">
        <f>IF(AND($E839&lt;&gt;"",$G839=""),$E839,0)</f>
        <v>0</v>
      </c>
      <c r="L839" s="127">
        <f>IF($I839="Atrasado",$E839,0)</f>
        <v>0</v>
      </c>
      <c r="M839" s="128">
        <f>IF($I839="Atrasado",$J839+ROW()/1000000,0)</f>
        <v>0</v>
      </c>
    </row>
    <row r="840" spans="9:13" ht="16.5" customHeight="1">
      <c r="I840" s="66">
        <f>IF($E840="","",IF($G840&lt;&gt;"","Pago",IF($F840="","Pendente",IF('Config'!$C$9&gt;$F840,"Atrasado","Pendente"))))</f>
        <v/>
      </c>
      <c r="J840" s="126">
        <f>IF($I840="Atrasado",'Config'!$C$9-$F840,"")</f>
        <v/>
      </c>
      <c r="K840" s="127">
        <f>IF(AND($E840&lt;&gt;"",$G840=""),$E840,0)</f>
        <v>0</v>
      </c>
      <c r="L840" s="127">
        <f>IF($I840="Atrasado",$E840,0)</f>
        <v>0</v>
      </c>
      <c r="M840" s="128">
        <f>IF($I840="Atrasado",$J840+ROW()/1000000,0)</f>
        <v>0</v>
      </c>
    </row>
    <row r="841" spans="9:13" ht="16.5" customHeight="1">
      <c r="I841" s="66">
        <f>IF($E841="","",IF($G841&lt;&gt;"","Pago",IF($F841="","Pendente",IF('Config'!$C$9&gt;$F841,"Atrasado","Pendente"))))</f>
        <v/>
      </c>
      <c r="J841" s="126">
        <f>IF($I841="Atrasado",'Config'!$C$9-$F841,"")</f>
        <v/>
      </c>
      <c r="K841" s="127">
        <f>IF(AND($E841&lt;&gt;"",$G841=""),$E841,0)</f>
        <v>0</v>
      </c>
      <c r="L841" s="127">
        <f>IF($I841="Atrasado",$E841,0)</f>
        <v>0</v>
      </c>
      <c r="M841" s="128">
        <f>IF($I841="Atrasado",$J841+ROW()/1000000,0)</f>
        <v>0</v>
      </c>
    </row>
    <row r="842" spans="9:13" ht="16.5" customHeight="1">
      <c r="I842" s="66">
        <f>IF($E842="","",IF($G842&lt;&gt;"","Pago",IF($F842="","Pendente",IF('Config'!$C$9&gt;$F842,"Atrasado","Pendente"))))</f>
        <v/>
      </c>
      <c r="J842" s="126">
        <f>IF($I842="Atrasado",'Config'!$C$9-$F842,"")</f>
        <v/>
      </c>
      <c r="K842" s="127">
        <f>IF(AND($E842&lt;&gt;"",$G842=""),$E842,0)</f>
        <v>0</v>
      </c>
      <c r="L842" s="127">
        <f>IF($I842="Atrasado",$E842,0)</f>
        <v>0</v>
      </c>
      <c r="M842" s="128">
        <f>IF($I842="Atrasado",$J842+ROW()/1000000,0)</f>
        <v>0</v>
      </c>
    </row>
    <row r="843" spans="9:13" ht="16.5" customHeight="1">
      <c r="I843" s="66">
        <f>IF($E843="","",IF($G843&lt;&gt;"","Pago",IF($F843="","Pendente",IF('Config'!$C$9&gt;$F843,"Atrasado","Pendente"))))</f>
        <v/>
      </c>
      <c r="J843" s="126">
        <f>IF($I843="Atrasado",'Config'!$C$9-$F843,"")</f>
        <v/>
      </c>
      <c r="K843" s="127">
        <f>IF(AND($E843&lt;&gt;"",$G843=""),$E843,0)</f>
        <v>0</v>
      </c>
      <c r="L843" s="127">
        <f>IF($I843="Atrasado",$E843,0)</f>
        <v>0</v>
      </c>
      <c r="M843" s="128">
        <f>IF($I843="Atrasado",$J843+ROW()/1000000,0)</f>
        <v>0</v>
      </c>
    </row>
    <row r="844" spans="9:13" ht="16.5" customHeight="1">
      <c r="I844" s="66">
        <f>IF($E844="","",IF($G844&lt;&gt;"","Pago",IF($F844="","Pendente",IF('Config'!$C$9&gt;$F844,"Atrasado","Pendente"))))</f>
        <v/>
      </c>
      <c r="J844" s="126">
        <f>IF($I844="Atrasado",'Config'!$C$9-$F844,"")</f>
        <v/>
      </c>
      <c r="K844" s="127">
        <f>IF(AND($E844&lt;&gt;"",$G844=""),$E844,0)</f>
        <v>0</v>
      </c>
      <c r="L844" s="127">
        <f>IF($I844="Atrasado",$E844,0)</f>
        <v>0</v>
      </c>
      <c r="M844" s="128">
        <f>IF($I844="Atrasado",$J844+ROW()/1000000,0)</f>
        <v>0</v>
      </c>
    </row>
    <row r="845" spans="9:13" ht="16.5" customHeight="1">
      <c r="I845" s="66">
        <f>IF($E845="","",IF($G845&lt;&gt;"","Pago",IF($F845="","Pendente",IF('Config'!$C$9&gt;$F845,"Atrasado","Pendente"))))</f>
        <v/>
      </c>
      <c r="J845" s="126">
        <f>IF($I845="Atrasado",'Config'!$C$9-$F845,"")</f>
        <v/>
      </c>
      <c r="K845" s="127">
        <f>IF(AND($E845&lt;&gt;"",$G845=""),$E845,0)</f>
        <v>0</v>
      </c>
      <c r="L845" s="127">
        <f>IF($I845="Atrasado",$E845,0)</f>
        <v>0</v>
      </c>
      <c r="M845" s="128">
        <f>IF($I845="Atrasado",$J845+ROW()/1000000,0)</f>
        <v>0</v>
      </c>
    </row>
    <row r="846" spans="9:13" ht="16.5" customHeight="1">
      <c r="I846" s="66">
        <f>IF($E846="","",IF($G846&lt;&gt;"","Pago",IF($F846="","Pendente",IF('Config'!$C$9&gt;$F846,"Atrasado","Pendente"))))</f>
        <v/>
      </c>
      <c r="J846" s="126">
        <f>IF($I846="Atrasado",'Config'!$C$9-$F846,"")</f>
        <v/>
      </c>
      <c r="K846" s="127">
        <f>IF(AND($E846&lt;&gt;"",$G846=""),$E846,0)</f>
        <v>0</v>
      </c>
      <c r="L846" s="127">
        <f>IF($I846="Atrasado",$E846,0)</f>
        <v>0</v>
      </c>
      <c r="M846" s="128">
        <f>IF($I846="Atrasado",$J846+ROW()/1000000,0)</f>
        <v>0</v>
      </c>
    </row>
    <row r="847" spans="9:13" ht="16.5" customHeight="1">
      <c r="I847" s="66">
        <f>IF($E847="","",IF($G847&lt;&gt;"","Pago",IF($F847="","Pendente",IF('Config'!$C$9&gt;$F847,"Atrasado","Pendente"))))</f>
        <v/>
      </c>
      <c r="J847" s="126">
        <f>IF($I847="Atrasado",'Config'!$C$9-$F847,"")</f>
        <v/>
      </c>
      <c r="K847" s="127">
        <f>IF(AND($E847&lt;&gt;"",$G847=""),$E847,0)</f>
        <v>0</v>
      </c>
      <c r="L847" s="127">
        <f>IF($I847="Atrasado",$E847,0)</f>
        <v>0</v>
      </c>
      <c r="M847" s="128">
        <f>IF($I847="Atrasado",$J847+ROW()/1000000,0)</f>
        <v>0</v>
      </c>
    </row>
    <row r="848" spans="9:13" ht="16.5" customHeight="1">
      <c r="I848" s="66">
        <f>IF($E848="","",IF($G848&lt;&gt;"","Pago",IF($F848="","Pendente",IF('Config'!$C$9&gt;$F848,"Atrasado","Pendente"))))</f>
        <v/>
      </c>
      <c r="J848" s="126">
        <f>IF($I848="Atrasado",'Config'!$C$9-$F848,"")</f>
        <v/>
      </c>
      <c r="K848" s="127">
        <f>IF(AND($E848&lt;&gt;"",$G848=""),$E848,0)</f>
        <v>0</v>
      </c>
      <c r="L848" s="127">
        <f>IF($I848="Atrasado",$E848,0)</f>
        <v>0</v>
      </c>
      <c r="M848" s="128">
        <f>IF($I848="Atrasado",$J848+ROW()/1000000,0)</f>
        <v>0</v>
      </c>
    </row>
    <row r="849" spans="9:13" ht="16.5" customHeight="1">
      <c r="I849" s="66">
        <f>IF($E849="","",IF($G849&lt;&gt;"","Pago",IF($F849="","Pendente",IF('Config'!$C$9&gt;$F849,"Atrasado","Pendente"))))</f>
        <v/>
      </c>
      <c r="J849" s="126">
        <f>IF($I849="Atrasado",'Config'!$C$9-$F849,"")</f>
        <v/>
      </c>
      <c r="K849" s="127">
        <f>IF(AND($E849&lt;&gt;"",$G849=""),$E849,0)</f>
        <v>0</v>
      </c>
      <c r="L849" s="127">
        <f>IF($I849="Atrasado",$E849,0)</f>
        <v>0</v>
      </c>
      <c r="M849" s="128">
        <f>IF($I849="Atrasado",$J849+ROW()/1000000,0)</f>
        <v>0</v>
      </c>
    </row>
    <row r="850" spans="9:13" ht="16.5" customHeight="1">
      <c r="I850" s="66">
        <f>IF($E850="","",IF($G850&lt;&gt;"","Pago",IF($F850="","Pendente",IF('Config'!$C$9&gt;$F850,"Atrasado","Pendente"))))</f>
        <v/>
      </c>
      <c r="J850" s="126">
        <f>IF($I850="Atrasado",'Config'!$C$9-$F850,"")</f>
        <v/>
      </c>
      <c r="K850" s="127">
        <f>IF(AND($E850&lt;&gt;"",$G850=""),$E850,0)</f>
        <v>0</v>
      </c>
      <c r="L850" s="127">
        <f>IF($I850="Atrasado",$E850,0)</f>
        <v>0</v>
      </c>
      <c r="M850" s="128">
        <f>IF($I850="Atrasado",$J850+ROW()/1000000,0)</f>
        <v>0</v>
      </c>
    </row>
    <row r="851" spans="9:13" ht="16.5" customHeight="1">
      <c r="I851" s="66">
        <f>IF($E851="","",IF($G851&lt;&gt;"","Pago",IF($F851="","Pendente",IF('Config'!$C$9&gt;$F851,"Atrasado","Pendente"))))</f>
        <v/>
      </c>
      <c r="J851" s="126">
        <f>IF($I851="Atrasado",'Config'!$C$9-$F851,"")</f>
        <v/>
      </c>
      <c r="K851" s="127">
        <f>IF(AND($E851&lt;&gt;"",$G851=""),$E851,0)</f>
        <v>0</v>
      </c>
      <c r="L851" s="127">
        <f>IF($I851="Atrasado",$E851,0)</f>
        <v>0</v>
      </c>
      <c r="M851" s="128">
        <f>IF($I851="Atrasado",$J851+ROW()/1000000,0)</f>
        <v>0</v>
      </c>
    </row>
    <row r="852" spans="9:13" ht="16.5" customHeight="1">
      <c r="I852" s="66">
        <f>IF($E852="","",IF($G852&lt;&gt;"","Pago",IF($F852="","Pendente",IF('Config'!$C$9&gt;$F852,"Atrasado","Pendente"))))</f>
        <v/>
      </c>
      <c r="J852" s="126">
        <f>IF($I852="Atrasado",'Config'!$C$9-$F852,"")</f>
        <v/>
      </c>
      <c r="K852" s="127">
        <f>IF(AND($E852&lt;&gt;"",$G852=""),$E852,0)</f>
        <v>0</v>
      </c>
      <c r="L852" s="127">
        <f>IF($I852="Atrasado",$E852,0)</f>
        <v>0</v>
      </c>
      <c r="M852" s="128">
        <f>IF($I852="Atrasado",$J852+ROW()/1000000,0)</f>
        <v>0</v>
      </c>
    </row>
    <row r="853" spans="9:13" ht="16.5" customHeight="1">
      <c r="I853" s="66">
        <f>IF($E853="","",IF($G853&lt;&gt;"","Pago",IF($F853="","Pendente",IF('Config'!$C$9&gt;$F853,"Atrasado","Pendente"))))</f>
        <v/>
      </c>
      <c r="J853" s="126">
        <f>IF($I853="Atrasado",'Config'!$C$9-$F853,"")</f>
        <v/>
      </c>
      <c r="K853" s="127">
        <f>IF(AND($E853&lt;&gt;"",$G853=""),$E853,0)</f>
        <v>0</v>
      </c>
      <c r="L853" s="127">
        <f>IF($I853="Atrasado",$E853,0)</f>
        <v>0</v>
      </c>
      <c r="M853" s="128">
        <f>IF($I853="Atrasado",$J853+ROW()/1000000,0)</f>
        <v>0</v>
      </c>
    </row>
    <row r="854" spans="9:13" ht="16.5" customHeight="1">
      <c r="I854" s="66">
        <f>IF($E854="","",IF($G854&lt;&gt;"","Pago",IF($F854="","Pendente",IF('Config'!$C$9&gt;$F854,"Atrasado","Pendente"))))</f>
        <v/>
      </c>
      <c r="J854" s="126">
        <f>IF($I854="Atrasado",'Config'!$C$9-$F854,"")</f>
        <v/>
      </c>
      <c r="K854" s="127">
        <f>IF(AND($E854&lt;&gt;"",$G854=""),$E854,0)</f>
        <v>0</v>
      </c>
      <c r="L854" s="127">
        <f>IF($I854="Atrasado",$E854,0)</f>
        <v>0</v>
      </c>
      <c r="M854" s="128">
        <f>IF($I854="Atrasado",$J854+ROW()/1000000,0)</f>
        <v>0</v>
      </c>
    </row>
    <row r="855" spans="9:13" ht="16.5" customHeight="1">
      <c r="I855" s="66">
        <f>IF($E855="","",IF($G855&lt;&gt;"","Pago",IF($F855="","Pendente",IF('Config'!$C$9&gt;$F855,"Atrasado","Pendente"))))</f>
        <v/>
      </c>
      <c r="J855" s="126">
        <f>IF($I855="Atrasado",'Config'!$C$9-$F855,"")</f>
        <v/>
      </c>
      <c r="K855" s="127">
        <f>IF(AND($E855&lt;&gt;"",$G855=""),$E855,0)</f>
        <v>0</v>
      </c>
      <c r="L855" s="127">
        <f>IF($I855="Atrasado",$E855,0)</f>
        <v>0</v>
      </c>
      <c r="M855" s="128">
        <f>IF($I855="Atrasado",$J855+ROW()/1000000,0)</f>
        <v>0</v>
      </c>
    </row>
    <row r="856" spans="9:13" ht="16.5" customHeight="1">
      <c r="I856" s="66">
        <f>IF($E856="","",IF($G856&lt;&gt;"","Pago",IF($F856="","Pendente",IF('Config'!$C$9&gt;$F856,"Atrasado","Pendente"))))</f>
        <v/>
      </c>
      <c r="J856" s="126">
        <f>IF($I856="Atrasado",'Config'!$C$9-$F856,"")</f>
        <v/>
      </c>
      <c r="K856" s="127">
        <f>IF(AND($E856&lt;&gt;"",$G856=""),$E856,0)</f>
        <v>0</v>
      </c>
      <c r="L856" s="127">
        <f>IF($I856="Atrasado",$E856,0)</f>
        <v>0</v>
      </c>
      <c r="M856" s="128">
        <f>IF($I856="Atrasado",$J856+ROW()/1000000,0)</f>
        <v>0</v>
      </c>
    </row>
    <row r="857" spans="9:13" ht="16.5" customHeight="1">
      <c r="I857" s="66">
        <f>IF($E857="","",IF($G857&lt;&gt;"","Pago",IF($F857="","Pendente",IF('Config'!$C$9&gt;$F857,"Atrasado","Pendente"))))</f>
        <v/>
      </c>
      <c r="J857" s="126">
        <f>IF($I857="Atrasado",'Config'!$C$9-$F857,"")</f>
        <v/>
      </c>
      <c r="K857" s="127">
        <f>IF(AND($E857&lt;&gt;"",$G857=""),$E857,0)</f>
        <v>0</v>
      </c>
      <c r="L857" s="127">
        <f>IF($I857="Atrasado",$E857,0)</f>
        <v>0</v>
      </c>
      <c r="M857" s="128">
        <f>IF($I857="Atrasado",$J857+ROW()/1000000,0)</f>
        <v>0</v>
      </c>
    </row>
    <row r="858" spans="9:13" ht="16.5" customHeight="1">
      <c r="I858" s="66">
        <f>IF($E858="","",IF($G858&lt;&gt;"","Pago",IF($F858="","Pendente",IF('Config'!$C$9&gt;$F858,"Atrasado","Pendente"))))</f>
        <v/>
      </c>
      <c r="J858" s="126">
        <f>IF($I858="Atrasado",'Config'!$C$9-$F858,"")</f>
        <v/>
      </c>
      <c r="K858" s="127">
        <f>IF(AND($E858&lt;&gt;"",$G858=""),$E858,0)</f>
        <v>0</v>
      </c>
      <c r="L858" s="127">
        <f>IF($I858="Atrasado",$E858,0)</f>
        <v>0</v>
      </c>
      <c r="M858" s="128">
        <f>IF($I858="Atrasado",$J858+ROW()/1000000,0)</f>
        <v>0</v>
      </c>
    </row>
    <row r="859" spans="9:13" ht="16.5" customHeight="1">
      <c r="I859" s="66">
        <f>IF($E859="","",IF($G859&lt;&gt;"","Pago",IF($F859="","Pendente",IF('Config'!$C$9&gt;$F859,"Atrasado","Pendente"))))</f>
        <v/>
      </c>
      <c r="J859" s="126">
        <f>IF($I859="Atrasado",'Config'!$C$9-$F859,"")</f>
        <v/>
      </c>
      <c r="K859" s="127">
        <f>IF(AND($E859&lt;&gt;"",$G859=""),$E859,0)</f>
        <v>0</v>
      </c>
      <c r="L859" s="127">
        <f>IF($I859="Atrasado",$E859,0)</f>
        <v>0</v>
      </c>
      <c r="M859" s="128">
        <f>IF($I859="Atrasado",$J859+ROW()/1000000,0)</f>
        <v>0</v>
      </c>
    </row>
    <row r="860" spans="9:13" ht="16.5" customHeight="1">
      <c r="I860" s="66">
        <f>IF($E860="","",IF($G860&lt;&gt;"","Pago",IF($F860="","Pendente",IF('Config'!$C$9&gt;$F860,"Atrasado","Pendente"))))</f>
        <v/>
      </c>
      <c r="J860" s="126">
        <f>IF($I860="Atrasado",'Config'!$C$9-$F860,"")</f>
        <v/>
      </c>
      <c r="K860" s="127">
        <f>IF(AND($E860&lt;&gt;"",$G860=""),$E860,0)</f>
        <v>0</v>
      </c>
      <c r="L860" s="127">
        <f>IF($I860="Atrasado",$E860,0)</f>
        <v>0</v>
      </c>
      <c r="M860" s="128">
        <f>IF($I860="Atrasado",$J860+ROW()/1000000,0)</f>
        <v>0</v>
      </c>
    </row>
    <row r="861" spans="9:13" ht="16.5" customHeight="1">
      <c r="I861" s="66">
        <f>IF($E861="","",IF($G861&lt;&gt;"","Pago",IF($F861="","Pendente",IF('Config'!$C$9&gt;$F861,"Atrasado","Pendente"))))</f>
        <v/>
      </c>
      <c r="J861" s="126">
        <f>IF($I861="Atrasado",'Config'!$C$9-$F861,"")</f>
        <v/>
      </c>
      <c r="K861" s="127">
        <f>IF(AND($E861&lt;&gt;"",$G861=""),$E861,0)</f>
        <v>0</v>
      </c>
      <c r="L861" s="127">
        <f>IF($I861="Atrasado",$E861,0)</f>
        <v>0</v>
      </c>
      <c r="M861" s="128">
        <f>IF($I861="Atrasado",$J861+ROW()/1000000,0)</f>
        <v>0</v>
      </c>
    </row>
    <row r="862" spans="9:13" ht="16.5" customHeight="1">
      <c r="I862" s="66">
        <f>IF($E862="","",IF($G862&lt;&gt;"","Pago",IF($F862="","Pendente",IF('Config'!$C$9&gt;$F862,"Atrasado","Pendente"))))</f>
        <v/>
      </c>
      <c r="J862" s="126">
        <f>IF($I862="Atrasado",'Config'!$C$9-$F862,"")</f>
        <v/>
      </c>
      <c r="K862" s="127">
        <f>IF(AND($E862&lt;&gt;"",$G862=""),$E862,0)</f>
        <v>0</v>
      </c>
      <c r="L862" s="127">
        <f>IF($I862="Atrasado",$E862,0)</f>
        <v>0</v>
      </c>
      <c r="M862" s="128">
        <f>IF($I862="Atrasado",$J862+ROW()/1000000,0)</f>
        <v>0</v>
      </c>
    </row>
    <row r="863" spans="9:13" ht="16.5" customHeight="1">
      <c r="I863" s="66">
        <f>IF($E863="","",IF($G863&lt;&gt;"","Pago",IF($F863="","Pendente",IF('Config'!$C$9&gt;$F863,"Atrasado","Pendente"))))</f>
        <v/>
      </c>
      <c r="J863" s="126">
        <f>IF($I863="Atrasado",'Config'!$C$9-$F863,"")</f>
        <v/>
      </c>
      <c r="K863" s="127">
        <f>IF(AND($E863&lt;&gt;"",$G863=""),$E863,0)</f>
        <v>0</v>
      </c>
      <c r="L863" s="127">
        <f>IF($I863="Atrasado",$E863,0)</f>
        <v>0</v>
      </c>
      <c r="M863" s="128">
        <f>IF($I863="Atrasado",$J863+ROW()/1000000,0)</f>
        <v>0</v>
      </c>
    </row>
    <row r="864" spans="9:13" ht="16.5" customHeight="1">
      <c r="I864" s="66">
        <f>IF($E864="","",IF($G864&lt;&gt;"","Pago",IF($F864="","Pendente",IF('Config'!$C$9&gt;$F864,"Atrasado","Pendente"))))</f>
        <v/>
      </c>
      <c r="J864" s="126">
        <f>IF($I864="Atrasado",'Config'!$C$9-$F864,"")</f>
        <v/>
      </c>
      <c r="K864" s="127">
        <f>IF(AND($E864&lt;&gt;"",$G864=""),$E864,0)</f>
        <v>0</v>
      </c>
      <c r="L864" s="127">
        <f>IF($I864="Atrasado",$E864,0)</f>
        <v>0</v>
      </c>
      <c r="M864" s="128">
        <f>IF($I864="Atrasado",$J864+ROW()/1000000,0)</f>
        <v>0</v>
      </c>
    </row>
    <row r="865" spans="9:13" ht="16.5" customHeight="1">
      <c r="I865" s="66">
        <f>IF($E865="","",IF($G865&lt;&gt;"","Pago",IF($F865="","Pendente",IF('Config'!$C$9&gt;$F865,"Atrasado","Pendente"))))</f>
        <v/>
      </c>
      <c r="J865" s="126">
        <f>IF($I865="Atrasado",'Config'!$C$9-$F865,"")</f>
        <v/>
      </c>
      <c r="K865" s="127">
        <f>IF(AND($E865&lt;&gt;"",$G865=""),$E865,0)</f>
        <v>0</v>
      </c>
      <c r="L865" s="127">
        <f>IF($I865="Atrasado",$E865,0)</f>
        <v>0</v>
      </c>
      <c r="M865" s="128">
        <f>IF($I865="Atrasado",$J865+ROW()/1000000,0)</f>
        <v>0</v>
      </c>
    </row>
    <row r="866" spans="9:13" ht="16.5" customHeight="1">
      <c r="I866" s="66">
        <f>IF($E866="","",IF($G866&lt;&gt;"","Pago",IF($F866="","Pendente",IF('Config'!$C$9&gt;$F866,"Atrasado","Pendente"))))</f>
        <v/>
      </c>
      <c r="J866" s="126">
        <f>IF($I866="Atrasado",'Config'!$C$9-$F866,"")</f>
        <v/>
      </c>
      <c r="K866" s="127">
        <f>IF(AND($E866&lt;&gt;"",$G866=""),$E866,0)</f>
        <v>0</v>
      </c>
      <c r="L866" s="127">
        <f>IF($I866="Atrasado",$E866,0)</f>
        <v>0</v>
      </c>
      <c r="M866" s="128">
        <f>IF($I866="Atrasado",$J866+ROW()/1000000,0)</f>
        <v>0</v>
      </c>
    </row>
    <row r="867" spans="9:13" ht="16.5" customHeight="1">
      <c r="I867" s="66">
        <f>IF($E867="","",IF($G867&lt;&gt;"","Pago",IF($F867="","Pendente",IF('Config'!$C$9&gt;$F867,"Atrasado","Pendente"))))</f>
        <v/>
      </c>
      <c r="J867" s="126">
        <f>IF($I867="Atrasado",'Config'!$C$9-$F867,"")</f>
        <v/>
      </c>
      <c r="K867" s="127">
        <f>IF(AND($E867&lt;&gt;"",$G867=""),$E867,0)</f>
        <v>0</v>
      </c>
      <c r="L867" s="127">
        <f>IF($I867="Atrasado",$E867,0)</f>
        <v>0</v>
      </c>
      <c r="M867" s="128">
        <f>IF($I867="Atrasado",$J867+ROW()/1000000,0)</f>
        <v>0</v>
      </c>
    </row>
    <row r="868" spans="9:13" ht="16.5" customHeight="1">
      <c r="I868" s="66">
        <f>IF($E868="","",IF($G868&lt;&gt;"","Pago",IF($F868="","Pendente",IF('Config'!$C$9&gt;$F868,"Atrasado","Pendente"))))</f>
        <v/>
      </c>
      <c r="J868" s="126">
        <f>IF($I868="Atrasado",'Config'!$C$9-$F868,"")</f>
        <v/>
      </c>
      <c r="K868" s="127">
        <f>IF(AND($E868&lt;&gt;"",$G868=""),$E868,0)</f>
        <v>0</v>
      </c>
      <c r="L868" s="127">
        <f>IF($I868="Atrasado",$E868,0)</f>
        <v>0</v>
      </c>
      <c r="M868" s="128">
        <f>IF($I868="Atrasado",$J868+ROW()/1000000,0)</f>
        <v>0</v>
      </c>
    </row>
    <row r="869" spans="9:13" ht="16.5" customHeight="1">
      <c r="I869" s="66">
        <f>IF($E869="","",IF($G869&lt;&gt;"","Pago",IF($F869="","Pendente",IF('Config'!$C$9&gt;$F869,"Atrasado","Pendente"))))</f>
        <v/>
      </c>
      <c r="J869" s="126">
        <f>IF($I869="Atrasado",'Config'!$C$9-$F869,"")</f>
        <v/>
      </c>
      <c r="K869" s="127">
        <f>IF(AND($E869&lt;&gt;"",$G869=""),$E869,0)</f>
        <v>0</v>
      </c>
      <c r="L869" s="127">
        <f>IF($I869="Atrasado",$E869,0)</f>
        <v>0</v>
      </c>
      <c r="M869" s="128">
        <f>IF($I869="Atrasado",$J869+ROW()/1000000,0)</f>
        <v>0</v>
      </c>
    </row>
    <row r="870" spans="9:13" ht="16.5" customHeight="1">
      <c r="I870" s="66">
        <f>IF($E870="","",IF($G870&lt;&gt;"","Pago",IF($F870="","Pendente",IF('Config'!$C$9&gt;$F870,"Atrasado","Pendente"))))</f>
        <v/>
      </c>
      <c r="J870" s="126">
        <f>IF($I870="Atrasado",'Config'!$C$9-$F870,"")</f>
        <v/>
      </c>
      <c r="K870" s="127">
        <f>IF(AND($E870&lt;&gt;"",$G870=""),$E870,0)</f>
        <v>0</v>
      </c>
      <c r="L870" s="127">
        <f>IF($I870="Atrasado",$E870,0)</f>
        <v>0</v>
      </c>
      <c r="M870" s="128">
        <f>IF($I870="Atrasado",$J870+ROW()/1000000,0)</f>
        <v>0</v>
      </c>
    </row>
    <row r="871" spans="9:13" ht="16.5" customHeight="1">
      <c r="I871" s="66">
        <f>IF($E871="","",IF($G871&lt;&gt;"","Pago",IF($F871="","Pendente",IF('Config'!$C$9&gt;$F871,"Atrasado","Pendente"))))</f>
        <v/>
      </c>
      <c r="J871" s="126">
        <f>IF($I871="Atrasado",'Config'!$C$9-$F871,"")</f>
        <v/>
      </c>
      <c r="K871" s="127">
        <f>IF(AND($E871&lt;&gt;"",$G871=""),$E871,0)</f>
        <v>0</v>
      </c>
      <c r="L871" s="127">
        <f>IF($I871="Atrasado",$E871,0)</f>
        <v>0</v>
      </c>
      <c r="M871" s="128">
        <f>IF($I871="Atrasado",$J871+ROW()/1000000,0)</f>
        <v>0</v>
      </c>
    </row>
    <row r="872" spans="9:13" ht="16.5" customHeight="1">
      <c r="I872" s="66">
        <f>IF($E872="","",IF($G872&lt;&gt;"","Pago",IF($F872="","Pendente",IF('Config'!$C$9&gt;$F872,"Atrasado","Pendente"))))</f>
        <v/>
      </c>
      <c r="J872" s="126">
        <f>IF($I872="Atrasado",'Config'!$C$9-$F872,"")</f>
        <v/>
      </c>
      <c r="K872" s="127">
        <f>IF(AND($E872&lt;&gt;"",$G872=""),$E872,0)</f>
        <v>0</v>
      </c>
      <c r="L872" s="127">
        <f>IF($I872="Atrasado",$E872,0)</f>
        <v>0</v>
      </c>
      <c r="M872" s="128">
        <f>IF($I872="Atrasado",$J872+ROW()/1000000,0)</f>
        <v>0</v>
      </c>
    </row>
    <row r="873" spans="9:13" ht="16.5" customHeight="1">
      <c r="I873" s="66">
        <f>IF($E873="","",IF($G873&lt;&gt;"","Pago",IF($F873="","Pendente",IF('Config'!$C$9&gt;$F873,"Atrasado","Pendente"))))</f>
        <v/>
      </c>
      <c r="J873" s="126">
        <f>IF($I873="Atrasado",'Config'!$C$9-$F873,"")</f>
        <v/>
      </c>
      <c r="K873" s="127">
        <f>IF(AND($E873&lt;&gt;"",$G873=""),$E873,0)</f>
        <v>0</v>
      </c>
      <c r="L873" s="127">
        <f>IF($I873="Atrasado",$E873,0)</f>
        <v>0</v>
      </c>
      <c r="M873" s="128">
        <f>IF($I873="Atrasado",$J873+ROW()/1000000,0)</f>
        <v>0</v>
      </c>
    </row>
    <row r="874" spans="9:13" ht="16.5" customHeight="1">
      <c r="I874" s="66">
        <f>IF($E874="","",IF($G874&lt;&gt;"","Pago",IF($F874="","Pendente",IF('Config'!$C$9&gt;$F874,"Atrasado","Pendente"))))</f>
        <v/>
      </c>
      <c r="J874" s="126">
        <f>IF($I874="Atrasado",'Config'!$C$9-$F874,"")</f>
        <v/>
      </c>
      <c r="K874" s="127">
        <f>IF(AND($E874&lt;&gt;"",$G874=""),$E874,0)</f>
        <v>0</v>
      </c>
      <c r="L874" s="127">
        <f>IF($I874="Atrasado",$E874,0)</f>
        <v>0</v>
      </c>
      <c r="M874" s="128">
        <f>IF($I874="Atrasado",$J874+ROW()/1000000,0)</f>
        <v>0</v>
      </c>
    </row>
    <row r="875" spans="9:13" ht="16.5" customHeight="1">
      <c r="I875" s="66">
        <f>IF($E875="","",IF($G875&lt;&gt;"","Pago",IF($F875="","Pendente",IF('Config'!$C$9&gt;$F875,"Atrasado","Pendente"))))</f>
        <v/>
      </c>
      <c r="J875" s="126">
        <f>IF($I875="Atrasado",'Config'!$C$9-$F875,"")</f>
        <v/>
      </c>
      <c r="K875" s="127">
        <f>IF(AND($E875&lt;&gt;"",$G875=""),$E875,0)</f>
        <v>0</v>
      </c>
      <c r="L875" s="127">
        <f>IF($I875="Atrasado",$E875,0)</f>
        <v>0</v>
      </c>
      <c r="M875" s="128">
        <f>IF($I875="Atrasado",$J875+ROW()/1000000,0)</f>
        <v>0</v>
      </c>
    </row>
    <row r="876" spans="9:13" ht="16.5" customHeight="1">
      <c r="I876" s="66">
        <f>IF($E876="","",IF($G876&lt;&gt;"","Pago",IF($F876="","Pendente",IF('Config'!$C$9&gt;$F876,"Atrasado","Pendente"))))</f>
        <v/>
      </c>
      <c r="J876" s="126">
        <f>IF($I876="Atrasado",'Config'!$C$9-$F876,"")</f>
        <v/>
      </c>
      <c r="K876" s="127">
        <f>IF(AND($E876&lt;&gt;"",$G876=""),$E876,0)</f>
        <v>0</v>
      </c>
      <c r="L876" s="127">
        <f>IF($I876="Atrasado",$E876,0)</f>
        <v>0</v>
      </c>
      <c r="M876" s="128">
        <f>IF($I876="Atrasado",$J876+ROW()/1000000,0)</f>
        <v>0</v>
      </c>
    </row>
    <row r="877" spans="9:13" ht="16.5" customHeight="1">
      <c r="I877" s="66">
        <f>IF($E877="","",IF($G877&lt;&gt;"","Pago",IF($F877="","Pendente",IF('Config'!$C$9&gt;$F877,"Atrasado","Pendente"))))</f>
        <v/>
      </c>
      <c r="J877" s="126">
        <f>IF($I877="Atrasado",'Config'!$C$9-$F877,"")</f>
        <v/>
      </c>
      <c r="K877" s="127">
        <f>IF(AND($E877&lt;&gt;"",$G877=""),$E877,0)</f>
        <v>0</v>
      </c>
      <c r="L877" s="127">
        <f>IF($I877="Atrasado",$E877,0)</f>
        <v>0</v>
      </c>
      <c r="M877" s="128">
        <f>IF($I877="Atrasado",$J877+ROW()/1000000,0)</f>
        <v>0</v>
      </c>
    </row>
    <row r="878" spans="9:13" ht="16.5" customHeight="1">
      <c r="I878" s="66">
        <f>IF($E878="","",IF($G878&lt;&gt;"","Pago",IF($F878="","Pendente",IF('Config'!$C$9&gt;$F878,"Atrasado","Pendente"))))</f>
        <v/>
      </c>
      <c r="J878" s="126">
        <f>IF($I878="Atrasado",'Config'!$C$9-$F878,"")</f>
        <v/>
      </c>
      <c r="K878" s="127">
        <f>IF(AND($E878&lt;&gt;"",$G878=""),$E878,0)</f>
        <v>0</v>
      </c>
      <c r="L878" s="127">
        <f>IF($I878="Atrasado",$E878,0)</f>
        <v>0</v>
      </c>
      <c r="M878" s="128">
        <f>IF($I878="Atrasado",$J878+ROW()/1000000,0)</f>
        <v>0</v>
      </c>
    </row>
    <row r="879" spans="9:13" ht="16.5" customHeight="1">
      <c r="I879" s="66">
        <f>IF($E879="","",IF($G879&lt;&gt;"","Pago",IF($F879="","Pendente",IF('Config'!$C$9&gt;$F879,"Atrasado","Pendente"))))</f>
        <v/>
      </c>
      <c r="J879" s="126">
        <f>IF($I879="Atrasado",'Config'!$C$9-$F879,"")</f>
        <v/>
      </c>
      <c r="K879" s="127">
        <f>IF(AND($E879&lt;&gt;"",$G879=""),$E879,0)</f>
        <v>0</v>
      </c>
      <c r="L879" s="127">
        <f>IF($I879="Atrasado",$E879,0)</f>
        <v>0</v>
      </c>
      <c r="M879" s="128">
        <f>IF($I879="Atrasado",$J879+ROW()/1000000,0)</f>
        <v>0</v>
      </c>
    </row>
    <row r="880" spans="9:13" ht="16.5" customHeight="1">
      <c r="I880" s="66">
        <f>IF($E880="","",IF($G880&lt;&gt;"","Pago",IF($F880="","Pendente",IF('Config'!$C$9&gt;$F880,"Atrasado","Pendente"))))</f>
        <v/>
      </c>
      <c r="J880" s="126">
        <f>IF($I880="Atrasado",'Config'!$C$9-$F880,"")</f>
        <v/>
      </c>
      <c r="K880" s="127">
        <f>IF(AND($E880&lt;&gt;"",$G880=""),$E880,0)</f>
        <v>0</v>
      </c>
      <c r="L880" s="127">
        <f>IF($I880="Atrasado",$E880,0)</f>
        <v>0</v>
      </c>
      <c r="M880" s="128">
        <f>IF($I880="Atrasado",$J880+ROW()/1000000,0)</f>
        <v>0</v>
      </c>
    </row>
    <row r="881" spans="9:13" ht="16.5" customHeight="1">
      <c r="I881" s="66">
        <f>IF($E881="","",IF($G881&lt;&gt;"","Pago",IF($F881="","Pendente",IF('Config'!$C$9&gt;$F881,"Atrasado","Pendente"))))</f>
        <v/>
      </c>
      <c r="J881" s="126">
        <f>IF($I881="Atrasado",'Config'!$C$9-$F881,"")</f>
        <v/>
      </c>
      <c r="K881" s="127">
        <f>IF(AND($E881&lt;&gt;"",$G881=""),$E881,0)</f>
        <v>0</v>
      </c>
      <c r="L881" s="127">
        <f>IF($I881="Atrasado",$E881,0)</f>
        <v>0</v>
      </c>
      <c r="M881" s="128">
        <f>IF($I881="Atrasado",$J881+ROW()/1000000,0)</f>
        <v>0</v>
      </c>
    </row>
    <row r="882" spans="9:13" ht="16.5" customHeight="1">
      <c r="I882" s="66">
        <f>IF($E882="","",IF($G882&lt;&gt;"","Pago",IF($F882="","Pendente",IF('Config'!$C$9&gt;$F882,"Atrasado","Pendente"))))</f>
        <v/>
      </c>
      <c r="J882" s="126">
        <f>IF($I882="Atrasado",'Config'!$C$9-$F882,"")</f>
        <v/>
      </c>
      <c r="K882" s="127">
        <f>IF(AND($E882&lt;&gt;"",$G882=""),$E882,0)</f>
        <v>0</v>
      </c>
      <c r="L882" s="127">
        <f>IF($I882="Atrasado",$E882,0)</f>
        <v>0</v>
      </c>
      <c r="M882" s="128">
        <f>IF($I882="Atrasado",$J882+ROW()/1000000,0)</f>
        <v>0</v>
      </c>
    </row>
    <row r="883" spans="9:13" ht="16.5" customHeight="1">
      <c r="I883" s="66">
        <f>IF($E883="","",IF($G883&lt;&gt;"","Pago",IF($F883="","Pendente",IF('Config'!$C$9&gt;$F883,"Atrasado","Pendente"))))</f>
        <v/>
      </c>
      <c r="J883" s="126">
        <f>IF($I883="Atrasado",'Config'!$C$9-$F883,"")</f>
        <v/>
      </c>
      <c r="K883" s="127">
        <f>IF(AND($E883&lt;&gt;"",$G883=""),$E883,0)</f>
        <v>0</v>
      </c>
      <c r="L883" s="127">
        <f>IF($I883="Atrasado",$E883,0)</f>
        <v>0</v>
      </c>
      <c r="M883" s="128">
        <f>IF($I883="Atrasado",$J883+ROW()/1000000,0)</f>
        <v>0</v>
      </c>
    </row>
    <row r="884" spans="9:13" ht="16.5" customHeight="1">
      <c r="I884" s="66">
        <f>IF($E884="","",IF($G884&lt;&gt;"","Pago",IF($F884="","Pendente",IF('Config'!$C$9&gt;$F884,"Atrasado","Pendente"))))</f>
        <v/>
      </c>
      <c r="J884" s="126">
        <f>IF($I884="Atrasado",'Config'!$C$9-$F884,"")</f>
        <v/>
      </c>
      <c r="K884" s="127">
        <f>IF(AND($E884&lt;&gt;"",$G884=""),$E884,0)</f>
        <v>0</v>
      </c>
      <c r="L884" s="127">
        <f>IF($I884="Atrasado",$E884,0)</f>
        <v>0</v>
      </c>
      <c r="M884" s="128">
        <f>IF($I884="Atrasado",$J884+ROW()/1000000,0)</f>
        <v>0</v>
      </c>
    </row>
    <row r="885" spans="9:13" ht="16.5" customHeight="1">
      <c r="I885" s="66">
        <f>IF($E885="","",IF($G885&lt;&gt;"","Pago",IF($F885="","Pendente",IF('Config'!$C$9&gt;$F885,"Atrasado","Pendente"))))</f>
        <v/>
      </c>
      <c r="J885" s="126">
        <f>IF($I885="Atrasado",'Config'!$C$9-$F885,"")</f>
        <v/>
      </c>
      <c r="K885" s="127">
        <f>IF(AND($E885&lt;&gt;"",$G885=""),$E885,0)</f>
        <v>0</v>
      </c>
      <c r="L885" s="127">
        <f>IF($I885="Atrasado",$E885,0)</f>
        <v>0</v>
      </c>
      <c r="M885" s="128">
        <f>IF($I885="Atrasado",$J885+ROW()/1000000,0)</f>
        <v>0</v>
      </c>
    </row>
    <row r="886" spans="9:13" ht="16.5" customHeight="1">
      <c r="I886" s="66">
        <f>IF($E886="","",IF($G886&lt;&gt;"","Pago",IF($F886="","Pendente",IF('Config'!$C$9&gt;$F886,"Atrasado","Pendente"))))</f>
        <v/>
      </c>
      <c r="J886" s="126">
        <f>IF($I886="Atrasado",'Config'!$C$9-$F886,"")</f>
        <v/>
      </c>
      <c r="K886" s="127">
        <f>IF(AND($E886&lt;&gt;"",$G886=""),$E886,0)</f>
        <v>0</v>
      </c>
      <c r="L886" s="127">
        <f>IF($I886="Atrasado",$E886,0)</f>
        <v>0</v>
      </c>
      <c r="M886" s="128">
        <f>IF($I886="Atrasado",$J886+ROW()/1000000,0)</f>
        <v>0</v>
      </c>
    </row>
    <row r="887" spans="9:13" ht="16.5" customHeight="1">
      <c r="I887" s="66">
        <f>IF($E887="","",IF($G887&lt;&gt;"","Pago",IF($F887="","Pendente",IF('Config'!$C$9&gt;$F887,"Atrasado","Pendente"))))</f>
        <v/>
      </c>
      <c r="J887" s="126">
        <f>IF($I887="Atrasado",'Config'!$C$9-$F887,"")</f>
        <v/>
      </c>
      <c r="K887" s="127">
        <f>IF(AND($E887&lt;&gt;"",$G887=""),$E887,0)</f>
        <v>0</v>
      </c>
      <c r="L887" s="127">
        <f>IF($I887="Atrasado",$E887,0)</f>
        <v>0</v>
      </c>
      <c r="M887" s="128">
        <f>IF($I887="Atrasado",$J887+ROW()/1000000,0)</f>
        <v>0</v>
      </c>
    </row>
    <row r="888" spans="9:13" ht="16.5" customHeight="1">
      <c r="I888" s="66">
        <f>IF($E888="","",IF($G888&lt;&gt;"","Pago",IF($F888="","Pendente",IF('Config'!$C$9&gt;$F888,"Atrasado","Pendente"))))</f>
        <v/>
      </c>
      <c r="J888" s="126">
        <f>IF($I888="Atrasado",'Config'!$C$9-$F888,"")</f>
        <v/>
      </c>
      <c r="K888" s="127">
        <f>IF(AND($E888&lt;&gt;"",$G888=""),$E888,0)</f>
        <v>0</v>
      </c>
      <c r="L888" s="127">
        <f>IF($I888="Atrasado",$E888,0)</f>
        <v>0</v>
      </c>
      <c r="M888" s="128">
        <f>IF($I888="Atrasado",$J888+ROW()/1000000,0)</f>
        <v>0</v>
      </c>
    </row>
    <row r="889" spans="9:13" ht="16.5" customHeight="1">
      <c r="I889" s="66">
        <f>IF($E889="","",IF($G889&lt;&gt;"","Pago",IF($F889="","Pendente",IF('Config'!$C$9&gt;$F889,"Atrasado","Pendente"))))</f>
        <v/>
      </c>
      <c r="J889" s="126">
        <f>IF($I889="Atrasado",'Config'!$C$9-$F889,"")</f>
        <v/>
      </c>
      <c r="K889" s="127">
        <f>IF(AND($E889&lt;&gt;"",$G889=""),$E889,0)</f>
        <v>0</v>
      </c>
      <c r="L889" s="127">
        <f>IF($I889="Atrasado",$E889,0)</f>
        <v>0</v>
      </c>
      <c r="M889" s="128">
        <f>IF($I889="Atrasado",$J889+ROW()/1000000,0)</f>
        <v>0</v>
      </c>
    </row>
    <row r="890" spans="9:13" ht="16.5" customHeight="1">
      <c r="I890" s="66">
        <f>IF($E890="","",IF($G890&lt;&gt;"","Pago",IF($F890="","Pendente",IF('Config'!$C$9&gt;$F890,"Atrasado","Pendente"))))</f>
        <v/>
      </c>
      <c r="J890" s="126">
        <f>IF($I890="Atrasado",'Config'!$C$9-$F890,"")</f>
        <v/>
      </c>
      <c r="K890" s="127">
        <f>IF(AND($E890&lt;&gt;"",$G890=""),$E890,0)</f>
        <v>0</v>
      </c>
      <c r="L890" s="127">
        <f>IF($I890="Atrasado",$E890,0)</f>
        <v>0</v>
      </c>
      <c r="M890" s="128">
        <f>IF($I890="Atrasado",$J890+ROW()/1000000,0)</f>
        <v>0</v>
      </c>
    </row>
    <row r="891" spans="9:13" ht="16.5" customHeight="1">
      <c r="I891" s="66">
        <f>IF($E891="","",IF($G891&lt;&gt;"","Pago",IF($F891="","Pendente",IF('Config'!$C$9&gt;$F891,"Atrasado","Pendente"))))</f>
        <v/>
      </c>
      <c r="J891" s="126">
        <f>IF($I891="Atrasado",'Config'!$C$9-$F891,"")</f>
        <v/>
      </c>
      <c r="K891" s="127">
        <f>IF(AND($E891&lt;&gt;"",$G891=""),$E891,0)</f>
        <v>0</v>
      </c>
      <c r="L891" s="127">
        <f>IF($I891="Atrasado",$E891,0)</f>
        <v>0</v>
      </c>
      <c r="M891" s="128">
        <f>IF($I891="Atrasado",$J891+ROW()/1000000,0)</f>
        <v>0</v>
      </c>
    </row>
    <row r="892" spans="9:13" ht="16.5" customHeight="1">
      <c r="I892" s="66">
        <f>IF($E892="","",IF($G892&lt;&gt;"","Pago",IF($F892="","Pendente",IF('Config'!$C$9&gt;$F892,"Atrasado","Pendente"))))</f>
        <v/>
      </c>
      <c r="J892" s="126">
        <f>IF($I892="Atrasado",'Config'!$C$9-$F892,"")</f>
        <v/>
      </c>
      <c r="K892" s="127">
        <f>IF(AND($E892&lt;&gt;"",$G892=""),$E892,0)</f>
        <v>0</v>
      </c>
      <c r="L892" s="127">
        <f>IF($I892="Atrasado",$E892,0)</f>
        <v>0</v>
      </c>
      <c r="M892" s="128">
        <f>IF($I892="Atrasado",$J892+ROW()/1000000,0)</f>
        <v>0</v>
      </c>
    </row>
    <row r="893" spans="9:13" ht="16.5" customHeight="1">
      <c r="I893" s="66">
        <f>IF($E893="","",IF($G893&lt;&gt;"","Pago",IF($F893="","Pendente",IF('Config'!$C$9&gt;$F893,"Atrasado","Pendente"))))</f>
        <v/>
      </c>
      <c r="J893" s="126">
        <f>IF($I893="Atrasado",'Config'!$C$9-$F893,"")</f>
        <v/>
      </c>
      <c r="K893" s="127">
        <f>IF(AND($E893&lt;&gt;"",$G893=""),$E893,0)</f>
        <v>0</v>
      </c>
      <c r="L893" s="127">
        <f>IF($I893="Atrasado",$E893,0)</f>
        <v>0</v>
      </c>
      <c r="M893" s="128">
        <f>IF($I893="Atrasado",$J893+ROW()/1000000,0)</f>
        <v>0</v>
      </c>
    </row>
    <row r="894" spans="9:13" ht="16.5" customHeight="1">
      <c r="I894" s="66">
        <f>IF($E894="","",IF($G894&lt;&gt;"","Pago",IF($F894="","Pendente",IF('Config'!$C$9&gt;$F894,"Atrasado","Pendente"))))</f>
        <v/>
      </c>
      <c r="J894" s="126">
        <f>IF($I894="Atrasado",'Config'!$C$9-$F894,"")</f>
        <v/>
      </c>
      <c r="K894" s="127">
        <f>IF(AND($E894&lt;&gt;"",$G894=""),$E894,0)</f>
        <v>0</v>
      </c>
      <c r="L894" s="127">
        <f>IF($I894="Atrasado",$E894,0)</f>
        <v>0</v>
      </c>
      <c r="M894" s="128">
        <f>IF($I894="Atrasado",$J894+ROW()/1000000,0)</f>
        <v>0</v>
      </c>
    </row>
    <row r="895" spans="9:13" ht="16.5" customHeight="1">
      <c r="I895" s="66">
        <f>IF($E895="","",IF($G895&lt;&gt;"","Pago",IF($F895="","Pendente",IF('Config'!$C$9&gt;$F895,"Atrasado","Pendente"))))</f>
        <v/>
      </c>
      <c r="J895" s="126">
        <f>IF($I895="Atrasado",'Config'!$C$9-$F895,"")</f>
        <v/>
      </c>
      <c r="K895" s="127">
        <f>IF(AND($E895&lt;&gt;"",$G895=""),$E895,0)</f>
        <v>0</v>
      </c>
      <c r="L895" s="127">
        <f>IF($I895="Atrasado",$E895,0)</f>
        <v>0</v>
      </c>
      <c r="M895" s="128">
        <f>IF($I895="Atrasado",$J895+ROW()/1000000,0)</f>
        <v>0</v>
      </c>
    </row>
    <row r="896" spans="9:13" ht="16.5" customHeight="1">
      <c r="I896" s="66">
        <f>IF($E896="","",IF($G896&lt;&gt;"","Pago",IF($F896="","Pendente",IF('Config'!$C$9&gt;$F896,"Atrasado","Pendente"))))</f>
        <v/>
      </c>
      <c r="J896" s="126">
        <f>IF($I896="Atrasado",'Config'!$C$9-$F896,"")</f>
        <v/>
      </c>
      <c r="K896" s="127">
        <f>IF(AND($E896&lt;&gt;"",$G896=""),$E896,0)</f>
        <v>0</v>
      </c>
      <c r="L896" s="127">
        <f>IF($I896="Atrasado",$E896,0)</f>
        <v>0</v>
      </c>
      <c r="M896" s="128">
        <f>IF($I896="Atrasado",$J896+ROW()/1000000,0)</f>
        <v>0</v>
      </c>
    </row>
    <row r="897" spans="9:13" ht="16.5" customHeight="1">
      <c r="I897" s="66">
        <f>IF($E897="","",IF($G897&lt;&gt;"","Pago",IF($F897="","Pendente",IF('Config'!$C$9&gt;$F897,"Atrasado","Pendente"))))</f>
        <v/>
      </c>
      <c r="J897" s="126">
        <f>IF($I897="Atrasado",'Config'!$C$9-$F897,"")</f>
        <v/>
      </c>
      <c r="K897" s="127">
        <f>IF(AND($E897&lt;&gt;"",$G897=""),$E897,0)</f>
        <v>0</v>
      </c>
      <c r="L897" s="127">
        <f>IF($I897="Atrasado",$E897,0)</f>
        <v>0</v>
      </c>
      <c r="M897" s="128">
        <f>IF($I897="Atrasado",$J897+ROW()/1000000,0)</f>
        <v>0</v>
      </c>
    </row>
    <row r="898" spans="9:13" ht="16.5" customHeight="1">
      <c r="I898" s="66">
        <f>IF($E898="","",IF($G898&lt;&gt;"","Pago",IF($F898="","Pendente",IF('Config'!$C$9&gt;$F898,"Atrasado","Pendente"))))</f>
        <v/>
      </c>
      <c r="J898" s="126">
        <f>IF($I898="Atrasado",'Config'!$C$9-$F898,"")</f>
        <v/>
      </c>
      <c r="K898" s="127">
        <f>IF(AND($E898&lt;&gt;"",$G898=""),$E898,0)</f>
        <v>0</v>
      </c>
      <c r="L898" s="127">
        <f>IF($I898="Atrasado",$E898,0)</f>
        <v>0</v>
      </c>
      <c r="M898" s="128">
        <f>IF($I898="Atrasado",$J898+ROW()/1000000,0)</f>
        <v>0</v>
      </c>
    </row>
    <row r="899" spans="9:13" ht="16.5" customHeight="1">
      <c r="I899" s="66">
        <f>IF($E899="","",IF($G899&lt;&gt;"","Pago",IF($F899="","Pendente",IF('Config'!$C$9&gt;$F899,"Atrasado","Pendente"))))</f>
        <v/>
      </c>
      <c r="J899" s="126">
        <f>IF($I899="Atrasado",'Config'!$C$9-$F899,"")</f>
        <v/>
      </c>
      <c r="K899" s="127">
        <f>IF(AND($E899&lt;&gt;"",$G899=""),$E899,0)</f>
        <v>0</v>
      </c>
      <c r="L899" s="127">
        <f>IF($I899="Atrasado",$E899,0)</f>
        <v>0</v>
      </c>
      <c r="M899" s="128">
        <f>IF($I899="Atrasado",$J899+ROW()/1000000,0)</f>
        <v>0</v>
      </c>
    </row>
    <row r="900" spans="9:13" ht="16.5" customHeight="1">
      <c r="I900" s="66">
        <f>IF($E900="","",IF($G900&lt;&gt;"","Pago",IF($F900="","Pendente",IF('Config'!$C$9&gt;$F900,"Atrasado","Pendente"))))</f>
        <v/>
      </c>
      <c r="J900" s="126">
        <f>IF($I900="Atrasado",'Config'!$C$9-$F900,"")</f>
        <v/>
      </c>
      <c r="K900" s="127">
        <f>IF(AND($E900&lt;&gt;"",$G900=""),$E900,0)</f>
        <v>0</v>
      </c>
      <c r="L900" s="127">
        <f>IF($I900="Atrasado",$E900,0)</f>
        <v>0</v>
      </c>
      <c r="M900" s="128">
        <f>IF($I900="Atrasado",$J900+ROW()/1000000,0)</f>
        <v>0</v>
      </c>
    </row>
    <row r="901" spans="9:13" ht="16.5" customHeight="1">
      <c r="I901" s="66">
        <f>IF($E901="","",IF($G901&lt;&gt;"","Pago",IF($F901="","Pendente",IF('Config'!$C$9&gt;$F901,"Atrasado","Pendente"))))</f>
        <v/>
      </c>
      <c r="J901" s="126">
        <f>IF($I901="Atrasado",'Config'!$C$9-$F901,"")</f>
        <v/>
      </c>
      <c r="K901" s="127">
        <f>IF(AND($E901&lt;&gt;"",$G901=""),$E901,0)</f>
        <v>0</v>
      </c>
      <c r="L901" s="127">
        <f>IF($I901="Atrasado",$E901,0)</f>
        <v>0</v>
      </c>
      <c r="M901" s="128">
        <f>IF($I901="Atrasado",$J901+ROW()/1000000,0)</f>
        <v>0</v>
      </c>
    </row>
    <row r="902" spans="9:13" ht="16.5" customHeight="1">
      <c r="I902" s="66">
        <f>IF($E902="","",IF($G902&lt;&gt;"","Pago",IF($F902="","Pendente",IF('Config'!$C$9&gt;$F902,"Atrasado","Pendente"))))</f>
        <v/>
      </c>
      <c r="J902" s="126">
        <f>IF($I902="Atrasado",'Config'!$C$9-$F902,"")</f>
        <v/>
      </c>
      <c r="K902" s="127">
        <f>IF(AND($E902&lt;&gt;"",$G902=""),$E902,0)</f>
        <v>0</v>
      </c>
      <c r="L902" s="127">
        <f>IF($I902="Atrasado",$E902,0)</f>
        <v>0</v>
      </c>
      <c r="M902" s="128">
        <f>IF($I902="Atrasado",$J902+ROW()/1000000,0)</f>
        <v>0</v>
      </c>
    </row>
    <row r="903" spans="9:13" ht="16.5" customHeight="1">
      <c r="I903" s="66">
        <f>IF($E903="","",IF($G903&lt;&gt;"","Pago",IF($F903="","Pendente",IF('Config'!$C$9&gt;$F903,"Atrasado","Pendente"))))</f>
        <v/>
      </c>
      <c r="J903" s="126">
        <f>IF($I903="Atrasado",'Config'!$C$9-$F903,"")</f>
        <v/>
      </c>
      <c r="K903" s="127">
        <f>IF(AND($E903&lt;&gt;"",$G903=""),$E903,0)</f>
        <v>0</v>
      </c>
      <c r="L903" s="127">
        <f>IF($I903="Atrasado",$E903,0)</f>
        <v>0</v>
      </c>
      <c r="M903" s="128">
        <f>IF($I903="Atrasado",$J903+ROW()/1000000,0)</f>
        <v>0</v>
      </c>
    </row>
    <row r="904" spans="9:13" ht="16.5" customHeight="1">
      <c r="I904" s="66">
        <f>IF($E904="","",IF($G904&lt;&gt;"","Pago",IF($F904="","Pendente",IF('Config'!$C$9&gt;$F904,"Atrasado","Pendente"))))</f>
        <v/>
      </c>
      <c r="J904" s="126">
        <f>IF($I904="Atrasado",'Config'!$C$9-$F904,"")</f>
        <v/>
      </c>
      <c r="K904" s="127">
        <f>IF(AND($E904&lt;&gt;"",$G904=""),$E904,0)</f>
        <v>0</v>
      </c>
      <c r="L904" s="127">
        <f>IF($I904="Atrasado",$E904,0)</f>
        <v>0</v>
      </c>
      <c r="M904" s="128">
        <f>IF($I904="Atrasado",$J904+ROW()/1000000,0)</f>
        <v>0</v>
      </c>
    </row>
    <row r="905" spans="9:13" ht="16.5" customHeight="1">
      <c r="I905" s="66">
        <f>IF($E905="","",IF($G905&lt;&gt;"","Pago",IF($F905="","Pendente",IF('Config'!$C$9&gt;$F905,"Atrasado","Pendente"))))</f>
        <v/>
      </c>
      <c r="J905" s="126">
        <f>IF($I905="Atrasado",'Config'!$C$9-$F905,"")</f>
        <v/>
      </c>
      <c r="K905" s="127">
        <f>IF(AND($E905&lt;&gt;"",$G905=""),$E905,0)</f>
        <v>0</v>
      </c>
      <c r="L905" s="127">
        <f>IF($I905="Atrasado",$E905,0)</f>
        <v>0</v>
      </c>
      <c r="M905" s="128">
        <f>IF($I905="Atrasado",$J905+ROW()/1000000,0)</f>
        <v>0</v>
      </c>
    </row>
    <row r="906" spans="9:13" ht="16.5" customHeight="1">
      <c r="I906" s="66">
        <f>IF($E906="","",IF($G906&lt;&gt;"","Pago",IF($F906="","Pendente",IF('Config'!$C$9&gt;$F906,"Atrasado","Pendente"))))</f>
        <v/>
      </c>
      <c r="J906" s="126">
        <f>IF($I906="Atrasado",'Config'!$C$9-$F906,"")</f>
        <v/>
      </c>
      <c r="K906" s="127">
        <f>IF(AND($E906&lt;&gt;"",$G906=""),$E906,0)</f>
        <v>0</v>
      </c>
      <c r="L906" s="127">
        <f>IF($I906="Atrasado",$E906,0)</f>
        <v>0</v>
      </c>
      <c r="M906" s="128">
        <f>IF($I906="Atrasado",$J906+ROW()/1000000,0)</f>
        <v>0</v>
      </c>
    </row>
    <row r="907" spans="9:13" ht="16.5" customHeight="1">
      <c r="I907" s="66">
        <f>IF($E907="","",IF($G907&lt;&gt;"","Pago",IF($F907="","Pendente",IF('Config'!$C$9&gt;$F907,"Atrasado","Pendente"))))</f>
        <v/>
      </c>
      <c r="J907" s="126">
        <f>IF($I907="Atrasado",'Config'!$C$9-$F907,"")</f>
        <v/>
      </c>
      <c r="K907" s="127">
        <f>IF(AND($E907&lt;&gt;"",$G907=""),$E907,0)</f>
        <v>0</v>
      </c>
      <c r="L907" s="127">
        <f>IF($I907="Atrasado",$E907,0)</f>
        <v>0</v>
      </c>
      <c r="M907" s="128">
        <f>IF($I907="Atrasado",$J907+ROW()/1000000,0)</f>
        <v>0</v>
      </c>
    </row>
    <row r="908" spans="9:13" ht="16.5" customHeight="1">
      <c r="I908" s="66">
        <f>IF($E908="","",IF($G908&lt;&gt;"","Pago",IF($F908="","Pendente",IF('Config'!$C$9&gt;$F908,"Atrasado","Pendente"))))</f>
        <v/>
      </c>
      <c r="J908" s="126">
        <f>IF($I908="Atrasado",'Config'!$C$9-$F908,"")</f>
        <v/>
      </c>
      <c r="K908" s="127">
        <f>IF(AND($E908&lt;&gt;"",$G908=""),$E908,0)</f>
        <v>0</v>
      </c>
      <c r="L908" s="127">
        <f>IF($I908="Atrasado",$E908,0)</f>
        <v>0</v>
      </c>
      <c r="M908" s="128">
        <f>IF($I908="Atrasado",$J908+ROW()/1000000,0)</f>
        <v>0</v>
      </c>
    </row>
    <row r="909" spans="9:13" ht="16.5" customHeight="1">
      <c r="I909" s="66">
        <f>IF($E909="","",IF($G909&lt;&gt;"","Pago",IF($F909="","Pendente",IF('Config'!$C$9&gt;$F909,"Atrasado","Pendente"))))</f>
        <v/>
      </c>
      <c r="J909" s="126">
        <f>IF($I909="Atrasado",'Config'!$C$9-$F909,"")</f>
        <v/>
      </c>
      <c r="K909" s="127">
        <f>IF(AND($E909&lt;&gt;"",$G909=""),$E909,0)</f>
        <v>0</v>
      </c>
      <c r="L909" s="127">
        <f>IF($I909="Atrasado",$E909,0)</f>
        <v>0</v>
      </c>
      <c r="M909" s="128">
        <f>IF($I909="Atrasado",$J909+ROW()/1000000,0)</f>
        <v>0</v>
      </c>
    </row>
    <row r="910" spans="9:13" ht="16.5" customHeight="1">
      <c r="I910" s="66">
        <f>IF($E910="","",IF($G910&lt;&gt;"","Pago",IF($F910="","Pendente",IF('Config'!$C$9&gt;$F910,"Atrasado","Pendente"))))</f>
        <v/>
      </c>
      <c r="J910" s="126">
        <f>IF($I910="Atrasado",'Config'!$C$9-$F910,"")</f>
        <v/>
      </c>
      <c r="K910" s="127">
        <f>IF(AND($E910&lt;&gt;"",$G910=""),$E910,0)</f>
        <v>0</v>
      </c>
      <c r="L910" s="127">
        <f>IF($I910="Atrasado",$E910,0)</f>
        <v>0</v>
      </c>
      <c r="M910" s="128">
        <f>IF($I910="Atrasado",$J910+ROW()/1000000,0)</f>
        <v>0</v>
      </c>
    </row>
    <row r="911" spans="9:13" ht="16.5" customHeight="1">
      <c r="I911" s="66">
        <f>IF($E911="","",IF($G911&lt;&gt;"","Pago",IF($F911="","Pendente",IF('Config'!$C$9&gt;$F911,"Atrasado","Pendente"))))</f>
        <v/>
      </c>
      <c r="J911" s="126">
        <f>IF($I911="Atrasado",'Config'!$C$9-$F911,"")</f>
        <v/>
      </c>
      <c r="K911" s="127">
        <f>IF(AND($E911&lt;&gt;"",$G911=""),$E911,0)</f>
        <v>0</v>
      </c>
      <c r="L911" s="127">
        <f>IF($I911="Atrasado",$E911,0)</f>
        <v>0</v>
      </c>
      <c r="M911" s="128">
        <f>IF($I911="Atrasado",$J911+ROW()/1000000,0)</f>
        <v>0</v>
      </c>
    </row>
    <row r="912" spans="9:13" ht="16.5" customHeight="1">
      <c r="I912" s="66">
        <f>IF($E912="","",IF($G912&lt;&gt;"","Pago",IF($F912="","Pendente",IF('Config'!$C$9&gt;$F912,"Atrasado","Pendente"))))</f>
        <v/>
      </c>
      <c r="J912" s="126">
        <f>IF($I912="Atrasado",'Config'!$C$9-$F912,"")</f>
        <v/>
      </c>
      <c r="K912" s="127">
        <f>IF(AND($E912&lt;&gt;"",$G912=""),$E912,0)</f>
        <v>0</v>
      </c>
      <c r="L912" s="127">
        <f>IF($I912="Atrasado",$E912,0)</f>
        <v>0</v>
      </c>
      <c r="M912" s="128">
        <f>IF($I912="Atrasado",$J912+ROW()/1000000,0)</f>
        <v>0</v>
      </c>
    </row>
    <row r="913" spans="9:13" ht="16.5" customHeight="1">
      <c r="I913" s="66">
        <f>IF($E913="","",IF($G913&lt;&gt;"","Pago",IF($F913="","Pendente",IF('Config'!$C$9&gt;$F913,"Atrasado","Pendente"))))</f>
        <v/>
      </c>
      <c r="J913" s="126">
        <f>IF($I913="Atrasado",'Config'!$C$9-$F913,"")</f>
        <v/>
      </c>
      <c r="K913" s="127">
        <f>IF(AND($E913&lt;&gt;"",$G913=""),$E913,0)</f>
        <v>0</v>
      </c>
      <c r="L913" s="127">
        <f>IF($I913="Atrasado",$E913,0)</f>
        <v>0</v>
      </c>
      <c r="M913" s="128">
        <f>IF($I913="Atrasado",$J913+ROW()/1000000,0)</f>
        <v>0</v>
      </c>
    </row>
    <row r="914" spans="9:13" ht="16.5" customHeight="1">
      <c r="I914" s="66">
        <f>IF($E914="","",IF($G914&lt;&gt;"","Pago",IF($F914="","Pendente",IF('Config'!$C$9&gt;$F914,"Atrasado","Pendente"))))</f>
        <v/>
      </c>
      <c r="J914" s="126">
        <f>IF($I914="Atrasado",'Config'!$C$9-$F914,"")</f>
        <v/>
      </c>
      <c r="K914" s="127">
        <f>IF(AND($E914&lt;&gt;"",$G914=""),$E914,0)</f>
        <v>0</v>
      </c>
      <c r="L914" s="127">
        <f>IF($I914="Atrasado",$E914,0)</f>
        <v>0</v>
      </c>
      <c r="M914" s="128">
        <f>IF($I914="Atrasado",$J914+ROW()/1000000,0)</f>
        <v>0</v>
      </c>
    </row>
    <row r="915" spans="9:13" ht="16.5" customHeight="1">
      <c r="I915" s="66">
        <f>IF($E915="","",IF($G915&lt;&gt;"","Pago",IF($F915="","Pendente",IF('Config'!$C$9&gt;$F915,"Atrasado","Pendente"))))</f>
        <v/>
      </c>
      <c r="J915" s="126">
        <f>IF($I915="Atrasado",'Config'!$C$9-$F915,"")</f>
        <v/>
      </c>
      <c r="K915" s="127">
        <f>IF(AND($E915&lt;&gt;"",$G915=""),$E915,0)</f>
        <v>0</v>
      </c>
      <c r="L915" s="127">
        <f>IF($I915="Atrasado",$E915,0)</f>
        <v>0</v>
      </c>
      <c r="M915" s="128">
        <f>IF($I915="Atrasado",$J915+ROW()/1000000,0)</f>
        <v>0</v>
      </c>
    </row>
    <row r="916" spans="9:13" ht="16.5" customHeight="1">
      <c r="I916" s="66">
        <f>IF($E916="","",IF($G916&lt;&gt;"","Pago",IF($F916="","Pendente",IF('Config'!$C$9&gt;$F916,"Atrasado","Pendente"))))</f>
        <v/>
      </c>
      <c r="J916" s="126">
        <f>IF($I916="Atrasado",'Config'!$C$9-$F916,"")</f>
        <v/>
      </c>
      <c r="K916" s="127">
        <f>IF(AND($E916&lt;&gt;"",$G916=""),$E916,0)</f>
        <v>0</v>
      </c>
      <c r="L916" s="127">
        <f>IF($I916="Atrasado",$E916,0)</f>
        <v>0</v>
      </c>
      <c r="M916" s="128">
        <f>IF($I916="Atrasado",$J916+ROW()/1000000,0)</f>
        <v>0</v>
      </c>
    </row>
    <row r="917" spans="9:13" ht="16.5" customHeight="1">
      <c r="I917" s="66">
        <f>IF($E917="","",IF($G917&lt;&gt;"","Pago",IF($F917="","Pendente",IF('Config'!$C$9&gt;$F917,"Atrasado","Pendente"))))</f>
        <v/>
      </c>
      <c r="J917" s="126">
        <f>IF($I917="Atrasado",'Config'!$C$9-$F917,"")</f>
        <v/>
      </c>
      <c r="K917" s="127">
        <f>IF(AND($E917&lt;&gt;"",$G917=""),$E917,0)</f>
        <v>0</v>
      </c>
      <c r="L917" s="127">
        <f>IF($I917="Atrasado",$E917,0)</f>
        <v>0</v>
      </c>
      <c r="M917" s="128">
        <f>IF($I917="Atrasado",$J917+ROW()/1000000,0)</f>
        <v>0</v>
      </c>
    </row>
    <row r="918" spans="9:13" ht="16.5" customHeight="1">
      <c r="I918" s="66">
        <f>IF($E918="","",IF($G918&lt;&gt;"","Pago",IF($F918="","Pendente",IF('Config'!$C$9&gt;$F918,"Atrasado","Pendente"))))</f>
        <v/>
      </c>
      <c r="J918" s="126">
        <f>IF($I918="Atrasado",'Config'!$C$9-$F918,"")</f>
        <v/>
      </c>
      <c r="K918" s="127">
        <f>IF(AND($E918&lt;&gt;"",$G918=""),$E918,0)</f>
        <v>0</v>
      </c>
      <c r="L918" s="127">
        <f>IF($I918="Atrasado",$E918,0)</f>
        <v>0</v>
      </c>
      <c r="M918" s="128">
        <f>IF($I918="Atrasado",$J918+ROW()/1000000,0)</f>
        <v>0</v>
      </c>
    </row>
    <row r="919" spans="9:13" ht="16.5" customHeight="1">
      <c r="I919" s="66">
        <f>IF($E919="","",IF($G919&lt;&gt;"","Pago",IF($F919="","Pendente",IF('Config'!$C$9&gt;$F919,"Atrasado","Pendente"))))</f>
        <v/>
      </c>
      <c r="J919" s="126">
        <f>IF($I919="Atrasado",'Config'!$C$9-$F919,"")</f>
        <v/>
      </c>
      <c r="K919" s="127">
        <f>IF(AND($E919&lt;&gt;"",$G919=""),$E919,0)</f>
        <v>0</v>
      </c>
      <c r="L919" s="127">
        <f>IF($I919="Atrasado",$E919,0)</f>
        <v>0</v>
      </c>
      <c r="M919" s="128">
        <f>IF($I919="Atrasado",$J919+ROW()/1000000,0)</f>
        <v>0</v>
      </c>
    </row>
    <row r="920" spans="9:13" ht="16.5" customHeight="1">
      <c r="I920" s="66">
        <f>IF($E920="","",IF($G920&lt;&gt;"","Pago",IF($F920="","Pendente",IF('Config'!$C$9&gt;$F920,"Atrasado","Pendente"))))</f>
        <v/>
      </c>
      <c r="J920" s="126">
        <f>IF($I920="Atrasado",'Config'!$C$9-$F920,"")</f>
        <v/>
      </c>
      <c r="K920" s="127">
        <f>IF(AND($E920&lt;&gt;"",$G920=""),$E920,0)</f>
        <v>0</v>
      </c>
      <c r="L920" s="127">
        <f>IF($I920="Atrasado",$E920,0)</f>
        <v>0</v>
      </c>
      <c r="M920" s="128">
        <f>IF($I920="Atrasado",$J920+ROW()/1000000,0)</f>
        <v>0</v>
      </c>
    </row>
    <row r="921" spans="9:13" ht="16.5" customHeight="1">
      <c r="I921" s="66">
        <f>IF($E921="","",IF($G921&lt;&gt;"","Pago",IF($F921="","Pendente",IF('Config'!$C$9&gt;$F921,"Atrasado","Pendente"))))</f>
        <v/>
      </c>
      <c r="J921" s="126">
        <f>IF($I921="Atrasado",'Config'!$C$9-$F921,"")</f>
        <v/>
      </c>
      <c r="K921" s="127">
        <f>IF(AND($E921&lt;&gt;"",$G921=""),$E921,0)</f>
        <v>0</v>
      </c>
      <c r="L921" s="127">
        <f>IF($I921="Atrasado",$E921,0)</f>
        <v>0</v>
      </c>
      <c r="M921" s="128">
        <f>IF($I921="Atrasado",$J921+ROW()/1000000,0)</f>
        <v>0</v>
      </c>
    </row>
    <row r="922" spans="9:13" ht="16.5" customHeight="1">
      <c r="I922" s="66">
        <f>IF($E922="","",IF($G922&lt;&gt;"","Pago",IF($F922="","Pendente",IF('Config'!$C$9&gt;$F922,"Atrasado","Pendente"))))</f>
        <v/>
      </c>
      <c r="J922" s="126">
        <f>IF($I922="Atrasado",'Config'!$C$9-$F922,"")</f>
        <v/>
      </c>
      <c r="K922" s="127">
        <f>IF(AND($E922&lt;&gt;"",$G922=""),$E922,0)</f>
        <v>0</v>
      </c>
      <c r="L922" s="127">
        <f>IF($I922="Atrasado",$E922,0)</f>
        <v>0</v>
      </c>
      <c r="M922" s="128">
        <f>IF($I922="Atrasado",$J922+ROW()/1000000,0)</f>
        <v>0</v>
      </c>
    </row>
    <row r="923" spans="9:13" ht="16.5" customHeight="1">
      <c r="I923" s="66">
        <f>IF($E923="","",IF($G923&lt;&gt;"","Pago",IF($F923="","Pendente",IF('Config'!$C$9&gt;$F923,"Atrasado","Pendente"))))</f>
        <v/>
      </c>
      <c r="J923" s="126">
        <f>IF($I923="Atrasado",'Config'!$C$9-$F923,"")</f>
        <v/>
      </c>
      <c r="K923" s="127">
        <f>IF(AND($E923&lt;&gt;"",$G923=""),$E923,0)</f>
        <v>0</v>
      </c>
      <c r="L923" s="127">
        <f>IF($I923="Atrasado",$E923,0)</f>
        <v>0</v>
      </c>
      <c r="M923" s="128">
        <f>IF($I923="Atrasado",$J923+ROW()/1000000,0)</f>
        <v>0</v>
      </c>
    </row>
    <row r="924" spans="9:13" ht="16.5" customHeight="1">
      <c r="I924" s="66">
        <f>IF($E924="","",IF($G924&lt;&gt;"","Pago",IF($F924="","Pendente",IF('Config'!$C$9&gt;$F924,"Atrasado","Pendente"))))</f>
        <v/>
      </c>
      <c r="J924" s="126">
        <f>IF($I924="Atrasado",'Config'!$C$9-$F924,"")</f>
        <v/>
      </c>
      <c r="K924" s="127">
        <f>IF(AND($E924&lt;&gt;"",$G924=""),$E924,0)</f>
        <v>0</v>
      </c>
      <c r="L924" s="127">
        <f>IF($I924="Atrasado",$E924,0)</f>
        <v>0</v>
      </c>
      <c r="M924" s="128">
        <f>IF($I924="Atrasado",$J924+ROW()/1000000,0)</f>
        <v>0</v>
      </c>
    </row>
    <row r="925" spans="9:13" ht="16.5" customHeight="1">
      <c r="I925" s="66">
        <f>IF($E925="","",IF($G925&lt;&gt;"","Pago",IF($F925="","Pendente",IF('Config'!$C$9&gt;$F925,"Atrasado","Pendente"))))</f>
        <v/>
      </c>
      <c r="J925" s="126">
        <f>IF($I925="Atrasado",'Config'!$C$9-$F925,"")</f>
        <v/>
      </c>
      <c r="K925" s="127">
        <f>IF(AND($E925&lt;&gt;"",$G925=""),$E925,0)</f>
        <v>0</v>
      </c>
      <c r="L925" s="127">
        <f>IF($I925="Atrasado",$E925,0)</f>
        <v>0</v>
      </c>
      <c r="M925" s="128">
        <f>IF($I925="Atrasado",$J925+ROW()/1000000,0)</f>
        <v>0</v>
      </c>
    </row>
    <row r="926" spans="9:13" ht="16.5" customHeight="1">
      <c r="I926" s="66">
        <f>IF($E926="","",IF($G926&lt;&gt;"","Pago",IF($F926="","Pendente",IF('Config'!$C$9&gt;$F926,"Atrasado","Pendente"))))</f>
        <v/>
      </c>
      <c r="J926" s="126">
        <f>IF($I926="Atrasado",'Config'!$C$9-$F926,"")</f>
        <v/>
      </c>
      <c r="K926" s="127">
        <f>IF(AND($E926&lt;&gt;"",$G926=""),$E926,0)</f>
        <v>0</v>
      </c>
      <c r="L926" s="127">
        <f>IF($I926="Atrasado",$E926,0)</f>
        <v>0</v>
      </c>
      <c r="M926" s="128">
        <f>IF($I926="Atrasado",$J926+ROW()/1000000,0)</f>
        <v>0</v>
      </c>
    </row>
    <row r="927" spans="9:13" ht="16.5" customHeight="1">
      <c r="I927" s="66">
        <f>IF($E927="","",IF($G927&lt;&gt;"","Pago",IF($F927="","Pendente",IF('Config'!$C$9&gt;$F927,"Atrasado","Pendente"))))</f>
        <v/>
      </c>
      <c r="J927" s="126">
        <f>IF($I927="Atrasado",'Config'!$C$9-$F927,"")</f>
        <v/>
      </c>
      <c r="K927" s="127">
        <f>IF(AND($E927&lt;&gt;"",$G927=""),$E927,0)</f>
        <v>0</v>
      </c>
      <c r="L927" s="127">
        <f>IF($I927="Atrasado",$E927,0)</f>
        <v>0</v>
      </c>
      <c r="M927" s="128">
        <f>IF($I927="Atrasado",$J927+ROW()/1000000,0)</f>
        <v>0</v>
      </c>
    </row>
    <row r="928" spans="9:13" ht="16.5" customHeight="1">
      <c r="I928" s="66">
        <f>IF($E928="","",IF($G928&lt;&gt;"","Pago",IF($F928="","Pendente",IF('Config'!$C$9&gt;$F928,"Atrasado","Pendente"))))</f>
        <v/>
      </c>
      <c r="J928" s="126">
        <f>IF($I928="Atrasado",'Config'!$C$9-$F928,"")</f>
        <v/>
      </c>
      <c r="K928" s="127">
        <f>IF(AND($E928&lt;&gt;"",$G928=""),$E928,0)</f>
        <v>0</v>
      </c>
      <c r="L928" s="127">
        <f>IF($I928="Atrasado",$E928,0)</f>
        <v>0</v>
      </c>
      <c r="M928" s="128">
        <f>IF($I928="Atrasado",$J928+ROW()/1000000,0)</f>
        <v>0</v>
      </c>
    </row>
    <row r="929" spans="9:13" ht="16.5" customHeight="1">
      <c r="I929" s="66">
        <f>IF($E929="","",IF($G929&lt;&gt;"","Pago",IF($F929="","Pendente",IF('Config'!$C$9&gt;$F929,"Atrasado","Pendente"))))</f>
        <v/>
      </c>
      <c r="J929" s="126">
        <f>IF($I929="Atrasado",'Config'!$C$9-$F929,"")</f>
        <v/>
      </c>
      <c r="K929" s="127">
        <f>IF(AND($E929&lt;&gt;"",$G929=""),$E929,0)</f>
        <v>0</v>
      </c>
      <c r="L929" s="127">
        <f>IF($I929="Atrasado",$E929,0)</f>
        <v>0</v>
      </c>
      <c r="M929" s="128">
        <f>IF($I929="Atrasado",$J929+ROW()/1000000,0)</f>
        <v>0</v>
      </c>
    </row>
    <row r="930" spans="9:13" ht="16.5" customHeight="1">
      <c r="I930" s="66">
        <f>IF($E930="","",IF($G930&lt;&gt;"","Pago",IF($F930="","Pendente",IF('Config'!$C$9&gt;$F930,"Atrasado","Pendente"))))</f>
        <v/>
      </c>
      <c r="J930" s="126">
        <f>IF($I930="Atrasado",'Config'!$C$9-$F930,"")</f>
        <v/>
      </c>
      <c r="K930" s="127">
        <f>IF(AND($E930&lt;&gt;"",$G930=""),$E930,0)</f>
        <v>0</v>
      </c>
      <c r="L930" s="127">
        <f>IF($I930="Atrasado",$E930,0)</f>
        <v>0</v>
      </c>
      <c r="M930" s="128">
        <f>IF($I930="Atrasado",$J930+ROW()/1000000,0)</f>
        <v>0</v>
      </c>
    </row>
    <row r="931" spans="9:13" ht="16.5" customHeight="1">
      <c r="I931" s="66">
        <f>IF($E931="","",IF($G931&lt;&gt;"","Pago",IF($F931="","Pendente",IF('Config'!$C$9&gt;$F931,"Atrasado","Pendente"))))</f>
        <v/>
      </c>
      <c r="J931" s="126">
        <f>IF($I931="Atrasado",'Config'!$C$9-$F931,"")</f>
        <v/>
      </c>
      <c r="K931" s="127">
        <f>IF(AND($E931&lt;&gt;"",$G931=""),$E931,0)</f>
        <v>0</v>
      </c>
      <c r="L931" s="127">
        <f>IF($I931="Atrasado",$E931,0)</f>
        <v>0</v>
      </c>
      <c r="M931" s="128">
        <f>IF($I931="Atrasado",$J931+ROW()/1000000,0)</f>
        <v>0</v>
      </c>
    </row>
    <row r="932" spans="9:13" ht="16.5" customHeight="1">
      <c r="I932" s="66">
        <f>IF($E932="","",IF($G932&lt;&gt;"","Pago",IF($F932="","Pendente",IF('Config'!$C$9&gt;$F932,"Atrasado","Pendente"))))</f>
        <v/>
      </c>
      <c r="J932" s="126">
        <f>IF($I932="Atrasado",'Config'!$C$9-$F932,"")</f>
        <v/>
      </c>
      <c r="K932" s="127">
        <f>IF(AND($E932&lt;&gt;"",$G932=""),$E932,0)</f>
        <v>0</v>
      </c>
      <c r="L932" s="127">
        <f>IF($I932="Atrasado",$E932,0)</f>
        <v>0</v>
      </c>
      <c r="M932" s="128">
        <f>IF($I932="Atrasado",$J932+ROW()/1000000,0)</f>
        <v>0</v>
      </c>
    </row>
    <row r="933" spans="9:13" ht="16.5" customHeight="1">
      <c r="I933" s="66">
        <f>IF($E933="","",IF($G933&lt;&gt;"","Pago",IF($F933="","Pendente",IF('Config'!$C$9&gt;$F933,"Atrasado","Pendente"))))</f>
        <v/>
      </c>
      <c r="J933" s="126">
        <f>IF($I933="Atrasado",'Config'!$C$9-$F933,"")</f>
        <v/>
      </c>
      <c r="K933" s="127">
        <f>IF(AND($E933&lt;&gt;"",$G933=""),$E933,0)</f>
        <v>0</v>
      </c>
      <c r="L933" s="127">
        <f>IF($I933="Atrasado",$E933,0)</f>
        <v>0</v>
      </c>
      <c r="M933" s="128">
        <f>IF($I933="Atrasado",$J933+ROW()/1000000,0)</f>
        <v>0</v>
      </c>
    </row>
    <row r="934" spans="9:13" ht="16.5" customHeight="1">
      <c r="I934" s="66">
        <f>IF($E934="","",IF($G934&lt;&gt;"","Pago",IF($F934="","Pendente",IF('Config'!$C$9&gt;$F934,"Atrasado","Pendente"))))</f>
        <v/>
      </c>
      <c r="J934" s="126">
        <f>IF($I934="Atrasado",'Config'!$C$9-$F934,"")</f>
        <v/>
      </c>
      <c r="K934" s="127">
        <f>IF(AND($E934&lt;&gt;"",$G934=""),$E934,0)</f>
        <v>0</v>
      </c>
      <c r="L934" s="127">
        <f>IF($I934="Atrasado",$E934,0)</f>
        <v>0</v>
      </c>
      <c r="M934" s="128">
        <f>IF($I934="Atrasado",$J934+ROW()/1000000,0)</f>
        <v>0</v>
      </c>
    </row>
    <row r="935" spans="9:13" ht="16.5" customHeight="1">
      <c r="I935" s="66">
        <f>IF($E935="","",IF($G935&lt;&gt;"","Pago",IF($F935="","Pendente",IF('Config'!$C$9&gt;$F935,"Atrasado","Pendente"))))</f>
        <v/>
      </c>
      <c r="J935" s="126">
        <f>IF($I935="Atrasado",'Config'!$C$9-$F935,"")</f>
        <v/>
      </c>
      <c r="K935" s="127">
        <f>IF(AND($E935&lt;&gt;"",$G935=""),$E935,0)</f>
        <v>0</v>
      </c>
      <c r="L935" s="127">
        <f>IF($I935="Atrasado",$E935,0)</f>
        <v>0</v>
      </c>
      <c r="M935" s="128">
        <f>IF($I935="Atrasado",$J935+ROW()/1000000,0)</f>
        <v>0</v>
      </c>
    </row>
    <row r="936" spans="9:13" ht="16.5" customHeight="1">
      <c r="I936" s="66">
        <f>IF($E936="","",IF($G936&lt;&gt;"","Pago",IF($F936="","Pendente",IF('Config'!$C$9&gt;$F936,"Atrasado","Pendente"))))</f>
        <v/>
      </c>
      <c r="J936" s="126">
        <f>IF($I936="Atrasado",'Config'!$C$9-$F936,"")</f>
        <v/>
      </c>
      <c r="K936" s="127">
        <f>IF(AND($E936&lt;&gt;"",$G936=""),$E936,0)</f>
        <v>0</v>
      </c>
      <c r="L936" s="127">
        <f>IF($I936="Atrasado",$E936,0)</f>
        <v>0</v>
      </c>
      <c r="M936" s="128">
        <f>IF($I936="Atrasado",$J936+ROW()/1000000,0)</f>
        <v>0</v>
      </c>
    </row>
    <row r="937" spans="9:13" ht="16.5" customHeight="1">
      <c r="I937" s="66">
        <f>IF($E937="","",IF($G937&lt;&gt;"","Pago",IF($F937="","Pendente",IF('Config'!$C$9&gt;$F937,"Atrasado","Pendente"))))</f>
        <v/>
      </c>
      <c r="J937" s="126">
        <f>IF($I937="Atrasado",'Config'!$C$9-$F937,"")</f>
        <v/>
      </c>
      <c r="K937" s="127">
        <f>IF(AND($E937&lt;&gt;"",$G937=""),$E937,0)</f>
        <v>0</v>
      </c>
      <c r="L937" s="127">
        <f>IF($I937="Atrasado",$E937,0)</f>
        <v>0</v>
      </c>
      <c r="M937" s="128">
        <f>IF($I937="Atrasado",$J937+ROW()/1000000,0)</f>
        <v>0</v>
      </c>
    </row>
    <row r="938" spans="9:13" ht="16.5" customHeight="1">
      <c r="I938" s="66">
        <f>IF($E938="","",IF($G938&lt;&gt;"","Pago",IF($F938="","Pendente",IF('Config'!$C$9&gt;$F938,"Atrasado","Pendente"))))</f>
        <v/>
      </c>
      <c r="J938" s="126">
        <f>IF($I938="Atrasado",'Config'!$C$9-$F938,"")</f>
        <v/>
      </c>
      <c r="K938" s="127">
        <f>IF(AND($E938&lt;&gt;"",$G938=""),$E938,0)</f>
        <v>0</v>
      </c>
      <c r="L938" s="127">
        <f>IF($I938="Atrasado",$E938,0)</f>
        <v>0</v>
      </c>
      <c r="M938" s="128">
        <f>IF($I938="Atrasado",$J938+ROW()/1000000,0)</f>
        <v>0</v>
      </c>
    </row>
    <row r="939" spans="9:13" ht="16.5" customHeight="1">
      <c r="I939" s="66">
        <f>IF($E939="","",IF($G939&lt;&gt;"","Pago",IF($F939="","Pendente",IF('Config'!$C$9&gt;$F939,"Atrasado","Pendente"))))</f>
        <v/>
      </c>
      <c r="J939" s="126">
        <f>IF($I939="Atrasado",'Config'!$C$9-$F939,"")</f>
        <v/>
      </c>
      <c r="K939" s="127">
        <f>IF(AND($E939&lt;&gt;"",$G939=""),$E939,0)</f>
        <v>0</v>
      </c>
      <c r="L939" s="127">
        <f>IF($I939="Atrasado",$E939,0)</f>
        <v>0</v>
      </c>
      <c r="M939" s="128">
        <f>IF($I939="Atrasado",$J939+ROW()/1000000,0)</f>
        <v>0</v>
      </c>
    </row>
    <row r="940" spans="9:13" ht="16.5" customHeight="1">
      <c r="I940" s="66">
        <f>IF($E940="","",IF($G940&lt;&gt;"","Pago",IF($F940="","Pendente",IF('Config'!$C$9&gt;$F940,"Atrasado","Pendente"))))</f>
        <v/>
      </c>
      <c r="J940" s="126">
        <f>IF($I940="Atrasado",'Config'!$C$9-$F940,"")</f>
        <v/>
      </c>
      <c r="K940" s="127">
        <f>IF(AND($E940&lt;&gt;"",$G940=""),$E940,0)</f>
        <v>0</v>
      </c>
      <c r="L940" s="127">
        <f>IF($I940="Atrasado",$E940,0)</f>
        <v>0</v>
      </c>
      <c r="M940" s="128">
        <f>IF($I940="Atrasado",$J940+ROW()/1000000,0)</f>
        <v>0</v>
      </c>
    </row>
    <row r="941" spans="9:13" ht="16.5" customHeight="1">
      <c r="I941" s="66">
        <f>IF($E941="","",IF($G941&lt;&gt;"","Pago",IF($F941="","Pendente",IF('Config'!$C$9&gt;$F941,"Atrasado","Pendente"))))</f>
        <v/>
      </c>
      <c r="J941" s="126">
        <f>IF($I941="Atrasado",'Config'!$C$9-$F941,"")</f>
        <v/>
      </c>
      <c r="K941" s="127">
        <f>IF(AND($E941&lt;&gt;"",$G941=""),$E941,0)</f>
        <v>0</v>
      </c>
      <c r="L941" s="127">
        <f>IF($I941="Atrasado",$E941,0)</f>
        <v>0</v>
      </c>
      <c r="M941" s="128">
        <f>IF($I941="Atrasado",$J941+ROW()/1000000,0)</f>
        <v>0</v>
      </c>
    </row>
    <row r="942" spans="9:13" ht="16.5" customHeight="1">
      <c r="I942" s="66">
        <f>IF($E942="","",IF($G942&lt;&gt;"","Pago",IF($F942="","Pendente",IF('Config'!$C$9&gt;$F942,"Atrasado","Pendente"))))</f>
        <v/>
      </c>
      <c r="J942" s="126">
        <f>IF($I942="Atrasado",'Config'!$C$9-$F942,"")</f>
        <v/>
      </c>
      <c r="K942" s="127">
        <f>IF(AND($E942&lt;&gt;"",$G942=""),$E942,0)</f>
        <v>0</v>
      </c>
      <c r="L942" s="127">
        <f>IF($I942="Atrasado",$E942,0)</f>
        <v>0</v>
      </c>
      <c r="M942" s="128">
        <f>IF($I942="Atrasado",$J942+ROW()/1000000,0)</f>
        <v>0</v>
      </c>
    </row>
    <row r="943" spans="9:13" ht="16.5" customHeight="1">
      <c r="I943" s="66">
        <f>IF($E943="","",IF($G943&lt;&gt;"","Pago",IF($F943="","Pendente",IF('Config'!$C$9&gt;$F943,"Atrasado","Pendente"))))</f>
        <v/>
      </c>
      <c r="J943" s="126">
        <f>IF($I943="Atrasado",'Config'!$C$9-$F943,"")</f>
        <v/>
      </c>
      <c r="K943" s="127">
        <f>IF(AND($E943&lt;&gt;"",$G943=""),$E943,0)</f>
        <v>0</v>
      </c>
      <c r="L943" s="127">
        <f>IF($I943="Atrasado",$E943,0)</f>
        <v>0</v>
      </c>
      <c r="M943" s="128">
        <f>IF($I943="Atrasado",$J943+ROW()/1000000,0)</f>
        <v>0</v>
      </c>
    </row>
    <row r="944" spans="9:13" ht="16.5" customHeight="1">
      <c r="I944" s="66">
        <f>IF($E944="","",IF($G944&lt;&gt;"","Pago",IF($F944="","Pendente",IF('Config'!$C$9&gt;$F944,"Atrasado","Pendente"))))</f>
        <v/>
      </c>
      <c r="J944" s="126">
        <f>IF($I944="Atrasado",'Config'!$C$9-$F944,"")</f>
        <v/>
      </c>
      <c r="K944" s="127">
        <f>IF(AND($E944&lt;&gt;"",$G944=""),$E944,0)</f>
        <v>0</v>
      </c>
      <c r="L944" s="127">
        <f>IF($I944="Atrasado",$E944,0)</f>
        <v>0</v>
      </c>
      <c r="M944" s="128">
        <f>IF($I944="Atrasado",$J944+ROW()/1000000,0)</f>
        <v>0</v>
      </c>
    </row>
    <row r="945" spans="9:13" ht="16.5" customHeight="1">
      <c r="I945" s="66">
        <f>IF($E945="","",IF($G945&lt;&gt;"","Pago",IF($F945="","Pendente",IF('Config'!$C$9&gt;$F945,"Atrasado","Pendente"))))</f>
        <v/>
      </c>
      <c r="J945" s="126">
        <f>IF($I945="Atrasado",'Config'!$C$9-$F945,"")</f>
        <v/>
      </c>
      <c r="K945" s="127">
        <f>IF(AND($E945&lt;&gt;"",$G945=""),$E945,0)</f>
        <v>0</v>
      </c>
      <c r="L945" s="127">
        <f>IF($I945="Atrasado",$E945,0)</f>
        <v>0</v>
      </c>
      <c r="M945" s="128">
        <f>IF($I945="Atrasado",$J945+ROW()/1000000,0)</f>
        <v>0</v>
      </c>
    </row>
    <row r="946" spans="9:13" ht="16.5" customHeight="1">
      <c r="I946" s="66">
        <f>IF($E946="","",IF($G946&lt;&gt;"","Pago",IF($F946="","Pendente",IF('Config'!$C$9&gt;$F946,"Atrasado","Pendente"))))</f>
        <v/>
      </c>
      <c r="J946" s="126">
        <f>IF($I946="Atrasado",'Config'!$C$9-$F946,"")</f>
        <v/>
      </c>
      <c r="K946" s="127">
        <f>IF(AND($E946&lt;&gt;"",$G946=""),$E946,0)</f>
        <v>0</v>
      </c>
      <c r="L946" s="127">
        <f>IF($I946="Atrasado",$E946,0)</f>
        <v>0</v>
      </c>
      <c r="M946" s="128">
        <f>IF($I946="Atrasado",$J946+ROW()/1000000,0)</f>
        <v>0</v>
      </c>
    </row>
    <row r="947" spans="9:13" ht="16.5" customHeight="1">
      <c r="I947" s="66">
        <f>IF($E947="","",IF($G947&lt;&gt;"","Pago",IF($F947="","Pendente",IF('Config'!$C$9&gt;$F947,"Atrasado","Pendente"))))</f>
        <v/>
      </c>
      <c r="J947" s="126">
        <f>IF($I947="Atrasado",'Config'!$C$9-$F947,"")</f>
        <v/>
      </c>
      <c r="K947" s="127">
        <f>IF(AND($E947&lt;&gt;"",$G947=""),$E947,0)</f>
        <v>0</v>
      </c>
      <c r="L947" s="127">
        <f>IF($I947="Atrasado",$E947,0)</f>
        <v>0</v>
      </c>
      <c r="M947" s="128">
        <f>IF($I947="Atrasado",$J947+ROW()/1000000,0)</f>
        <v>0</v>
      </c>
    </row>
    <row r="948" spans="9:13" ht="16.5" customHeight="1">
      <c r="I948" s="66">
        <f>IF($E948="","",IF($G948&lt;&gt;"","Pago",IF($F948="","Pendente",IF('Config'!$C$9&gt;$F948,"Atrasado","Pendente"))))</f>
        <v/>
      </c>
      <c r="J948" s="126">
        <f>IF($I948="Atrasado",'Config'!$C$9-$F948,"")</f>
        <v/>
      </c>
      <c r="K948" s="127">
        <f>IF(AND($E948&lt;&gt;"",$G948=""),$E948,0)</f>
        <v>0</v>
      </c>
      <c r="L948" s="127">
        <f>IF($I948="Atrasado",$E948,0)</f>
        <v>0</v>
      </c>
      <c r="M948" s="128">
        <f>IF($I948="Atrasado",$J948+ROW()/1000000,0)</f>
        <v>0</v>
      </c>
    </row>
    <row r="949" spans="9:13" ht="16.5" customHeight="1">
      <c r="I949" s="66">
        <f>IF($E949="","",IF($G949&lt;&gt;"","Pago",IF($F949="","Pendente",IF('Config'!$C$9&gt;$F949,"Atrasado","Pendente"))))</f>
        <v/>
      </c>
      <c r="J949" s="126">
        <f>IF($I949="Atrasado",'Config'!$C$9-$F949,"")</f>
        <v/>
      </c>
      <c r="K949" s="127">
        <f>IF(AND($E949&lt;&gt;"",$G949=""),$E949,0)</f>
        <v>0</v>
      </c>
      <c r="L949" s="127">
        <f>IF($I949="Atrasado",$E949,0)</f>
        <v>0</v>
      </c>
      <c r="M949" s="128">
        <f>IF($I949="Atrasado",$J949+ROW()/1000000,0)</f>
        <v>0</v>
      </c>
    </row>
    <row r="950" spans="9:13" ht="16.5" customHeight="1">
      <c r="I950" s="66">
        <f>IF($E950="","",IF($G950&lt;&gt;"","Pago",IF($F950="","Pendente",IF('Config'!$C$9&gt;$F950,"Atrasado","Pendente"))))</f>
        <v/>
      </c>
      <c r="J950" s="126">
        <f>IF($I950="Atrasado",'Config'!$C$9-$F950,"")</f>
        <v/>
      </c>
      <c r="K950" s="127">
        <f>IF(AND($E950&lt;&gt;"",$G950=""),$E950,0)</f>
        <v>0</v>
      </c>
      <c r="L950" s="127">
        <f>IF($I950="Atrasado",$E950,0)</f>
        <v>0</v>
      </c>
      <c r="M950" s="128">
        <f>IF($I950="Atrasado",$J950+ROW()/1000000,0)</f>
        <v>0</v>
      </c>
    </row>
    <row r="951" spans="9:13" ht="16.5" customHeight="1">
      <c r="I951" s="66">
        <f>IF($E951="","",IF($G951&lt;&gt;"","Pago",IF($F951="","Pendente",IF('Config'!$C$9&gt;$F951,"Atrasado","Pendente"))))</f>
        <v/>
      </c>
      <c r="J951" s="126">
        <f>IF($I951="Atrasado",'Config'!$C$9-$F951,"")</f>
        <v/>
      </c>
      <c r="K951" s="127">
        <f>IF(AND($E951&lt;&gt;"",$G951=""),$E951,0)</f>
        <v>0</v>
      </c>
      <c r="L951" s="127">
        <f>IF($I951="Atrasado",$E951,0)</f>
        <v>0</v>
      </c>
      <c r="M951" s="128">
        <f>IF($I951="Atrasado",$J951+ROW()/1000000,0)</f>
        <v>0</v>
      </c>
    </row>
    <row r="952" spans="9:13" ht="16.5" customHeight="1">
      <c r="I952" s="66">
        <f>IF($E952="","",IF($G952&lt;&gt;"","Pago",IF($F952="","Pendente",IF('Config'!$C$9&gt;$F952,"Atrasado","Pendente"))))</f>
        <v/>
      </c>
      <c r="J952" s="126">
        <f>IF($I952="Atrasado",'Config'!$C$9-$F952,"")</f>
        <v/>
      </c>
      <c r="K952" s="127">
        <f>IF(AND($E952&lt;&gt;"",$G952=""),$E952,0)</f>
        <v>0</v>
      </c>
      <c r="L952" s="127">
        <f>IF($I952="Atrasado",$E952,0)</f>
        <v>0</v>
      </c>
      <c r="M952" s="128">
        <f>IF($I952="Atrasado",$J952+ROW()/1000000,0)</f>
        <v>0</v>
      </c>
    </row>
    <row r="953" spans="9:13" ht="16.5" customHeight="1">
      <c r="I953" s="66">
        <f>IF($E953="","",IF($G953&lt;&gt;"","Pago",IF($F953="","Pendente",IF('Config'!$C$9&gt;$F953,"Atrasado","Pendente"))))</f>
        <v/>
      </c>
      <c r="J953" s="126">
        <f>IF($I953="Atrasado",'Config'!$C$9-$F953,"")</f>
        <v/>
      </c>
      <c r="K953" s="127">
        <f>IF(AND($E953&lt;&gt;"",$G953=""),$E953,0)</f>
        <v>0</v>
      </c>
      <c r="L953" s="127">
        <f>IF($I953="Atrasado",$E953,0)</f>
        <v>0</v>
      </c>
      <c r="M953" s="128">
        <f>IF($I953="Atrasado",$J953+ROW()/1000000,0)</f>
        <v>0</v>
      </c>
    </row>
    <row r="954" spans="9:13" ht="16.5" customHeight="1">
      <c r="I954" s="66">
        <f>IF($E954="","",IF($G954&lt;&gt;"","Pago",IF($F954="","Pendente",IF('Config'!$C$9&gt;$F954,"Atrasado","Pendente"))))</f>
        <v/>
      </c>
      <c r="J954" s="126">
        <f>IF($I954="Atrasado",'Config'!$C$9-$F954,"")</f>
        <v/>
      </c>
      <c r="K954" s="127">
        <f>IF(AND($E954&lt;&gt;"",$G954=""),$E954,0)</f>
        <v>0</v>
      </c>
      <c r="L954" s="127">
        <f>IF($I954="Atrasado",$E954,0)</f>
        <v>0</v>
      </c>
      <c r="M954" s="128">
        <f>IF($I954="Atrasado",$J954+ROW()/1000000,0)</f>
        <v>0</v>
      </c>
    </row>
    <row r="955" spans="9:13" ht="16.5" customHeight="1">
      <c r="I955" s="66">
        <f>IF($E955="","",IF($G955&lt;&gt;"","Pago",IF($F955="","Pendente",IF('Config'!$C$9&gt;$F955,"Atrasado","Pendente"))))</f>
        <v/>
      </c>
      <c r="J955" s="126">
        <f>IF($I955="Atrasado",'Config'!$C$9-$F955,"")</f>
        <v/>
      </c>
      <c r="K955" s="127">
        <f>IF(AND($E955&lt;&gt;"",$G955=""),$E955,0)</f>
        <v>0</v>
      </c>
      <c r="L955" s="127">
        <f>IF($I955="Atrasado",$E955,0)</f>
        <v>0</v>
      </c>
      <c r="M955" s="128">
        <f>IF($I955="Atrasado",$J955+ROW()/1000000,0)</f>
        <v>0</v>
      </c>
    </row>
    <row r="956" spans="9:13" ht="16.5" customHeight="1">
      <c r="I956" s="66">
        <f>IF($E956="","",IF($G956&lt;&gt;"","Pago",IF($F956="","Pendente",IF('Config'!$C$9&gt;$F956,"Atrasado","Pendente"))))</f>
        <v/>
      </c>
      <c r="J956" s="126">
        <f>IF($I956="Atrasado",'Config'!$C$9-$F956,"")</f>
        <v/>
      </c>
      <c r="K956" s="127">
        <f>IF(AND($E956&lt;&gt;"",$G956=""),$E956,0)</f>
        <v>0</v>
      </c>
      <c r="L956" s="127">
        <f>IF($I956="Atrasado",$E956,0)</f>
        <v>0</v>
      </c>
      <c r="M956" s="128">
        <f>IF($I956="Atrasado",$J956+ROW()/1000000,0)</f>
        <v>0</v>
      </c>
    </row>
    <row r="957" spans="9:13" ht="16.5" customHeight="1">
      <c r="I957" s="66">
        <f>IF($E957="","",IF($G957&lt;&gt;"","Pago",IF($F957="","Pendente",IF('Config'!$C$9&gt;$F957,"Atrasado","Pendente"))))</f>
        <v/>
      </c>
      <c r="J957" s="126">
        <f>IF($I957="Atrasado",'Config'!$C$9-$F957,"")</f>
        <v/>
      </c>
      <c r="K957" s="127">
        <f>IF(AND($E957&lt;&gt;"",$G957=""),$E957,0)</f>
        <v>0</v>
      </c>
      <c r="L957" s="127">
        <f>IF($I957="Atrasado",$E957,0)</f>
        <v>0</v>
      </c>
      <c r="M957" s="128">
        <f>IF($I957="Atrasado",$J957+ROW()/1000000,0)</f>
        <v>0</v>
      </c>
    </row>
    <row r="958" spans="9:13" ht="16.5" customHeight="1">
      <c r="I958" s="66">
        <f>IF($E958="","",IF($G958&lt;&gt;"","Pago",IF($F958="","Pendente",IF('Config'!$C$9&gt;$F958,"Atrasado","Pendente"))))</f>
        <v/>
      </c>
      <c r="J958" s="126">
        <f>IF($I958="Atrasado",'Config'!$C$9-$F958,"")</f>
        <v/>
      </c>
      <c r="K958" s="127">
        <f>IF(AND($E958&lt;&gt;"",$G958=""),$E958,0)</f>
        <v>0</v>
      </c>
      <c r="L958" s="127">
        <f>IF($I958="Atrasado",$E958,0)</f>
        <v>0</v>
      </c>
      <c r="M958" s="128">
        <f>IF($I958="Atrasado",$J958+ROW()/1000000,0)</f>
        <v>0</v>
      </c>
    </row>
    <row r="959" spans="9:13" ht="16.5" customHeight="1">
      <c r="I959" s="66">
        <f>IF($E959="","",IF($G959&lt;&gt;"","Pago",IF($F959="","Pendente",IF('Config'!$C$9&gt;$F959,"Atrasado","Pendente"))))</f>
        <v/>
      </c>
      <c r="J959" s="126">
        <f>IF($I959="Atrasado",'Config'!$C$9-$F959,"")</f>
        <v/>
      </c>
      <c r="K959" s="127">
        <f>IF(AND($E959&lt;&gt;"",$G959=""),$E959,0)</f>
        <v>0</v>
      </c>
      <c r="L959" s="127">
        <f>IF($I959="Atrasado",$E959,0)</f>
        <v>0</v>
      </c>
      <c r="M959" s="128">
        <f>IF($I959="Atrasado",$J959+ROW()/1000000,0)</f>
        <v>0</v>
      </c>
    </row>
    <row r="960" spans="9:13" ht="16.5" customHeight="1">
      <c r="I960" s="66">
        <f>IF($E960="","",IF($G960&lt;&gt;"","Pago",IF($F960="","Pendente",IF('Config'!$C$9&gt;$F960,"Atrasado","Pendente"))))</f>
        <v/>
      </c>
      <c r="J960" s="126">
        <f>IF($I960="Atrasado",'Config'!$C$9-$F960,"")</f>
        <v/>
      </c>
      <c r="K960" s="127">
        <f>IF(AND($E960&lt;&gt;"",$G960=""),$E960,0)</f>
        <v>0</v>
      </c>
      <c r="L960" s="127">
        <f>IF($I960="Atrasado",$E960,0)</f>
        <v>0</v>
      </c>
      <c r="M960" s="128">
        <f>IF($I960="Atrasado",$J960+ROW()/1000000,0)</f>
        <v>0</v>
      </c>
    </row>
    <row r="961" spans="9:13" ht="16.5" customHeight="1">
      <c r="I961" s="66">
        <f>IF($E961="","",IF($G961&lt;&gt;"","Pago",IF($F961="","Pendente",IF('Config'!$C$9&gt;$F961,"Atrasado","Pendente"))))</f>
        <v/>
      </c>
      <c r="J961" s="126">
        <f>IF($I961="Atrasado",'Config'!$C$9-$F961,"")</f>
        <v/>
      </c>
      <c r="K961" s="127">
        <f>IF(AND($E961&lt;&gt;"",$G961=""),$E961,0)</f>
        <v>0</v>
      </c>
      <c r="L961" s="127">
        <f>IF($I961="Atrasado",$E961,0)</f>
        <v>0</v>
      </c>
      <c r="M961" s="128">
        <f>IF($I961="Atrasado",$J961+ROW()/1000000,0)</f>
        <v>0</v>
      </c>
    </row>
    <row r="962" spans="9:13" ht="16.5" customHeight="1">
      <c r="I962" s="66">
        <f>IF($E962="","",IF($G962&lt;&gt;"","Pago",IF($F962="","Pendente",IF('Config'!$C$9&gt;$F962,"Atrasado","Pendente"))))</f>
        <v/>
      </c>
      <c r="J962" s="126">
        <f>IF($I962="Atrasado",'Config'!$C$9-$F962,"")</f>
        <v/>
      </c>
      <c r="K962" s="127">
        <f>IF(AND($E962&lt;&gt;"",$G962=""),$E962,0)</f>
        <v>0</v>
      </c>
      <c r="L962" s="127">
        <f>IF($I962="Atrasado",$E962,0)</f>
        <v>0</v>
      </c>
      <c r="M962" s="128">
        <f>IF($I962="Atrasado",$J962+ROW()/1000000,0)</f>
        <v>0</v>
      </c>
    </row>
    <row r="963" spans="9:13" ht="16.5" customHeight="1">
      <c r="I963" s="66">
        <f>IF($E963="","",IF($G963&lt;&gt;"","Pago",IF($F963="","Pendente",IF('Config'!$C$9&gt;$F963,"Atrasado","Pendente"))))</f>
        <v/>
      </c>
      <c r="J963" s="126">
        <f>IF($I963="Atrasado",'Config'!$C$9-$F963,"")</f>
        <v/>
      </c>
      <c r="K963" s="127">
        <f>IF(AND($E963&lt;&gt;"",$G963=""),$E963,0)</f>
        <v>0</v>
      </c>
      <c r="L963" s="127">
        <f>IF($I963="Atrasado",$E963,0)</f>
        <v>0</v>
      </c>
      <c r="M963" s="128">
        <f>IF($I963="Atrasado",$J963+ROW()/1000000,0)</f>
        <v>0</v>
      </c>
    </row>
    <row r="964" spans="9:13" ht="16.5" customHeight="1">
      <c r="I964" s="66">
        <f>IF($E964="","",IF($G964&lt;&gt;"","Pago",IF($F964="","Pendente",IF('Config'!$C$9&gt;$F964,"Atrasado","Pendente"))))</f>
        <v/>
      </c>
      <c r="J964" s="126">
        <f>IF($I964="Atrasado",'Config'!$C$9-$F964,"")</f>
        <v/>
      </c>
      <c r="K964" s="127">
        <f>IF(AND($E964&lt;&gt;"",$G964=""),$E964,0)</f>
        <v>0</v>
      </c>
      <c r="L964" s="127">
        <f>IF($I964="Atrasado",$E964,0)</f>
        <v>0</v>
      </c>
      <c r="M964" s="128">
        <f>IF($I964="Atrasado",$J964+ROW()/1000000,0)</f>
        <v>0</v>
      </c>
    </row>
    <row r="965" spans="9:13" ht="16.5" customHeight="1">
      <c r="I965" s="66">
        <f>IF($E965="","",IF($G965&lt;&gt;"","Pago",IF($F965="","Pendente",IF('Config'!$C$9&gt;$F965,"Atrasado","Pendente"))))</f>
        <v/>
      </c>
      <c r="J965" s="126">
        <f>IF($I965="Atrasado",'Config'!$C$9-$F965,"")</f>
        <v/>
      </c>
      <c r="K965" s="127">
        <f>IF(AND($E965&lt;&gt;"",$G965=""),$E965,0)</f>
        <v>0</v>
      </c>
      <c r="L965" s="127">
        <f>IF($I965="Atrasado",$E965,0)</f>
        <v>0</v>
      </c>
      <c r="M965" s="128">
        <f>IF($I965="Atrasado",$J965+ROW()/1000000,0)</f>
        <v>0</v>
      </c>
    </row>
    <row r="966" spans="9:13" ht="16.5" customHeight="1">
      <c r="I966" s="66">
        <f>IF($E966="","",IF($G966&lt;&gt;"","Pago",IF($F966="","Pendente",IF('Config'!$C$9&gt;$F966,"Atrasado","Pendente"))))</f>
        <v/>
      </c>
      <c r="J966" s="126">
        <f>IF($I966="Atrasado",'Config'!$C$9-$F966,"")</f>
        <v/>
      </c>
      <c r="K966" s="127">
        <f>IF(AND($E966&lt;&gt;"",$G966=""),$E966,0)</f>
        <v>0</v>
      </c>
      <c r="L966" s="127">
        <f>IF($I966="Atrasado",$E966,0)</f>
        <v>0</v>
      </c>
      <c r="M966" s="128">
        <f>IF($I966="Atrasado",$J966+ROW()/1000000,0)</f>
        <v>0</v>
      </c>
    </row>
    <row r="967" spans="9:13" ht="16.5" customHeight="1">
      <c r="I967" s="66">
        <f>IF($E967="","",IF($G967&lt;&gt;"","Pago",IF($F967="","Pendente",IF('Config'!$C$9&gt;$F967,"Atrasado","Pendente"))))</f>
        <v/>
      </c>
      <c r="J967" s="126">
        <f>IF($I967="Atrasado",'Config'!$C$9-$F967,"")</f>
        <v/>
      </c>
      <c r="K967" s="127">
        <f>IF(AND($E967&lt;&gt;"",$G967=""),$E967,0)</f>
        <v>0</v>
      </c>
      <c r="L967" s="127">
        <f>IF($I967="Atrasado",$E967,0)</f>
        <v>0</v>
      </c>
      <c r="M967" s="128">
        <f>IF($I967="Atrasado",$J967+ROW()/1000000,0)</f>
        <v>0</v>
      </c>
    </row>
    <row r="968" spans="9:13" ht="16.5" customHeight="1">
      <c r="I968" s="66">
        <f>IF($E968="","",IF($G968&lt;&gt;"","Pago",IF($F968="","Pendente",IF('Config'!$C$9&gt;$F968,"Atrasado","Pendente"))))</f>
        <v/>
      </c>
      <c r="J968" s="126">
        <f>IF($I968="Atrasado",'Config'!$C$9-$F968,"")</f>
        <v/>
      </c>
      <c r="K968" s="127">
        <f>IF(AND($E968&lt;&gt;"",$G968=""),$E968,0)</f>
        <v>0</v>
      </c>
      <c r="L968" s="127">
        <f>IF($I968="Atrasado",$E968,0)</f>
        <v>0</v>
      </c>
      <c r="M968" s="128">
        <f>IF($I968="Atrasado",$J968+ROW()/1000000,0)</f>
        <v>0</v>
      </c>
    </row>
    <row r="969" spans="9:13" ht="16.5" customHeight="1">
      <c r="I969" s="66">
        <f>IF($E969="","",IF($G969&lt;&gt;"","Pago",IF($F969="","Pendente",IF('Config'!$C$9&gt;$F969,"Atrasado","Pendente"))))</f>
        <v/>
      </c>
      <c r="J969" s="126">
        <f>IF($I969="Atrasado",'Config'!$C$9-$F969,"")</f>
        <v/>
      </c>
      <c r="K969" s="127">
        <f>IF(AND($E969&lt;&gt;"",$G969=""),$E969,0)</f>
        <v>0</v>
      </c>
      <c r="L969" s="127">
        <f>IF($I969="Atrasado",$E969,0)</f>
        <v>0</v>
      </c>
      <c r="M969" s="128">
        <f>IF($I969="Atrasado",$J969+ROW()/1000000,0)</f>
        <v>0</v>
      </c>
    </row>
    <row r="970" spans="9:13" ht="16.5" customHeight="1">
      <c r="I970" s="66">
        <f>IF($E970="","",IF($G970&lt;&gt;"","Pago",IF($F970="","Pendente",IF('Config'!$C$9&gt;$F970,"Atrasado","Pendente"))))</f>
        <v/>
      </c>
      <c r="J970" s="126">
        <f>IF($I970="Atrasado",'Config'!$C$9-$F970,"")</f>
        <v/>
      </c>
      <c r="K970" s="127">
        <f>IF(AND($E970&lt;&gt;"",$G970=""),$E970,0)</f>
        <v>0</v>
      </c>
      <c r="L970" s="127">
        <f>IF($I970="Atrasado",$E970,0)</f>
        <v>0</v>
      </c>
      <c r="M970" s="128">
        <f>IF($I970="Atrasado",$J970+ROW()/1000000,0)</f>
        <v>0</v>
      </c>
    </row>
    <row r="971" spans="9:13" ht="16.5" customHeight="1">
      <c r="I971" s="66">
        <f>IF($E971="","",IF($G971&lt;&gt;"","Pago",IF($F971="","Pendente",IF('Config'!$C$9&gt;$F971,"Atrasado","Pendente"))))</f>
        <v/>
      </c>
      <c r="J971" s="126">
        <f>IF($I971="Atrasado",'Config'!$C$9-$F971,"")</f>
        <v/>
      </c>
      <c r="K971" s="127">
        <f>IF(AND($E971&lt;&gt;"",$G971=""),$E971,0)</f>
        <v>0</v>
      </c>
      <c r="L971" s="127">
        <f>IF($I971="Atrasado",$E971,0)</f>
        <v>0</v>
      </c>
      <c r="M971" s="128">
        <f>IF($I971="Atrasado",$J971+ROW()/1000000,0)</f>
        <v>0</v>
      </c>
    </row>
    <row r="972" spans="9:13" ht="16.5" customHeight="1">
      <c r="I972" s="66">
        <f>IF($E972="","",IF($G972&lt;&gt;"","Pago",IF($F972="","Pendente",IF('Config'!$C$9&gt;$F972,"Atrasado","Pendente"))))</f>
        <v/>
      </c>
      <c r="J972" s="126">
        <f>IF($I972="Atrasado",'Config'!$C$9-$F972,"")</f>
        <v/>
      </c>
      <c r="K972" s="127">
        <f>IF(AND($E972&lt;&gt;"",$G972=""),$E972,0)</f>
        <v>0</v>
      </c>
      <c r="L972" s="127">
        <f>IF($I972="Atrasado",$E972,0)</f>
        <v>0</v>
      </c>
      <c r="M972" s="128">
        <f>IF($I972="Atrasado",$J972+ROW()/1000000,0)</f>
        <v>0</v>
      </c>
    </row>
    <row r="973" spans="9:13" ht="16.5" customHeight="1">
      <c r="I973" s="66">
        <f>IF($E973="","",IF($G973&lt;&gt;"","Pago",IF($F973="","Pendente",IF('Config'!$C$9&gt;$F973,"Atrasado","Pendente"))))</f>
        <v/>
      </c>
      <c r="J973" s="126">
        <f>IF($I973="Atrasado",'Config'!$C$9-$F973,"")</f>
        <v/>
      </c>
      <c r="K973" s="127">
        <f>IF(AND($E973&lt;&gt;"",$G973=""),$E973,0)</f>
        <v>0</v>
      </c>
      <c r="L973" s="127">
        <f>IF($I973="Atrasado",$E973,0)</f>
        <v>0</v>
      </c>
      <c r="M973" s="128">
        <f>IF($I973="Atrasado",$J973+ROW()/1000000,0)</f>
        <v>0</v>
      </c>
    </row>
    <row r="974" spans="9:13" ht="16.5" customHeight="1">
      <c r="I974" s="66">
        <f>IF($E974="","",IF($G974&lt;&gt;"","Pago",IF($F974="","Pendente",IF('Config'!$C$9&gt;$F974,"Atrasado","Pendente"))))</f>
        <v/>
      </c>
      <c r="J974" s="126">
        <f>IF($I974="Atrasado",'Config'!$C$9-$F974,"")</f>
        <v/>
      </c>
      <c r="K974" s="127">
        <f>IF(AND($E974&lt;&gt;"",$G974=""),$E974,0)</f>
        <v>0</v>
      </c>
      <c r="L974" s="127">
        <f>IF($I974="Atrasado",$E974,0)</f>
        <v>0</v>
      </c>
      <c r="M974" s="128">
        <f>IF($I974="Atrasado",$J974+ROW()/1000000,0)</f>
        <v>0</v>
      </c>
    </row>
    <row r="975" spans="9:13" ht="16.5" customHeight="1">
      <c r="I975" s="66">
        <f>IF($E975="","",IF($G975&lt;&gt;"","Pago",IF($F975="","Pendente",IF('Config'!$C$9&gt;$F975,"Atrasado","Pendente"))))</f>
        <v/>
      </c>
      <c r="J975" s="126">
        <f>IF($I975="Atrasado",'Config'!$C$9-$F975,"")</f>
        <v/>
      </c>
      <c r="K975" s="127">
        <f>IF(AND($E975&lt;&gt;"",$G975=""),$E975,0)</f>
        <v>0</v>
      </c>
      <c r="L975" s="127">
        <f>IF($I975="Atrasado",$E975,0)</f>
        <v>0</v>
      </c>
      <c r="M975" s="128">
        <f>IF($I975="Atrasado",$J975+ROW()/1000000,0)</f>
        <v>0</v>
      </c>
    </row>
    <row r="976" spans="9:13" ht="16.5" customHeight="1">
      <c r="I976" s="66">
        <f>IF($E976="","",IF($G976&lt;&gt;"","Pago",IF($F976="","Pendente",IF('Config'!$C$9&gt;$F976,"Atrasado","Pendente"))))</f>
        <v/>
      </c>
      <c r="J976" s="126">
        <f>IF($I976="Atrasado",'Config'!$C$9-$F976,"")</f>
        <v/>
      </c>
      <c r="K976" s="127">
        <f>IF(AND($E976&lt;&gt;"",$G976=""),$E976,0)</f>
        <v>0</v>
      </c>
      <c r="L976" s="127">
        <f>IF($I976="Atrasado",$E976,0)</f>
        <v>0</v>
      </c>
      <c r="M976" s="128">
        <f>IF($I976="Atrasado",$J976+ROW()/1000000,0)</f>
        <v>0</v>
      </c>
    </row>
    <row r="977" spans="9:13" ht="16.5" customHeight="1">
      <c r="I977" s="66">
        <f>IF($E977="","",IF($G977&lt;&gt;"","Pago",IF($F977="","Pendente",IF('Config'!$C$9&gt;$F977,"Atrasado","Pendente"))))</f>
        <v/>
      </c>
      <c r="J977" s="126">
        <f>IF($I977="Atrasado",'Config'!$C$9-$F977,"")</f>
        <v/>
      </c>
      <c r="K977" s="127">
        <f>IF(AND($E977&lt;&gt;"",$G977=""),$E977,0)</f>
        <v>0</v>
      </c>
      <c r="L977" s="127">
        <f>IF($I977="Atrasado",$E977,0)</f>
        <v>0</v>
      </c>
      <c r="M977" s="128">
        <f>IF($I977="Atrasado",$J977+ROW()/1000000,0)</f>
        <v>0</v>
      </c>
    </row>
    <row r="978" spans="9:13" ht="16.5" customHeight="1">
      <c r="I978" s="66">
        <f>IF($E978="","",IF($G978&lt;&gt;"","Pago",IF($F978="","Pendente",IF('Config'!$C$9&gt;$F978,"Atrasado","Pendente"))))</f>
        <v/>
      </c>
      <c r="J978" s="126">
        <f>IF($I978="Atrasado",'Config'!$C$9-$F978,"")</f>
        <v/>
      </c>
      <c r="K978" s="127">
        <f>IF(AND($E978&lt;&gt;"",$G978=""),$E978,0)</f>
        <v>0</v>
      </c>
      <c r="L978" s="127">
        <f>IF($I978="Atrasado",$E978,0)</f>
        <v>0</v>
      </c>
      <c r="M978" s="128">
        <f>IF($I978="Atrasado",$J978+ROW()/1000000,0)</f>
        <v>0</v>
      </c>
    </row>
    <row r="979" spans="9:13" ht="16.5" customHeight="1">
      <c r="I979" s="66">
        <f>IF($E979="","",IF($G979&lt;&gt;"","Pago",IF($F979="","Pendente",IF('Config'!$C$9&gt;$F979,"Atrasado","Pendente"))))</f>
        <v/>
      </c>
      <c r="J979" s="126">
        <f>IF($I979="Atrasado",'Config'!$C$9-$F979,"")</f>
        <v/>
      </c>
      <c r="K979" s="127">
        <f>IF(AND($E979&lt;&gt;"",$G979=""),$E979,0)</f>
        <v>0</v>
      </c>
      <c r="L979" s="127">
        <f>IF($I979="Atrasado",$E979,0)</f>
        <v>0</v>
      </c>
      <c r="M979" s="128">
        <f>IF($I979="Atrasado",$J979+ROW()/1000000,0)</f>
        <v>0</v>
      </c>
    </row>
    <row r="980" spans="9:13" ht="16.5" customHeight="1">
      <c r="I980" s="66">
        <f>IF($E980="","",IF($G980&lt;&gt;"","Pago",IF($F980="","Pendente",IF('Config'!$C$9&gt;$F980,"Atrasado","Pendente"))))</f>
        <v/>
      </c>
      <c r="J980" s="126">
        <f>IF($I980="Atrasado",'Config'!$C$9-$F980,"")</f>
        <v/>
      </c>
      <c r="K980" s="127">
        <f>IF(AND($E980&lt;&gt;"",$G980=""),$E980,0)</f>
        <v>0</v>
      </c>
      <c r="L980" s="127">
        <f>IF($I980="Atrasado",$E980,0)</f>
        <v>0</v>
      </c>
      <c r="M980" s="128">
        <f>IF($I980="Atrasado",$J980+ROW()/1000000,0)</f>
        <v>0</v>
      </c>
    </row>
    <row r="981" spans="9:13" ht="16.5" customHeight="1">
      <c r="I981" s="66">
        <f>IF($E981="","",IF($G981&lt;&gt;"","Pago",IF($F981="","Pendente",IF('Config'!$C$9&gt;$F981,"Atrasado","Pendente"))))</f>
        <v/>
      </c>
      <c r="J981" s="126">
        <f>IF($I981="Atrasado",'Config'!$C$9-$F981,"")</f>
        <v/>
      </c>
      <c r="K981" s="127">
        <f>IF(AND($E981&lt;&gt;"",$G981=""),$E981,0)</f>
        <v>0</v>
      </c>
      <c r="L981" s="127">
        <f>IF($I981="Atrasado",$E981,0)</f>
        <v>0</v>
      </c>
      <c r="M981" s="128">
        <f>IF($I981="Atrasado",$J981+ROW()/1000000,0)</f>
        <v>0</v>
      </c>
    </row>
    <row r="982" spans="9:13" ht="16.5" customHeight="1">
      <c r="I982" s="66">
        <f>IF($E982="","",IF($G982&lt;&gt;"","Pago",IF($F982="","Pendente",IF('Config'!$C$9&gt;$F982,"Atrasado","Pendente"))))</f>
        <v/>
      </c>
      <c r="J982" s="126">
        <f>IF($I982="Atrasado",'Config'!$C$9-$F982,"")</f>
        <v/>
      </c>
      <c r="K982" s="127">
        <f>IF(AND($E982&lt;&gt;"",$G982=""),$E982,0)</f>
        <v>0</v>
      </c>
      <c r="L982" s="127">
        <f>IF($I982="Atrasado",$E982,0)</f>
        <v>0</v>
      </c>
      <c r="M982" s="128">
        <f>IF($I982="Atrasado",$J982+ROW()/1000000,0)</f>
        <v>0</v>
      </c>
    </row>
    <row r="983" spans="9:13" ht="16.5" customHeight="1">
      <c r="I983" s="66">
        <f>IF($E983="","",IF($G983&lt;&gt;"","Pago",IF($F983="","Pendente",IF('Config'!$C$9&gt;$F983,"Atrasado","Pendente"))))</f>
        <v/>
      </c>
      <c r="J983" s="126">
        <f>IF($I983="Atrasado",'Config'!$C$9-$F983,"")</f>
        <v/>
      </c>
      <c r="K983" s="127">
        <f>IF(AND($E983&lt;&gt;"",$G983=""),$E983,0)</f>
        <v>0</v>
      </c>
      <c r="L983" s="127">
        <f>IF($I983="Atrasado",$E983,0)</f>
        <v>0</v>
      </c>
      <c r="M983" s="128">
        <f>IF($I983="Atrasado",$J983+ROW()/1000000,0)</f>
        <v>0</v>
      </c>
    </row>
    <row r="984" spans="9:13" ht="16.5" customHeight="1">
      <c r="I984" s="66">
        <f>IF($E984="","",IF($G984&lt;&gt;"","Pago",IF($F984="","Pendente",IF('Config'!$C$9&gt;$F984,"Atrasado","Pendente"))))</f>
        <v/>
      </c>
      <c r="J984" s="126">
        <f>IF($I984="Atrasado",'Config'!$C$9-$F984,"")</f>
        <v/>
      </c>
      <c r="K984" s="127">
        <f>IF(AND($E984&lt;&gt;"",$G984=""),$E984,0)</f>
        <v>0</v>
      </c>
      <c r="L984" s="127">
        <f>IF($I984="Atrasado",$E984,0)</f>
        <v>0</v>
      </c>
      <c r="M984" s="128">
        <f>IF($I984="Atrasado",$J984+ROW()/1000000,0)</f>
        <v>0</v>
      </c>
    </row>
    <row r="985" spans="9:13" ht="16.5" customHeight="1">
      <c r="I985" s="66">
        <f>IF($E985="","",IF($G985&lt;&gt;"","Pago",IF($F985="","Pendente",IF('Config'!$C$9&gt;$F985,"Atrasado","Pendente"))))</f>
        <v/>
      </c>
      <c r="J985" s="126">
        <f>IF($I985="Atrasado",'Config'!$C$9-$F985,"")</f>
        <v/>
      </c>
      <c r="K985" s="127">
        <f>IF(AND($E985&lt;&gt;"",$G985=""),$E985,0)</f>
        <v>0</v>
      </c>
      <c r="L985" s="127">
        <f>IF($I985="Atrasado",$E985,0)</f>
        <v>0</v>
      </c>
      <c r="M985" s="128">
        <f>IF($I985="Atrasado",$J985+ROW()/1000000,0)</f>
        <v>0</v>
      </c>
    </row>
    <row r="986" spans="9:13" ht="16.5" customHeight="1">
      <c r="I986" s="66">
        <f>IF($E986="","",IF($G986&lt;&gt;"","Pago",IF($F986="","Pendente",IF('Config'!$C$9&gt;$F986,"Atrasado","Pendente"))))</f>
        <v/>
      </c>
      <c r="J986" s="126">
        <f>IF($I986="Atrasado",'Config'!$C$9-$F986,"")</f>
        <v/>
      </c>
      <c r="K986" s="127">
        <f>IF(AND($E986&lt;&gt;"",$G986=""),$E986,0)</f>
        <v>0</v>
      </c>
      <c r="L986" s="127">
        <f>IF($I986="Atrasado",$E986,0)</f>
        <v>0</v>
      </c>
      <c r="M986" s="128">
        <f>IF($I986="Atrasado",$J986+ROW()/1000000,0)</f>
        <v>0</v>
      </c>
    </row>
    <row r="987" spans="9:13" ht="16.5" customHeight="1">
      <c r="I987" s="66">
        <f>IF($E987="","",IF($G987&lt;&gt;"","Pago",IF($F987="","Pendente",IF('Config'!$C$9&gt;$F987,"Atrasado","Pendente"))))</f>
        <v/>
      </c>
      <c r="J987" s="126">
        <f>IF($I987="Atrasado",'Config'!$C$9-$F987,"")</f>
        <v/>
      </c>
      <c r="K987" s="127">
        <f>IF(AND($E987&lt;&gt;"",$G987=""),$E987,0)</f>
        <v>0</v>
      </c>
      <c r="L987" s="127">
        <f>IF($I987="Atrasado",$E987,0)</f>
        <v>0</v>
      </c>
      <c r="M987" s="128">
        <f>IF($I987="Atrasado",$J987+ROW()/1000000,0)</f>
        <v>0</v>
      </c>
    </row>
    <row r="988" spans="9:13" ht="16.5" customHeight="1">
      <c r="I988" s="66">
        <f>IF($E988="","",IF($G988&lt;&gt;"","Pago",IF($F988="","Pendente",IF('Config'!$C$9&gt;$F988,"Atrasado","Pendente"))))</f>
        <v/>
      </c>
      <c r="J988" s="126">
        <f>IF($I988="Atrasado",'Config'!$C$9-$F988,"")</f>
        <v/>
      </c>
      <c r="K988" s="127">
        <f>IF(AND($E988&lt;&gt;"",$G988=""),$E988,0)</f>
        <v>0</v>
      </c>
      <c r="L988" s="127">
        <f>IF($I988="Atrasado",$E988,0)</f>
        <v>0</v>
      </c>
      <c r="M988" s="128">
        <f>IF($I988="Atrasado",$J988+ROW()/1000000,0)</f>
        <v>0</v>
      </c>
    </row>
    <row r="989" spans="9:13" ht="16.5" customHeight="1">
      <c r="I989" s="66">
        <f>IF($E989="","",IF($G989&lt;&gt;"","Pago",IF($F989="","Pendente",IF('Config'!$C$9&gt;$F989,"Atrasado","Pendente"))))</f>
        <v/>
      </c>
      <c r="J989" s="126">
        <f>IF($I989="Atrasado",'Config'!$C$9-$F989,"")</f>
        <v/>
      </c>
      <c r="K989" s="127">
        <f>IF(AND($E989&lt;&gt;"",$G989=""),$E989,0)</f>
        <v>0</v>
      </c>
      <c r="L989" s="127">
        <f>IF($I989="Atrasado",$E989,0)</f>
        <v>0</v>
      </c>
      <c r="M989" s="128">
        <f>IF($I989="Atrasado",$J989+ROW()/1000000,0)</f>
        <v>0</v>
      </c>
    </row>
    <row r="990" spans="9:13" ht="16.5" customHeight="1">
      <c r="I990" s="66">
        <f>IF($E990="","",IF($G990&lt;&gt;"","Pago",IF($F990="","Pendente",IF('Config'!$C$9&gt;$F990,"Atrasado","Pendente"))))</f>
        <v/>
      </c>
      <c r="J990" s="126">
        <f>IF($I990="Atrasado",'Config'!$C$9-$F990,"")</f>
        <v/>
      </c>
      <c r="K990" s="127">
        <f>IF(AND($E990&lt;&gt;"",$G990=""),$E990,0)</f>
        <v>0</v>
      </c>
      <c r="L990" s="127">
        <f>IF($I990="Atrasado",$E990,0)</f>
        <v>0</v>
      </c>
      <c r="M990" s="128">
        <f>IF($I990="Atrasado",$J990+ROW()/1000000,0)</f>
        <v>0</v>
      </c>
    </row>
    <row r="991" spans="9:13" ht="16.5" customHeight="1">
      <c r="I991" s="66">
        <f>IF($E991="","",IF($G991&lt;&gt;"","Pago",IF($F991="","Pendente",IF('Config'!$C$9&gt;$F991,"Atrasado","Pendente"))))</f>
        <v/>
      </c>
      <c r="J991" s="126">
        <f>IF($I991="Atrasado",'Config'!$C$9-$F991,"")</f>
        <v/>
      </c>
      <c r="K991" s="127">
        <f>IF(AND($E991&lt;&gt;"",$G991=""),$E991,0)</f>
        <v>0</v>
      </c>
      <c r="L991" s="127">
        <f>IF($I991="Atrasado",$E991,0)</f>
        <v>0</v>
      </c>
      <c r="M991" s="128">
        <f>IF($I991="Atrasado",$J991+ROW()/1000000,0)</f>
        <v>0</v>
      </c>
    </row>
    <row r="992" spans="9:13" ht="16.5" customHeight="1">
      <c r="I992" s="66">
        <f>IF($E992="","",IF($G992&lt;&gt;"","Pago",IF($F992="","Pendente",IF('Config'!$C$9&gt;$F992,"Atrasado","Pendente"))))</f>
        <v/>
      </c>
      <c r="J992" s="126">
        <f>IF($I992="Atrasado",'Config'!$C$9-$F992,"")</f>
        <v/>
      </c>
      <c r="K992" s="127">
        <f>IF(AND($E992&lt;&gt;"",$G992=""),$E992,0)</f>
        <v>0</v>
      </c>
      <c r="L992" s="127">
        <f>IF($I992="Atrasado",$E992,0)</f>
        <v>0</v>
      </c>
      <c r="M992" s="128">
        <f>IF($I992="Atrasado",$J992+ROW()/1000000,0)</f>
        <v>0</v>
      </c>
    </row>
    <row r="993" spans="9:13" ht="16.5" customHeight="1">
      <c r="I993" s="66">
        <f>IF($E993="","",IF($G993&lt;&gt;"","Pago",IF($F993="","Pendente",IF('Config'!$C$9&gt;$F993,"Atrasado","Pendente"))))</f>
        <v/>
      </c>
      <c r="J993" s="126">
        <f>IF($I993="Atrasado",'Config'!$C$9-$F993,"")</f>
        <v/>
      </c>
      <c r="K993" s="127">
        <f>IF(AND($E993&lt;&gt;"",$G993=""),$E993,0)</f>
        <v>0</v>
      </c>
      <c r="L993" s="127">
        <f>IF($I993="Atrasado",$E993,0)</f>
        <v>0</v>
      </c>
      <c r="M993" s="128">
        <f>IF($I993="Atrasado",$J993+ROW()/1000000,0)</f>
        <v>0</v>
      </c>
    </row>
    <row r="994" spans="9:13" ht="16.5" customHeight="1">
      <c r="I994" s="66">
        <f>IF($E994="","",IF($G994&lt;&gt;"","Pago",IF($F994="","Pendente",IF('Config'!$C$9&gt;$F994,"Atrasado","Pendente"))))</f>
        <v/>
      </c>
      <c r="J994" s="126">
        <f>IF($I994="Atrasado",'Config'!$C$9-$F994,"")</f>
        <v/>
      </c>
      <c r="K994" s="127">
        <f>IF(AND($E994&lt;&gt;"",$G994=""),$E994,0)</f>
        <v>0</v>
      </c>
      <c r="L994" s="127">
        <f>IF($I994="Atrasado",$E994,0)</f>
        <v>0</v>
      </c>
      <c r="M994" s="128">
        <f>IF($I994="Atrasado",$J994+ROW()/1000000,0)</f>
        <v>0</v>
      </c>
    </row>
    <row r="995" spans="9:13" ht="16.5" customHeight="1">
      <c r="I995" s="66">
        <f>IF($E995="","",IF($G995&lt;&gt;"","Pago",IF($F995="","Pendente",IF('Config'!$C$9&gt;$F995,"Atrasado","Pendente"))))</f>
        <v/>
      </c>
      <c r="J995" s="126">
        <f>IF($I995="Atrasado",'Config'!$C$9-$F995,"")</f>
        <v/>
      </c>
      <c r="K995" s="127">
        <f>IF(AND($E995&lt;&gt;"",$G995=""),$E995,0)</f>
        <v>0</v>
      </c>
      <c r="L995" s="127">
        <f>IF($I995="Atrasado",$E995,0)</f>
        <v>0</v>
      </c>
      <c r="M995" s="128">
        <f>IF($I995="Atrasado",$J995+ROW()/1000000,0)</f>
        <v>0</v>
      </c>
    </row>
    <row r="996" spans="9:13" ht="16.5" customHeight="1">
      <c r="I996" s="66">
        <f>IF($E996="","",IF($G996&lt;&gt;"","Pago",IF($F996="","Pendente",IF('Config'!$C$9&gt;$F996,"Atrasado","Pendente"))))</f>
        <v/>
      </c>
      <c r="J996" s="126">
        <f>IF($I996="Atrasado",'Config'!$C$9-$F996,"")</f>
        <v/>
      </c>
      <c r="K996" s="127">
        <f>IF(AND($E996&lt;&gt;"",$G996=""),$E996,0)</f>
        <v>0</v>
      </c>
      <c r="L996" s="127">
        <f>IF($I996="Atrasado",$E996,0)</f>
        <v>0</v>
      </c>
      <c r="M996" s="128">
        <f>IF($I996="Atrasado",$J996+ROW()/1000000,0)</f>
        <v>0</v>
      </c>
    </row>
    <row r="997" spans="9:13" ht="16.5" customHeight="1">
      <c r="I997" s="66">
        <f>IF($E997="","",IF($G997&lt;&gt;"","Pago",IF($F997="","Pendente",IF('Config'!$C$9&gt;$F997,"Atrasado","Pendente"))))</f>
        <v/>
      </c>
      <c r="J997" s="126">
        <f>IF($I997="Atrasado",'Config'!$C$9-$F997,"")</f>
        <v/>
      </c>
      <c r="K997" s="127">
        <f>IF(AND($E997&lt;&gt;"",$G997=""),$E997,0)</f>
        <v>0</v>
      </c>
      <c r="L997" s="127">
        <f>IF($I997="Atrasado",$E997,0)</f>
        <v>0</v>
      </c>
      <c r="M997" s="128">
        <f>IF($I997="Atrasado",$J997+ROW()/1000000,0)</f>
        <v>0</v>
      </c>
    </row>
    <row r="998" spans="9:13" ht="16.5" customHeight="1">
      <c r="I998" s="66">
        <f>IF($E998="","",IF($G998&lt;&gt;"","Pago",IF($F998="","Pendente",IF('Config'!$C$9&gt;$F998,"Atrasado","Pendente"))))</f>
        <v/>
      </c>
      <c r="J998" s="126">
        <f>IF($I998="Atrasado",'Config'!$C$9-$F998,"")</f>
        <v/>
      </c>
      <c r="K998" s="127">
        <f>IF(AND($E998&lt;&gt;"",$G998=""),$E998,0)</f>
        <v>0</v>
      </c>
      <c r="L998" s="127">
        <f>IF($I998="Atrasado",$E998,0)</f>
        <v>0</v>
      </c>
      <c r="M998" s="128">
        <f>IF($I998="Atrasado",$J998+ROW()/1000000,0)</f>
        <v>0</v>
      </c>
    </row>
    <row r="999" spans="9:13" ht="16.5" customHeight="1">
      <c r="I999" s="66">
        <f>IF($E999="","",IF($G999&lt;&gt;"","Pago",IF($F999="","Pendente",IF('Config'!$C$9&gt;$F999,"Atrasado","Pendente"))))</f>
        <v/>
      </c>
      <c r="J999" s="126">
        <f>IF($I999="Atrasado",'Config'!$C$9-$F999,"")</f>
        <v/>
      </c>
      <c r="K999" s="127">
        <f>IF(AND($E999&lt;&gt;"",$G999=""),$E999,0)</f>
        <v>0</v>
      </c>
      <c r="L999" s="127">
        <f>IF($I999="Atrasado",$E999,0)</f>
        <v>0</v>
      </c>
      <c r="M999" s="128">
        <f>IF($I999="Atrasado",$J999+ROW()/1000000,0)</f>
        <v>0</v>
      </c>
    </row>
    <row r="1000" spans="9:13" ht="16.5" customHeight="1">
      <c r="I1000" s="66">
        <f>IF($E1000="","",IF($G1000&lt;&gt;"","Pago",IF($F1000="","Pendente",IF('Config'!$C$9&gt;$F1000,"Atrasado","Pendente"))))</f>
        <v/>
      </c>
      <c r="J1000" s="126">
        <f>IF($I1000="Atrasado",'Config'!$C$9-$F1000,"")</f>
        <v/>
      </c>
      <c r="K1000" s="127">
        <f>IF(AND($E1000&lt;&gt;"",$G1000=""),$E1000,0)</f>
        <v>0</v>
      </c>
      <c r="L1000" s="127">
        <f>IF($I1000="Atrasado",$E1000,0)</f>
        <v>0</v>
      </c>
      <c r="M1000" s="128">
        <f>IF($I1000="Atrasado",$J1000+ROW()/1000000,0)</f>
        <v>0</v>
      </c>
    </row>
    <row r="1001" spans="9:13" ht="16.5" customHeight="1">
      <c r="I1001" s="66">
        <f>IF($E1001="","",IF($G1001&lt;&gt;"","Pago",IF($F1001="","Pendente",IF('Config'!$C$9&gt;$F1001,"Atrasado","Pendente"))))</f>
        <v/>
      </c>
      <c r="J1001" s="126">
        <f>IF($I1001="Atrasado",'Config'!$C$9-$F1001,"")</f>
        <v/>
      </c>
      <c r="K1001" s="127">
        <f>IF(AND($E1001&lt;&gt;"",$G1001=""),$E1001,0)</f>
        <v>0</v>
      </c>
      <c r="L1001" s="127">
        <f>IF($I1001="Atrasado",$E1001,0)</f>
        <v>0</v>
      </c>
      <c r="M1001" s="128">
        <f>IF($I1001="Atrasado",$J1001+ROW()/1000000,0)</f>
        <v>0</v>
      </c>
    </row>
    <row r="1002" spans="9:13" ht="16.5" customHeight="1">
      <c r="I1002" s="66">
        <f>IF($E1002="","",IF($G1002&lt;&gt;"","Pago",IF($F1002="","Pendente",IF('Config'!$C$9&gt;$F1002,"Atrasado","Pendente"))))</f>
        <v/>
      </c>
      <c r="J1002" s="126">
        <f>IF($I1002="Atrasado",'Config'!$C$9-$F1002,"")</f>
        <v/>
      </c>
      <c r="K1002" s="127">
        <f>IF(AND($E1002&lt;&gt;"",$G1002=""),$E1002,0)</f>
        <v>0</v>
      </c>
      <c r="L1002" s="127">
        <f>IF($I1002="Atrasado",$E1002,0)</f>
        <v>0</v>
      </c>
      <c r="M1002" s="128">
        <f>IF($I1002="Atrasado",$J1002+ROW()/1000000,0)</f>
        <v>0</v>
      </c>
    </row>
    <row r="1003" spans="9:13" ht="16.5" customHeight="1">
      <c r="I1003" s="66">
        <f>IF($E1003="","",IF($G1003&lt;&gt;"","Pago",IF($F1003="","Pendente",IF('Config'!$C$9&gt;$F1003,"Atrasado","Pendente"))))</f>
        <v/>
      </c>
      <c r="J1003" s="126">
        <f>IF($I1003="Atrasado",'Config'!$C$9-$F1003,"")</f>
        <v/>
      </c>
      <c r="K1003" s="127">
        <f>IF(AND($E1003&lt;&gt;"",$G1003=""),$E1003,0)</f>
        <v>0</v>
      </c>
      <c r="L1003" s="127">
        <f>IF($I1003="Atrasado",$E1003,0)</f>
        <v>0</v>
      </c>
      <c r="M1003" s="128">
        <f>IF($I1003="Atrasado",$J1003+ROW()/1000000,0)</f>
        <v>0</v>
      </c>
    </row>
    <row r="1004" spans="9:13" ht="16.5" customHeight="1">
      <c r="I1004" s="66">
        <f>IF($E1004="","",IF($G1004&lt;&gt;"","Pago",IF($F1004="","Pendente",IF('Config'!$C$9&gt;$F1004,"Atrasado","Pendente"))))</f>
        <v/>
      </c>
      <c r="J1004" s="126">
        <f>IF($I1004="Atrasado",'Config'!$C$9-$F1004,"")</f>
        <v/>
      </c>
      <c r="K1004" s="127">
        <f>IF(AND($E1004&lt;&gt;"",$G1004=""),$E1004,0)</f>
        <v>0</v>
      </c>
      <c r="L1004" s="127">
        <f>IF($I1004="Atrasado",$E1004,0)</f>
        <v>0</v>
      </c>
      <c r="M1004" s="128">
        <f>IF($I1004="Atrasado",$J1004+ROW()/1000000,0)</f>
        <v>0</v>
      </c>
    </row>
    <row r="1005" spans="9:13" ht="16.5" customHeight="1">
      <c r="I1005" s="66">
        <f>IF($E1005="","",IF($G1005&lt;&gt;"","Pago",IF($F1005="","Pendente",IF('Config'!$C$9&gt;$F1005,"Atrasado","Pendente"))))</f>
        <v/>
      </c>
      <c r="J1005" s="126">
        <f>IF($I1005="Atrasado",'Config'!$C$9-$F1005,"")</f>
        <v/>
      </c>
      <c r="K1005" s="127">
        <f>IF(AND($E1005&lt;&gt;"",$G1005=""),$E1005,0)</f>
        <v>0</v>
      </c>
      <c r="L1005" s="127">
        <f>IF($I1005="Atrasado",$E1005,0)</f>
        <v>0</v>
      </c>
      <c r="M1005" s="128">
        <f>IF($I1005="Atrasado",$J1005+ROW()/1000000,0)</f>
        <v>0</v>
      </c>
    </row>
    <row r="1006" spans="9:13" ht="16.5" customHeight="1">
      <c r="I1006" s="66">
        <f>IF($E1006="","",IF($G1006&lt;&gt;"","Pago",IF($F1006="","Pendente",IF('Config'!$C$9&gt;$F1006,"Atrasado","Pendente"))))</f>
        <v/>
      </c>
      <c r="J1006" s="126">
        <f>IF($I1006="Atrasado",'Config'!$C$9-$F1006,"")</f>
        <v/>
      </c>
      <c r="K1006" s="127">
        <f>IF(AND($E1006&lt;&gt;"",$G1006=""),$E1006,0)</f>
        <v>0</v>
      </c>
      <c r="L1006" s="127">
        <f>IF($I1006="Atrasado",$E1006,0)</f>
        <v>0</v>
      </c>
      <c r="M1006" s="128">
        <f>IF($I1006="Atrasado",$J1006+ROW()/1000000,0)</f>
        <v>0</v>
      </c>
    </row>
    <row r="1007" spans="9:13" ht="16.5" customHeight="1">
      <c r="I1007" s="66">
        <f>IF($E1007="","",IF($G1007&lt;&gt;"","Pago",IF($F1007="","Pendente",IF('Config'!$C$9&gt;$F1007,"Atrasado","Pendente"))))</f>
        <v/>
      </c>
      <c r="J1007" s="126">
        <f>IF($I1007="Atrasado",'Config'!$C$9-$F1007,"")</f>
        <v/>
      </c>
      <c r="K1007" s="127">
        <f>IF(AND($E1007&lt;&gt;"",$G1007=""),$E1007,0)</f>
        <v>0</v>
      </c>
      <c r="L1007" s="127">
        <f>IF($I1007="Atrasado",$E1007,0)</f>
        <v>0</v>
      </c>
      <c r="M1007" s="128">
        <f>IF($I1007="Atrasado",$J1007+ROW()/1000000,0)</f>
        <v>0</v>
      </c>
    </row>
    <row r="1008" spans="9:13" ht="16.5" customHeight="1">
      <c r="I1008" s="66">
        <f>IF($E1008="","",IF($G1008&lt;&gt;"","Pago",IF($F1008="","Pendente",IF('Config'!$C$9&gt;$F1008,"Atrasado","Pendente"))))</f>
        <v/>
      </c>
      <c r="J1008" s="126">
        <f>IF($I1008="Atrasado",'Config'!$C$9-$F1008,"")</f>
        <v/>
      </c>
      <c r="K1008" s="127">
        <f>IF(AND($E1008&lt;&gt;"",$G1008=""),$E1008,0)</f>
        <v>0</v>
      </c>
      <c r="L1008" s="127">
        <f>IF($I1008="Atrasado",$E1008,0)</f>
        <v>0</v>
      </c>
      <c r="M1008" s="128">
        <f>IF($I1008="Atrasado",$J1008+ROW()/1000000,0)</f>
        <v>0</v>
      </c>
    </row>
    <row r="1009" spans="9:13" ht="16.5" customHeight="1">
      <c r="I1009" s="66">
        <f>IF($E1009="","",IF($G1009&lt;&gt;"","Pago",IF($F1009="","Pendente",IF('Config'!$C$9&gt;$F1009,"Atrasado","Pendente"))))</f>
        <v/>
      </c>
      <c r="J1009" s="126">
        <f>IF($I1009="Atrasado",'Config'!$C$9-$F1009,"")</f>
        <v/>
      </c>
      <c r="K1009" s="127">
        <f>IF(AND($E1009&lt;&gt;"",$G1009=""),$E1009,0)</f>
        <v>0</v>
      </c>
      <c r="L1009" s="127">
        <f>IF($I1009="Atrasado",$E1009,0)</f>
        <v>0</v>
      </c>
      <c r="M1009" s="128">
        <f>IF($I1009="Atrasado",$J1009+ROW()/1000000,0)</f>
        <v>0</v>
      </c>
    </row>
    <row r="1010" spans="9:13" ht="16.5" customHeight="1">
      <c r="I1010" s="66">
        <f>IF($E1010="","",IF($G1010&lt;&gt;"","Pago",IF($F1010="","Pendente",IF('Config'!$C$9&gt;$F1010,"Atrasado","Pendente"))))</f>
        <v/>
      </c>
      <c r="J1010" s="126">
        <f>IF($I1010="Atrasado",'Config'!$C$9-$F1010,"")</f>
        <v/>
      </c>
      <c r="K1010" s="127">
        <f>IF(AND($E1010&lt;&gt;"",$G1010=""),$E1010,0)</f>
        <v>0</v>
      </c>
      <c r="L1010" s="127">
        <f>IF($I1010="Atrasado",$E1010,0)</f>
        <v>0</v>
      </c>
      <c r="M1010" s="128">
        <f>IF($I1010="Atrasado",$J1010+ROW()/1000000,0)</f>
        <v>0</v>
      </c>
    </row>
  </sheetData>
  <autoFilter ref="B10:M1010"/>
  <mergeCells count="21">
    <mergeCell ref="B1:C1"/>
    <mergeCell ref="E1:G1"/>
    <mergeCell ref="H1:J1"/>
    <mergeCell ref="K1:M1"/>
    <mergeCell ref="B2:C2"/>
    <mergeCell ref="E2:G2"/>
    <mergeCell ref="H2:J2"/>
    <mergeCell ref="K2:M2"/>
    <mergeCell ref="B3:C3"/>
    <mergeCell ref="E3:F3"/>
    <mergeCell ref="G3:H3"/>
    <mergeCell ref="I3:K3"/>
    <mergeCell ref="L3:M3"/>
    <mergeCell ref="B5:M5"/>
    <mergeCell ref="B6:M6"/>
    <mergeCell ref="B7:C7"/>
    <mergeCell ref="B8:C8"/>
    <mergeCell ref="E7:F7"/>
    <mergeCell ref="E8:F8"/>
    <mergeCell ref="G7:L7"/>
    <mergeCell ref="G8:L8"/>
  </mergeCells>
  <conditionalFormatting sqref="B11:M1010">
    <cfRule type="expression" dxfId="7" priority="6">
      <formula>MOD(ROW(),2)=0</formula>
    </cfRule>
    <cfRule type="expression" dxfId="8" priority="7">
      <formula>MOD(ROW(),2)=1</formula>
    </cfRule>
  </conditionalFormatting>
  <conditionalFormatting sqref="G8:L8">
    <cfRule type="beginsWith" dxfId="1" priority="1" operator="beginsWith" text="⚠">
      <formula>LEFT(G8,1)="⚠"</formula>
    </cfRule>
  </conditionalFormatting>
  <conditionalFormatting sqref="I11:I1010">
    <cfRule type="cellIs" dxfId="4" priority="2" operator="equal">
      <formula>"Pago"</formula>
    </cfRule>
    <cfRule type="cellIs" dxfId="5" priority="3" operator="equal">
      <formula>"Atrasado"</formula>
    </cfRule>
    <cfRule type="cellIs" dxfId="6" priority="4" operator="equal">
      <formula>"Pendente"</formula>
    </cfRule>
  </conditionalFormatting>
  <conditionalFormatting sqref="J11:J1010">
    <cfRule type="cellIs" dxfId="3" priority="5" operator="greaterThan">
      <formula>30</formula>
    </cfRule>
  </conditionalFormatting>
  <dataValidations count="6">
    <dataValidation type="date" allowBlank="1" showInputMessage="1" showErrorMessage="1" errorTitle="Data inválida" error="Use uma data válida, ex.: 15/03/2026." promptTitle="Data" prompt="Formato dd/mm/aaaa." sqref="B11:B1010">
      <formula1>36526</formula1>
      <formula2>73415</formula2>
    </dataValidation>
    <dataValidation type="date" allowBlank="1" showInputMessage="1" showErrorMessage="1" errorTitle="Data inválida" error="Use uma data válida, ex.: 15/03/2026." promptTitle="Data" prompt="Formato dd/mm/aaaa." sqref="F11:F1010">
      <formula1>36526</formula1>
      <formula2>73415</formula2>
    </dataValidation>
    <dataValidation type="date" allowBlank="1" showInputMessage="1" showErrorMessage="1" errorTitle="Data inválida" error="Use uma data válida, ex.: 15/03/2026." promptTitle="Data" prompt="Formato dd/mm/aaaa." sqref="G11:G1010">
      <formula1>36526</formula1>
      <formula2>73415</formula2>
    </dataValidation>
    <dataValidation type="list" allowBlank="1" showInputMessage="1" showErrorMessage="1" errorTitle="Cliente não cadastrado" error="Cadastre o cliente na aba Clientes primeiro." promptTitle="Cliente" prompt="Escolha na lista (cadastre na aba Clientes)." sqref="C11:C1010">
      <formula1>'Clientes'!$B$8:$B$37</formula1>
    </dataValidation>
    <dataValidation type="decimal" operator="greaterThan" allowBlank="1" showInputMessage="1" showErrorMessage="1" errorTitle="Valor inválido" error="Digite um número maior que zero." sqref="E11:E1010">
      <formula1>0</formula1>
    </dataValidation>
    <dataValidation type="list" allowBlank="1" showInputMessage="1" showErrorMessage="1" sqref="H11:H1010">
      <formula1>'Config'!$I$8:$I$15</formula1>
    </dataValidation>
  </dataValidations>
  <hyperlinks>
    <hyperlink ref="B1" location="'Início'!A1" display="🏠 Início"/>
    <hyperlink ref="D1" location="'Painel Geral'!A1" display="📊 Painel Geral"/>
    <hyperlink ref="E1" location="'Painel Pessoal'!A1" display="👤 Painel Pessoal"/>
    <hyperlink ref="H1" location="'Painel Negócio'!A1" display="💼 Painel Negócio"/>
    <hyperlink ref="K1" location="'Config'!A1" display="⚙ Config"/>
    <hyperlink ref="D2" location="'Lanç. Pessoal'!A1" display="📝 Lançamentos"/>
    <hyperlink ref="E2" location="'Orçamento Pessoal'!A1" display="💳 Orçamento"/>
    <hyperlink ref="H2" location="'Resumo Pessoal'!A1" display="📅 Resumo anual"/>
    <hyperlink ref="K2" location="'Metas'!A1" display="🎯 Metas"/>
    <hyperlink ref="D3" location="'Lanç. Negócio'!A1" display="📝 Lançamentos"/>
    <hyperlink ref="E3" location="'Clientes'!A1" display="🤝 Clientes"/>
    <hyperlink ref="G3" location="'Recebimentos'!A1" display="💰 Recebimentos"/>
    <hyperlink ref="I3" location="'Impostos'!A1" display="🧾 Impostos"/>
    <hyperlink ref="L3" location="'Fluxo de Caixa'!A1" display="📈 Fluxo de Caixa"/>
  </hyperlinks>
  <pageMargins left="0.4" right="0.4" top="0.5" bottom="0.5" header="0.3" footer="0.3"/>
  <pageSetup paperSize="9" fitToHeight="0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M35"/>
  <sheetViews>
    <sheetView showGridLines="0" workbookViewId="0"/>
  </sheetViews>
  <sheetFormatPr defaultRowHeight="16.5" customHeight="1"/>
  <cols>
    <col min="1" max="1" width="2.7109375" customWidth="1"/>
    <col min="2" max="2" width="14.7109375" customWidth="1"/>
    <col min="3" max="4" width="16.7109375" customWidth="1"/>
    <col min="5" max="5" width="13.7109375" customWidth="1"/>
    <col min="6" max="9" width="14.7109375" customWidth="1"/>
    <col min="10" max="10" width="13.7109375" customWidth="1"/>
    <col min="11" max="11" width="26.7109375" customWidth="1"/>
    <col min="12" max="13" width="16.7109375" customWidth="1"/>
  </cols>
  <sheetData>
    <row r="1" spans="2:13" ht="22" customHeight="1">
      <c r="B1" s="3" t="s">
        <v>0</v>
      </c>
      <c r="C1" s="3"/>
      <c r="D1" s="3" t="s">
        <v>1</v>
      </c>
      <c r="E1" s="3"/>
      <c r="F1" s="3"/>
      <c r="G1" s="3" t="s">
        <v>2</v>
      </c>
      <c r="H1" s="3"/>
      <c r="I1" s="3"/>
      <c r="J1" s="3" t="s">
        <v>3</v>
      </c>
      <c r="K1" s="3"/>
      <c r="L1" s="3" t="s">
        <v>4</v>
      </c>
      <c r="M1" s="3"/>
    </row>
    <row r="2" spans="2:13" ht="22" customHeight="1">
      <c r="B2" s="4" t="s">
        <v>5</v>
      </c>
      <c r="C2" s="4"/>
      <c r="D2" s="5" t="s">
        <v>6</v>
      </c>
      <c r="E2" s="5"/>
      <c r="F2" s="5"/>
      <c r="G2" s="5" t="s">
        <v>7</v>
      </c>
      <c r="H2" s="5"/>
      <c r="I2" s="5"/>
      <c r="J2" s="5" t="s">
        <v>8</v>
      </c>
      <c r="K2" s="5"/>
      <c r="L2" s="5" t="s">
        <v>9</v>
      </c>
      <c r="M2" s="5"/>
    </row>
    <row r="3" spans="2:13" ht="22" customHeight="1">
      <c r="B3" s="6" t="s">
        <v>10</v>
      </c>
      <c r="C3" s="6"/>
      <c r="D3" s="7" t="s">
        <v>6</v>
      </c>
      <c r="E3" s="7"/>
      <c r="F3" s="7" t="s">
        <v>11</v>
      </c>
      <c r="G3" s="7"/>
      <c r="H3" s="7" t="s">
        <v>12</v>
      </c>
      <c r="I3" s="7"/>
      <c r="J3" s="118" t="s">
        <v>13</v>
      </c>
      <c r="K3" s="118"/>
      <c r="L3" s="7" t="s">
        <v>14</v>
      </c>
      <c r="M3" s="7"/>
    </row>
    <row r="4" spans="2:13" ht="6" customHeight="1"/>
    <row r="5" spans="2:13" ht="38" customHeight="1">
      <c r="B5" s="54" t="s">
        <v>370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2:13" ht="20" customHeight="1">
      <c r="B6" s="68" t="s">
        <v>371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2:13" ht="16.5" customHeight="1">
      <c r="B7" s="57" t="s">
        <v>372</v>
      </c>
      <c r="C7" s="57"/>
      <c r="D7" s="57"/>
      <c r="E7" s="57"/>
      <c r="F7" s="57"/>
      <c r="H7" s="57" t="s">
        <v>393</v>
      </c>
      <c r="I7" s="57"/>
      <c r="J7" s="57"/>
      <c r="K7" s="57"/>
      <c r="L7" s="57"/>
      <c r="M7" s="57"/>
    </row>
    <row r="8" spans="2:13" ht="16.5" customHeight="1">
      <c r="B8" s="85" t="s">
        <v>373</v>
      </c>
      <c r="C8" s="85"/>
      <c r="D8" s="85"/>
      <c r="E8" s="131" t="s">
        <v>374</v>
      </c>
      <c r="F8" s="131"/>
      <c r="H8" s="85" t="s">
        <v>394</v>
      </c>
      <c r="I8" s="85"/>
      <c r="J8" s="85"/>
      <c r="K8" s="85"/>
      <c r="L8" s="132">
        <f>IF('Dados'!$C$10=0,0,INDEX($L$23:$L$34,'Dados'!$C$10))</f>
        <v>56508.59</v>
      </c>
      <c r="M8" s="132"/>
    </row>
    <row r="9" spans="2:13" ht="16.5" customHeight="1">
      <c r="B9" s="85" t="s">
        <v>375</v>
      </c>
      <c r="C9" s="85"/>
      <c r="D9" s="85"/>
      <c r="E9" s="131" t="s">
        <v>376</v>
      </c>
      <c r="F9" s="131"/>
      <c r="H9" s="85" t="s">
        <v>395</v>
      </c>
      <c r="I9" s="85"/>
      <c r="J9" s="85"/>
      <c r="K9" s="85"/>
      <c r="L9" s="132">
        <f>('Impostos'!$E$15/12*(13-'Impostos'!$E$16))</f>
        <v>81000</v>
      </c>
      <c r="M9" s="132"/>
    </row>
    <row r="10" spans="2:13" ht="16.5" customHeight="1">
      <c r="B10" s="85" t="s">
        <v>377</v>
      </c>
      <c r="C10" s="85"/>
      <c r="D10" s="85"/>
      <c r="E10" s="133">
        <v>1621</v>
      </c>
      <c r="F10" s="133"/>
      <c r="H10" s="85" t="s">
        <v>396</v>
      </c>
      <c r="I10" s="85"/>
      <c r="J10" s="85"/>
      <c r="K10" s="85"/>
      <c r="L10" s="134">
        <f>IF(('Impostos'!$E$15/12*(13-'Impostos'!$E$16))=0,0,IF('Dados'!$C$10=0,0,INDEX($L$23:$L$34,'Dados'!$C$10))/('Impostos'!$E$15/12*(13-'Impostos'!$E$16)))</f>
        <v>0.697636913580247</v>
      </c>
      <c r="M10" s="134"/>
    </row>
    <row r="11" spans="2:13" ht="16.5" customHeight="1">
      <c r="B11" s="85" t="s">
        <v>378</v>
      </c>
      <c r="C11" s="85"/>
      <c r="D11" s="85"/>
      <c r="E11" s="135">
        <v>0.05</v>
      </c>
      <c r="F11" s="135"/>
      <c r="H11" s="85" t="s">
        <v>397</v>
      </c>
      <c r="I11" s="85"/>
      <c r="J11" s="85"/>
      <c r="K11" s="85"/>
      <c r="L11" s="132">
        <f>IF('Dados'!$C$10=0,0,IF('Dados'!$C$10=0,0,INDEX($L$23:$L$34,'Dados'!$C$10))/MAX(1,'Dados'!$C$10-'Impostos'!$E$16+1)*(13-'Impostos'!$E$16))</f>
        <v>75344.7866666667</v>
      </c>
      <c r="M11" s="132"/>
    </row>
    <row r="12" spans="2:13" ht="16.5" customHeight="1">
      <c r="B12" s="85" t="s">
        <v>379</v>
      </c>
      <c r="C12" s="85"/>
      <c r="D12" s="85"/>
      <c r="E12" s="133">
        <v>1</v>
      </c>
      <c r="F12" s="133"/>
      <c r="H12" s="85" t="s">
        <v>398</v>
      </c>
      <c r="I12" s="85"/>
      <c r="J12" s="85"/>
      <c r="K12" s="85"/>
      <c r="L12" s="134">
        <f>IF(('Impostos'!$E$15/12*(13-'Impostos'!$E$16))=0,0,L11/('Impostos'!$E$15/12*(13-'Impostos'!$E$16)))</f>
        <v>0.930182551440329</v>
      </c>
      <c r="M12" s="134"/>
    </row>
    <row r="13" spans="2:13" ht="16.5" customHeight="1">
      <c r="B13" s="85" t="s">
        <v>380</v>
      </c>
      <c r="C13" s="85"/>
      <c r="D13" s="85"/>
      <c r="E13" s="133">
        <v>5</v>
      </c>
      <c r="F13" s="133"/>
      <c r="H13" s="136" t="str">
        <f>IF('Impostos'!$E$8&lt;&gt;"MEI","ℹ Limite do MEI não se aplica ao regime selecionado.",IF(IF('Dados'!$C$10=0,0,INDEX($L$23:$L$34,'Dados'!$C$10))&gt;('Impostos'!$E$15/12*(13-'Impostos'!$E$16)),"✖ Limite ultrapassado! Procure seu contador: o excesso pode exigir DAS complementar ou desenquadramento.",IF(L11&gt;('Impostos'!$E$15/12*(13-'Impostos'!$E$16)),"⚠ Pelo ritmo atual você ultrapassa o limite antes do fim do ano. Avalie com seu contador.",IF($L$10&gt;=0.8,"⚠ Atenção: mais de 80% do limite anual já foi utilizado.","✓ Dentro do limite anual do MEI."))))</f>
        <v>✓ Dentro do limite anual do MEI.</v>
      </c>
      <c r="I13" s="136"/>
      <c r="J13" s="136"/>
      <c r="K13" s="136"/>
      <c r="L13" s="136"/>
      <c r="M13" s="136"/>
    </row>
    <row r="14" spans="2:13" ht="16.5" customHeight="1">
      <c r="B14" s="85" t="s">
        <v>381</v>
      </c>
      <c r="C14" s="85"/>
      <c r="D14" s="85"/>
      <c r="E14" s="137">
        <v>0.06</v>
      </c>
      <c r="F14" s="137"/>
      <c r="H14" s="136"/>
      <c r="I14" s="136"/>
      <c r="J14" s="136"/>
      <c r="K14" s="136"/>
      <c r="L14" s="136"/>
      <c r="M14" s="136"/>
    </row>
    <row r="15" spans="2:13" ht="16.5" customHeight="1">
      <c r="B15" s="85" t="s">
        <v>382</v>
      </c>
      <c r="C15" s="85"/>
      <c r="D15" s="85"/>
      <c r="E15" s="133">
        <v>81000</v>
      </c>
      <c r="F15" s="133"/>
      <c r="H15" s="136"/>
      <c r="I15" s="136"/>
      <c r="J15" s="136"/>
      <c r="K15" s="136"/>
      <c r="L15" s="136"/>
      <c r="M15" s="136"/>
    </row>
    <row r="16" spans="2:13" ht="16.5" customHeight="1">
      <c r="B16" s="85" t="s">
        <v>383</v>
      </c>
      <c r="C16" s="85"/>
      <c r="D16" s="85"/>
      <c r="E16" s="138">
        <v>1</v>
      </c>
      <c r="F16" s="138"/>
      <c r="H16" s="109" t="s">
        <v>399</v>
      </c>
      <c r="I16" s="109"/>
      <c r="J16" s="109"/>
      <c r="K16" s="109"/>
      <c r="L16" s="109"/>
      <c r="M16" s="109"/>
    </row>
    <row r="17" spans="2:13" ht="16.5" customHeight="1">
      <c r="B17" s="139" t="s">
        <v>384</v>
      </c>
      <c r="C17" s="139"/>
      <c r="D17" s="139"/>
      <c r="E17" s="140">
        <f>'Impostos'!$E$10*'Impostos'!$E$11+IF(OR('Impostos'!$E$9="Comércio e indústria",'Impostos'!$E$9="Comércio e serviços"),'Impostos'!$E$12,0)+IF(OR('Impostos'!$E$9="Serviços",'Impostos'!$E$9="Comércio e serviços"),'Impostos'!$E$13,0)</f>
        <v>86.05</v>
      </c>
      <c r="F17" s="140"/>
      <c r="H17" s="109" t="s">
        <v>400</v>
      </c>
      <c r="I17" s="109"/>
      <c r="J17" s="109"/>
      <c r="K17" s="109"/>
      <c r="L17" s="109"/>
      <c r="M17" s="109"/>
    </row>
    <row r="18" spans="2:13" ht="16.5" customHeight="1">
      <c r="B18" s="141" t="s">
        <v>385</v>
      </c>
      <c r="C18" s="141"/>
      <c r="D18" s="141"/>
      <c r="E18" s="141"/>
      <c r="F18" s="141"/>
    </row>
    <row r="19" spans="2:13" ht="16.5" customHeight="1">
      <c r="B19" s="141"/>
      <c r="C19" s="141"/>
      <c r="D19" s="141"/>
      <c r="E19" s="141"/>
      <c r="F19" s="141"/>
    </row>
    <row r="20" spans="2:13" ht="16.5" customHeight="1">
      <c r="B20" s="141"/>
      <c r="C20" s="141"/>
      <c r="D20" s="141"/>
      <c r="E20" s="141"/>
      <c r="F20" s="141"/>
    </row>
    <row r="21" spans="2:13" ht="16.5" customHeight="1">
      <c r="B21" s="141"/>
      <c r="C21" s="141"/>
      <c r="D21" s="141"/>
      <c r="E21" s="141"/>
      <c r="F21" s="141"/>
    </row>
    <row r="22" spans="2:13" ht="32" customHeight="1">
      <c r="B22" s="120" t="s">
        <v>386</v>
      </c>
      <c r="C22" s="120" t="s">
        <v>387</v>
      </c>
      <c r="D22" s="120" t="s">
        <v>388</v>
      </c>
      <c r="E22" s="120" t="s">
        <v>321</v>
      </c>
      <c r="F22" s="120" t="s">
        <v>322</v>
      </c>
      <c r="G22" s="120" t="s">
        <v>389</v>
      </c>
      <c r="H22" s="120" t="s">
        <v>390</v>
      </c>
      <c r="I22" s="120" t="s">
        <v>324</v>
      </c>
      <c r="J22" s="120" t="s">
        <v>326</v>
      </c>
      <c r="K22" s="120" t="s">
        <v>149</v>
      </c>
      <c r="L22" s="120" t="s">
        <v>391</v>
      </c>
      <c r="M22" s="120" t="s">
        <v>392</v>
      </c>
    </row>
    <row r="23" spans="2:13" ht="16.5" customHeight="1">
      <c r="B23" s="142">
        <f>DATE('Config'!$C$8,1,1)</f>
        <v>46023.0</v>
      </c>
      <c r="C23" s="95">
        <f>SUMIFS('Recebimentos'!$E$11:$E$1010,'Recebimentos'!$G$11:$G$1010,"&gt;="&amp;$B23,'Recebimentos'!$G$11:$G$1010,"&lt;"&amp;EDATE($B23,1))+IF('Config'!$N$8="",0,SUMIFS('Lanç. Negócio'!$F$11:$F$1510,'Lanç. Negócio'!$D$11:$D$1510,'Config'!$N$8,'Lanç. Negócio'!$B$11:$B$1510,"&gt;="&amp;$B23,'Lanç. Negócio'!$B$11:$B$1510,"&lt;"&amp;EDATE($B23,1)))</f>
        <v>3300</v>
      </c>
      <c r="D23" s="96">
        <f>IF($B23&lt;DATE('Config'!$C$8,'Impostos'!$E$16,1),0,IF('Impostos'!$E$8="MEI",'Impostos'!$E$17,ROUND($C23*'Impostos'!$E$14,2)))</f>
        <v>86.05</v>
      </c>
      <c r="E23" s="143">
        <f>DATE(YEAR($B23),MONTH($B23)+1,20)</f>
        <v>46073.0</v>
      </c>
      <c r="F23" s="111">
        <v>46072</v>
      </c>
      <c r="G23" s="80"/>
      <c r="H23" s="95">
        <f>IF($F23="",0,IF($G23="",$D23,$G23))</f>
        <v>86.05</v>
      </c>
      <c r="I23" s="84" t="str">
        <f>IF($D23=0,"—",IF($F23&lt;&gt;"","Pago",IF('Config'!$C$9&gt;$E23,"Atrasado",IF($B23&gt;'Config'!$C$9,"Futuro","A pagar"))))</f>
        <v>Pago</v>
      </c>
      <c r="J23" s="97">
        <f>IF(AND($D23&gt;0,$F23=""),$D23,0)</f>
        <v>0</v>
      </c>
      <c r="K23" s="110"/>
      <c r="L23" s="97">
        <f>SUM($C$23:C23)</f>
        <v>3300</v>
      </c>
      <c r="M23" s="97">
        <f>'Impostos'!$E$15/12*(13-'Impostos'!$E$16)</f>
        <v>81000</v>
      </c>
    </row>
    <row r="24" spans="2:13" ht="16.5" customHeight="1">
      <c r="B24" s="142">
        <f>DATE('Config'!$C$8,2,1)</f>
        <v>46054.0</v>
      </c>
      <c r="C24" s="95">
        <f>SUMIFS('Recebimentos'!$E$11:$E$1010,'Recebimentos'!$G$11:$G$1010,"&gt;="&amp;$B24,'Recebimentos'!$G$11:$G$1010,"&lt;"&amp;EDATE($B24,1))+IF('Config'!$N$8="",0,SUMIFS('Lanç. Negócio'!$F$11:$F$1510,'Lanç. Negócio'!$D$11:$D$1510,'Config'!$N$8,'Lanç. Negócio'!$B$11:$B$1510,"&gt;="&amp;$B24,'Lanç. Negócio'!$B$11:$B$1510,"&lt;"&amp;EDATE($B24,1)))</f>
        <v>6838.99</v>
      </c>
      <c r="D24" s="96">
        <f>IF($B24&lt;DATE('Config'!$C$8,'Impostos'!$E$16,1),0,IF('Impostos'!$E$8="MEI",'Impostos'!$E$17,ROUND($C24*'Impostos'!$E$14,2)))</f>
        <v>86.05</v>
      </c>
      <c r="E24" s="143">
        <f>DATE(YEAR($B24),MONTH($B24)+1,20)</f>
        <v>46101.0</v>
      </c>
      <c r="F24" s="111">
        <v>46099</v>
      </c>
      <c r="G24" s="80"/>
      <c r="H24" s="95">
        <f>IF($F24="",0,IF($G24="",$D24,$G24))</f>
        <v>86.05</v>
      </c>
      <c r="I24" s="84" t="str">
        <f>IF($D24=0,"—",IF($F24&lt;&gt;"","Pago",IF('Config'!$C$9&gt;$E24,"Atrasado",IF($B24&gt;'Config'!$C$9,"Futuro","A pagar"))))</f>
        <v>Pago</v>
      </c>
      <c r="J24" s="97">
        <f>IF(AND($D24&gt;0,$F24=""),$D24,0)</f>
        <v>0</v>
      </c>
      <c r="K24" s="110"/>
      <c r="L24" s="97">
        <f>SUM($C$23:C24)</f>
        <v>10138.99</v>
      </c>
      <c r="M24" s="97">
        <f>'Impostos'!$E$15/12*(13-'Impostos'!$E$16)</f>
        <v>81000</v>
      </c>
    </row>
    <row r="25" spans="2:13" ht="16.5" customHeight="1">
      <c r="B25" s="142">
        <f>DATE('Config'!$C$8,3,1)</f>
        <v>46082.0</v>
      </c>
      <c r="C25" s="95">
        <f>SUMIFS('Recebimentos'!$E$11:$E$1010,'Recebimentos'!$G$11:$G$1010,"&gt;="&amp;$B25,'Recebimentos'!$G$11:$G$1010,"&lt;"&amp;EDATE($B25,1))+IF('Config'!$N$8="",0,SUMIFS('Lanç. Negócio'!$F$11:$F$1510,'Lanç. Negócio'!$D$11:$D$1510,'Config'!$N$8,'Lanç. Negócio'!$B$11:$B$1510,"&gt;="&amp;$B25,'Lanç. Negócio'!$B$11:$B$1510,"&lt;"&amp;EDATE($B25,1)))</f>
        <v>6580</v>
      </c>
      <c r="D25" s="96">
        <f>IF($B25&lt;DATE('Config'!$C$8,'Impostos'!$E$16,1),0,IF('Impostos'!$E$8="MEI",'Impostos'!$E$17,ROUND($C25*'Impostos'!$E$14,2)))</f>
        <v>86.05</v>
      </c>
      <c r="E25" s="143">
        <f>DATE(YEAR($B25),MONTH($B25)+1,20)</f>
        <v>46132.0</v>
      </c>
      <c r="F25" s="111">
        <v>46130</v>
      </c>
      <c r="G25" s="80"/>
      <c r="H25" s="95">
        <f>IF($F25="",0,IF($G25="",$D25,$G25))</f>
        <v>86.05</v>
      </c>
      <c r="I25" s="84" t="str">
        <f>IF($D25=0,"—",IF($F25&lt;&gt;"","Pago",IF('Config'!$C$9&gt;$E25,"Atrasado",IF($B25&gt;'Config'!$C$9,"Futuro","A pagar"))))</f>
        <v>Pago</v>
      </c>
      <c r="J25" s="97">
        <f>IF(AND($D25&gt;0,$F25=""),$D25,0)</f>
        <v>0</v>
      </c>
      <c r="K25" s="110"/>
      <c r="L25" s="97">
        <f>SUM($C$23:C25)</f>
        <v>16718.99</v>
      </c>
      <c r="M25" s="97">
        <f>'Impostos'!$E$15/12*(13-'Impostos'!$E$16)</f>
        <v>81000</v>
      </c>
    </row>
    <row r="26" spans="2:13" ht="16.5" customHeight="1">
      <c r="B26" s="142">
        <f>DATE('Config'!$C$8,4,1)</f>
        <v>46113.0</v>
      </c>
      <c r="C26" s="95">
        <f>SUMIFS('Recebimentos'!$E$11:$E$1010,'Recebimentos'!$G$11:$G$1010,"&gt;="&amp;$B26,'Recebimentos'!$G$11:$G$1010,"&lt;"&amp;EDATE($B26,1))+IF('Config'!$N$8="",0,SUMIFS('Lanç. Negócio'!$F$11:$F$1510,'Lanç. Negócio'!$D$11:$D$1510,'Config'!$N$8,'Lanç. Negócio'!$B$11:$B$1510,"&gt;="&amp;$B26,'Lanç. Negócio'!$B$11:$B$1510,"&lt;"&amp;EDATE($B26,1)))</f>
        <v>6350</v>
      </c>
      <c r="D26" s="96">
        <f>IF($B26&lt;DATE('Config'!$C$8,'Impostos'!$E$16,1),0,IF('Impostos'!$E$8="MEI",'Impostos'!$E$17,ROUND($C26*'Impostos'!$E$14,2)))</f>
        <v>86.05</v>
      </c>
      <c r="E26" s="143">
        <f>DATE(YEAR($B26),MONTH($B26)+1,20)</f>
        <v>46162.0</v>
      </c>
      <c r="F26" s="111">
        <v>46161</v>
      </c>
      <c r="G26" s="80"/>
      <c r="H26" s="95">
        <f>IF($F26="",0,IF($G26="",$D26,$G26))</f>
        <v>86.05</v>
      </c>
      <c r="I26" s="84" t="str">
        <f>IF($D26=0,"—",IF($F26&lt;&gt;"","Pago",IF('Config'!$C$9&gt;$E26,"Atrasado",IF($B26&gt;'Config'!$C$9,"Futuro","A pagar"))))</f>
        <v>Pago</v>
      </c>
      <c r="J26" s="97">
        <f>IF(AND($D26&gt;0,$F26=""),$D26,0)</f>
        <v>0</v>
      </c>
      <c r="K26" s="110"/>
      <c r="L26" s="97">
        <f>SUM($C$23:C26)</f>
        <v>23068.99</v>
      </c>
      <c r="M26" s="97">
        <f>'Impostos'!$E$15/12*(13-'Impostos'!$E$16)</f>
        <v>81000</v>
      </c>
    </row>
    <row r="27" spans="2:13" ht="16.5" customHeight="1">
      <c r="B27" s="142">
        <f>DATE('Config'!$C$8,5,1)</f>
        <v>46143.0</v>
      </c>
      <c r="C27" s="95">
        <f>SUMIFS('Recebimentos'!$E$11:$E$1010,'Recebimentos'!$G$11:$G$1010,"&gt;="&amp;$B27,'Recebimentos'!$G$11:$G$1010,"&lt;"&amp;EDATE($B27,1))+IF('Config'!$N$8="",0,SUMIFS('Lanç. Negócio'!$F$11:$F$1510,'Lanç. Negócio'!$D$11:$D$1510,'Config'!$N$8,'Lanç. Negócio'!$B$11:$B$1510,"&gt;="&amp;$B27,'Lanç. Negócio'!$B$11:$B$1510,"&lt;"&amp;EDATE($B27,1)))</f>
        <v>4900</v>
      </c>
      <c r="D27" s="96">
        <f>IF($B27&lt;DATE('Config'!$C$8,'Impostos'!$E$16,1),0,IF('Impostos'!$E$8="MEI",'Impostos'!$E$17,ROUND($C27*'Impostos'!$E$14,2)))</f>
        <v>86.05</v>
      </c>
      <c r="E27" s="143">
        <f>DATE(YEAR($B27),MONTH($B27)+1,20)</f>
        <v>46193.0</v>
      </c>
      <c r="F27" s="111">
        <v>46191</v>
      </c>
      <c r="G27" s="80"/>
      <c r="H27" s="95">
        <f>IF($F27="",0,IF($G27="",$D27,$G27))</f>
        <v>86.05</v>
      </c>
      <c r="I27" s="84" t="str">
        <f>IF($D27=0,"—",IF($F27&lt;&gt;"","Pago",IF('Config'!$C$9&gt;$E27,"Atrasado",IF($B27&gt;'Config'!$C$9,"Futuro","A pagar"))))</f>
        <v>Pago</v>
      </c>
      <c r="J27" s="97">
        <f>IF(AND($D27&gt;0,$F27=""),$D27,0)</f>
        <v>0</v>
      </c>
      <c r="K27" s="110"/>
      <c r="L27" s="97">
        <f>SUM($C$23:C27)</f>
        <v>27968.99</v>
      </c>
      <c r="M27" s="97">
        <f>'Impostos'!$E$15/12*(13-'Impostos'!$E$16)</f>
        <v>81000</v>
      </c>
    </row>
    <row r="28" spans="2:13" ht="16.5" customHeight="1">
      <c r="B28" s="142">
        <f>DATE('Config'!$C$8,6,1)</f>
        <v>46174.0</v>
      </c>
      <c r="C28" s="95">
        <f>SUMIFS('Recebimentos'!$E$11:$E$1010,'Recebimentos'!$G$11:$G$1010,"&gt;="&amp;$B28,'Recebimentos'!$G$11:$G$1010,"&lt;"&amp;EDATE($B28,1))+IF('Config'!$N$8="",0,SUMIFS('Lanç. Negócio'!$F$11:$F$1510,'Lanç. Negócio'!$D$11:$D$1510,'Config'!$N$8,'Lanç. Negócio'!$B$11:$B$1510,"&gt;="&amp;$B28,'Lanç. Negócio'!$B$11:$B$1510,"&lt;"&amp;EDATE($B28,1)))</f>
        <v>8722.76</v>
      </c>
      <c r="D28" s="96">
        <f>IF($B28&lt;DATE('Config'!$C$8,'Impostos'!$E$16,1),0,IF('Impostos'!$E$8="MEI",'Impostos'!$E$17,ROUND($C28*'Impostos'!$E$14,2)))</f>
        <v>86.05</v>
      </c>
      <c r="E28" s="143">
        <f>DATE(YEAR($B28),MONTH($B28)+1,20)</f>
        <v>46223.0</v>
      </c>
      <c r="F28" s="111">
        <v>46221</v>
      </c>
      <c r="G28" s="80"/>
      <c r="H28" s="95">
        <f>IF($F28="",0,IF($G28="",$D28,$G28))</f>
        <v>86.05</v>
      </c>
      <c r="I28" s="84" t="str">
        <f>IF($D28=0,"—",IF($F28&lt;&gt;"","Pago",IF('Config'!$C$9&gt;$E28,"Atrasado",IF($B28&gt;'Config'!$C$9,"Futuro","A pagar"))))</f>
        <v>Pago</v>
      </c>
      <c r="J28" s="97">
        <f>IF(AND($D28&gt;0,$F28=""),$D28,0)</f>
        <v>0</v>
      </c>
      <c r="K28" s="110"/>
      <c r="L28" s="97">
        <f>SUM($C$23:C28)</f>
        <v>36691.75</v>
      </c>
      <c r="M28" s="97">
        <f>'Impostos'!$E$15/12*(13-'Impostos'!$E$16)</f>
        <v>81000</v>
      </c>
    </row>
    <row r="29" spans="2:13" ht="16.5" customHeight="1">
      <c r="B29" s="142">
        <f>DATE('Config'!$C$8,7,1)</f>
        <v>46204.0</v>
      </c>
      <c r="C29" s="95">
        <f>SUMIFS('Recebimentos'!$E$11:$E$1010,'Recebimentos'!$G$11:$G$1010,"&gt;="&amp;$B29,'Recebimentos'!$G$11:$G$1010,"&lt;"&amp;EDATE($B29,1))+IF('Config'!$N$8="",0,SUMIFS('Lanç. Negócio'!$F$11:$F$1510,'Lanç. Negócio'!$D$11:$D$1510,'Config'!$N$8,'Lanç. Negócio'!$B$11:$B$1510,"&gt;="&amp;$B29,'Lanç. Negócio'!$B$11:$B$1510,"&lt;"&amp;EDATE($B29,1)))</f>
        <v>6250</v>
      </c>
      <c r="D29" s="96">
        <f>IF($B29&lt;DATE('Config'!$C$8,'Impostos'!$E$16,1),0,IF('Impostos'!$E$8="MEI",'Impostos'!$E$17,ROUND($C29*'Impostos'!$E$14,2)))</f>
        <v>86.05</v>
      </c>
      <c r="E29" s="143">
        <f>DATE(YEAR($B29),MONTH($B29)+1,20)</f>
        <v>46254.0</v>
      </c>
      <c r="F29" s="111">
        <v>46253</v>
      </c>
      <c r="G29" s="80"/>
      <c r="H29" s="95">
        <f>IF($F29="",0,IF($G29="",$D29,$G29))</f>
        <v>86.05</v>
      </c>
      <c r="I29" s="84" t="str">
        <f>IF($D29=0,"—",IF($F29&lt;&gt;"","Pago",IF('Config'!$C$9&gt;$E29,"Atrasado",IF($B29&gt;'Config'!$C$9,"Futuro","A pagar"))))</f>
        <v>Pago</v>
      </c>
      <c r="J29" s="97">
        <f>IF(AND($D29&gt;0,$F29=""),$D29,0)</f>
        <v>0</v>
      </c>
      <c r="K29" s="110"/>
      <c r="L29" s="97">
        <f>SUM($C$23:C29)</f>
        <v>42941.75</v>
      </c>
      <c r="M29" s="97">
        <f>'Impostos'!$E$15/12*(13-'Impostos'!$E$16)</f>
        <v>81000</v>
      </c>
    </row>
    <row r="30" spans="2:13" ht="16.5" customHeight="1">
      <c r="B30" s="142">
        <f>DATE('Config'!$C$8,8,1)</f>
        <v>46235.0</v>
      </c>
      <c r="C30" s="95">
        <f>SUMIFS('Recebimentos'!$E$11:$E$1010,'Recebimentos'!$G$11:$G$1010,"&gt;="&amp;$B30,'Recebimentos'!$G$11:$G$1010,"&lt;"&amp;EDATE($B30,1))+IF('Config'!$N$8="",0,SUMIFS('Lanç. Negócio'!$F$11:$F$1510,'Lanç. Negócio'!$D$11:$D$1510,'Config'!$N$8,'Lanç. Negócio'!$B$11:$B$1510,"&gt;="&amp;$B30,'Lanç. Negócio'!$B$11:$B$1510,"&lt;"&amp;EDATE($B30,1)))</f>
        <v>7300</v>
      </c>
      <c r="D30" s="96">
        <f>IF($B30&lt;DATE('Config'!$C$8,'Impostos'!$E$16,1),0,IF('Impostos'!$E$8="MEI",'Impostos'!$E$17,ROUND($C30*'Impostos'!$E$14,2)))</f>
        <v>86.05</v>
      </c>
      <c r="E30" s="143">
        <f>DATE(YEAR($B30),MONTH($B30)+1,20)</f>
        <v>46285.0</v>
      </c>
      <c r="F30" s="111">
        <v>46283</v>
      </c>
      <c r="G30" s="80"/>
      <c r="H30" s="95">
        <f>IF($F30="",0,IF($G30="",$D30,$G30))</f>
        <v>86.05</v>
      </c>
      <c r="I30" s="84" t="str">
        <f>IF($D30=0,"—",IF($F30&lt;&gt;"","Pago",IF('Config'!$C$9&gt;$E30,"Atrasado",IF($B30&gt;'Config'!$C$9,"Futuro","A pagar"))))</f>
        <v>Pago</v>
      </c>
      <c r="J30" s="97">
        <f>IF(AND($D30&gt;0,$F30=""),$D30,0)</f>
        <v>0</v>
      </c>
      <c r="K30" s="110"/>
      <c r="L30" s="97">
        <f>SUM($C$23:C30)</f>
        <v>50241.75</v>
      </c>
      <c r="M30" s="97">
        <f>'Impostos'!$E$15/12*(13-'Impostos'!$E$16)</f>
        <v>81000</v>
      </c>
    </row>
    <row r="31" spans="2:13" ht="16.5" customHeight="1">
      <c r="B31" s="142">
        <f>DATE('Config'!$C$8,9,1)</f>
        <v>46266.0</v>
      </c>
      <c r="C31" s="95">
        <f>SUMIFS('Recebimentos'!$E$11:$E$1010,'Recebimentos'!$G$11:$G$1010,"&gt;="&amp;$B31,'Recebimentos'!$G$11:$G$1010,"&lt;"&amp;EDATE($B31,1))+IF('Config'!$N$8="",0,SUMIFS('Lanç. Negócio'!$F$11:$F$1510,'Lanç. Negócio'!$D$11:$D$1510,'Config'!$N$8,'Lanç. Negócio'!$B$11:$B$1510,"&gt;="&amp;$B31,'Lanç. Negócio'!$B$11:$B$1510,"&lt;"&amp;EDATE($B31,1)))</f>
        <v>6266.84</v>
      </c>
      <c r="D31" s="96">
        <f>IF($B31&lt;DATE('Config'!$C$8,'Impostos'!$E$16,1),0,IF('Impostos'!$E$8="MEI",'Impostos'!$E$17,ROUND($C31*'Impostos'!$E$14,2)))</f>
        <v>86.05</v>
      </c>
      <c r="E31" s="143">
        <f>DATE(YEAR($B31),MONTH($B31)+1,20)</f>
        <v>46315.0</v>
      </c>
      <c r="F31" s="111"/>
      <c r="G31" s="80"/>
      <c r="H31" s="95">
        <f>IF($F31="",0,IF($G31="",$D31,$G31))</f>
        <v>0</v>
      </c>
      <c r="I31" s="84" t="str">
        <f>IF($D31=0,"—",IF($F31&lt;&gt;"","Pago",IF('Config'!$C$9&gt;$E31,"Atrasado",IF($B31&gt;'Config'!$C$9,"Futuro","A pagar"))))</f>
        <v>A pagar</v>
      </c>
      <c r="J31" s="97">
        <f>IF(AND($D31&gt;0,$F31=""),$D31,0)</f>
        <v>86.05</v>
      </c>
      <c r="K31" s="110"/>
      <c r="L31" s="97">
        <f>SUM($C$23:C31)</f>
        <v>56508.59</v>
      </c>
      <c r="M31" s="97">
        <f>'Impostos'!$E$15/12*(13-'Impostos'!$E$16)</f>
        <v>81000</v>
      </c>
    </row>
    <row r="32" spans="2:13" ht="16.5" customHeight="1">
      <c r="B32" s="142">
        <f>DATE('Config'!$C$8,10,1)</f>
        <v>46296.0</v>
      </c>
      <c r="C32" s="95">
        <f>SUMIFS('Recebimentos'!$E$11:$E$1010,'Recebimentos'!$G$11:$G$1010,"&gt;="&amp;$B32,'Recebimentos'!$G$11:$G$1010,"&lt;"&amp;EDATE($B32,1))+IF('Config'!$N$8="",0,SUMIFS('Lanç. Negócio'!$F$11:$F$1510,'Lanç. Negócio'!$D$11:$D$1510,'Config'!$N$8,'Lanç. Negócio'!$B$11:$B$1510,"&gt;="&amp;$B32,'Lanç. Negócio'!$B$11:$B$1510,"&lt;"&amp;EDATE($B32,1)))</f>
        <v>0</v>
      </c>
      <c r="D32" s="96">
        <f>IF($B32&lt;DATE('Config'!$C$8,'Impostos'!$E$16,1),0,IF('Impostos'!$E$8="MEI",'Impostos'!$E$17,ROUND($C32*'Impostos'!$E$14,2)))</f>
        <v>86.05</v>
      </c>
      <c r="E32" s="143">
        <f>DATE(YEAR($B32),MONTH($B32)+1,20)</f>
        <v>46346.0</v>
      </c>
      <c r="F32" s="111"/>
      <c r="G32" s="80"/>
      <c r="H32" s="95">
        <f>IF($F32="",0,IF($G32="",$D32,$G32))</f>
        <v>0</v>
      </c>
      <c r="I32" s="84" t="str">
        <f>IF($D32=0,"—",IF($F32&lt;&gt;"","Pago",IF('Config'!$C$9&gt;$E32,"Atrasado",IF($B32&gt;'Config'!$C$9,"Futuro","A pagar"))))</f>
        <v>Futuro</v>
      </c>
      <c r="J32" s="97">
        <f>IF(AND($D32&gt;0,$F32=""),$D32,0)</f>
        <v>86.05</v>
      </c>
      <c r="K32" s="110"/>
      <c r="L32" s="97">
        <f>SUM($C$23:C32)</f>
        <v>56508.59</v>
      </c>
      <c r="M32" s="97">
        <f>'Impostos'!$E$15/12*(13-'Impostos'!$E$16)</f>
        <v>81000</v>
      </c>
    </row>
    <row r="33" spans="2:13" ht="16.5" customHeight="1">
      <c r="B33" s="142">
        <f>DATE('Config'!$C$8,11,1)</f>
        <v>46327.0</v>
      </c>
      <c r="C33" s="95">
        <f>SUMIFS('Recebimentos'!$E$11:$E$1010,'Recebimentos'!$G$11:$G$1010,"&gt;="&amp;$B33,'Recebimentos'!$G$11:$G$1010,"&lt;"&amp;EDATE($B33,1))+IF('Config'!$N$8="",0,SUMIFS('Lanç. Negócio'!$F$11:$F$1510,'Lanç. Negócio'!$D$11:$D$1510,'Config'!$N$8,'Lanç. Negócio'!$B$11:$B$1510,"&gt;="&amp;$B33,'Lanç. Negócio'!$B$11:$B$1510,"&lt;"&amp;EDATE($B33,1)))</f>
        <v>0</v>
      </c>
      <c r="D33" s="96">
        <f>IF($B33&lt;DATE('Config'!$C$8,'Impostos'!$E$16,1),0,IF('Impostos'!$E$8="MEI",'Impostos'!$E$17,ROUND($C33*'Impostos'!$E$14,2)))</f>
        <v>86.05</v>
      </c>
      <c r="E33" s="143">
        <f>DATE(YEAR($B33),MONTH($B33)+1,20)</f>
        <v>46376.0</v>
      </c>
      <c r="F33" s="111"/>
      <c r="G33" s="80"/>
      <c r="H33" s="95">
        <f>IF($F33="",0,IF($G33="",$D33,$G33))</f>
        <v>0</v>
      </c>
      <c r="I33" s="84" t="str">
        <f>IF($D33=0,"—",IF($F33&lt;&gt;"","Pago",IF('Config'!$C$9&gt;$E33,"Atrasado",IF($B33&gt;'Config'!$C$9,"Futuro","A pagar"))))</f>
        <v>Futuro</v>
      </c>
      <c r="J33" s="97">
        <f>IF(AND($D33&gt;0,$F33=""),$D33,0)</f>
        <v>86.05</v>
      </c>
      <c r="K33" s="110"/>
      <c r="L33" s="97">
        <f>SUM($C$23:C33)</f>
        <v>56508.59</v>
      </c>
      <c r="M33" s="97">
        <f>'Impostos'!$E$15/12*(13-'Impostos'!$E$16)</f>
        <v>81000</v>
      </c>
    </row>
    <row r="34" spans="2:13" ht="16.5" customHeight="1">
      <c r="B34" s="142">
        <f>DATE('Config'!$C$8,12,1)</f>
        <v>46357.0</v>
      </c>
      <c r="C34" s="95">
        <f>SUMIFS('Recebimentos'!$E$11:$E$1010,'Recebimentos'!$G$11:$G$1010,"&gt;="&amp;$B34,'Recebimentos'!$G$11:$G$1010,"&lt;"&amp;EDATE($B34,1))+IF('Config'!$N$8="",0,SUMIFS('Lanç. Negócio'!$F$11:$F$1510,'Lanç. Negócio'!$D$11:$D$1510,'Config'!$N$8,'Lanç. Negócio'!$B$11:$B$1510,"&gt;="&amp;$B34,'Lanç. Negócio'!$B$11:$B$1510,"&lt;"&amp;EDATE($B34,1)))</f>
        <v>0</v>
      </c>
      <c r="D34" s="96">
        <f>IF($B34&lt;DATE('Config'!$C$8,'Impostos'!$E$16,1),0,IF('Impostos'!$E$8="MEI",'Impostos'!$E$17,ROUND($C34*'Impostos'!$E$14,2)))</f>
        <v>86.05</v>
      </c>
      <c r="E34" s="143">
        <f>DATE(YEAR($B34),MONTH($B34)+1,20)</f>
        <v>46407.0</v>
      </c>
      <c r="F34" s="111"/>
      <c r="G34" s="80"/>
      <c r="H34" s="95">
        <f>IF($F34="",0,IF($G34="",$D34,$G34))</f>
        <v>0</v>
      </c>
      <c r="I34" s="84" t="str">
        <f>IF($D34=0,"—",IF($F34&lt;&gt;"","Pago",IF('Config'!$C$9&gt;$E34,"Atrasado",IF($B34&gt;'Config'!$C$9,"Futuro","A pagar"))))</f>
        <v>Futuro</v>
      </c>
      <c r="J34" s="97">
        <f>IF(AND($D34&gt;0,$F34=""),$D34,0)</f>
        <v>86.05</v>
      </c>
      <c r="K34" s="110"/>
      <c r="L34" s="97">
        <f>SUM($C$23:C34)</f>
        <v>56508.59</v>
      </c>
      <c r="M34" s="97">
        <f>'Impostos'!$E$15/12*(13-'Impostos'!$E$16)</f>
        <v>81000</v>
      </c>
    </row>
    <row r="35" spans="2:13" ht="16.5" customHeight="1">
      <c r="B35" s="144" t="s">
        <v>314</v>
      </c>
      <c r="C35" s="122">
        <f>SUM(C23:C34)</f>
        <v>56508.59</v>
      </c>
      <c r="D35" s="122">
        <f>SUM(D23:D34)</f>
        <v>1032.6</v>
      </c>
      <c r="E35" s="122"/>
      <c r="F35" s="122"/>
      <c r="G35" s="122"/>
      <c r="H35" s="122">
        <f>SUM(H23:H34)</f>
        <v>688.4</v>
      </c>
      <c r="I35" s="122"/>
      <c r="J35" s="122">
        <f>SUM(J23:J34)</f>
        <v>344.2</v>
      </c>
      <c r="K35" s="122"/>
      <c r="L35" s="122"/>
      <c r="M35" s="122"/>
    </row>
  </sheetData>
  <mergeCells count="54">
    <mergeCell ref="B1:C1"/>
    <mergeCell ref="D1:F1"/>
    <mergeCell ref="G1:I1"/>
    <mergeCell ref="J1:K1"/>
    <mergeCell ref="L1:M1"/>
    <mergeCell ref="B2:C2"/>
    <mergeCell ref="D2:F2"/>
    <mergeCell ref="G2:I2"/>
    <mergeCell ref="J2:K2"/>
    <mergeCell ref="L2:M2"/>
    <mergeCell ref="B3:C3"/>
    <mergeCell ref="D3:E3"/>
    <mergeCell ref="F3:G3"/>
    <mergeCell ref="H3:I3"/>
    <mergeCell ref="J3:K3"/>
    <mergeCell ref="L3:M3"/>
    <mergeCell ref="B5:M5"/>
    <mergeCell ref="B6:M6"/>
    <mergeCell ref="B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F21"/>
    <mergeCell ref="H7:M7"/>
    <mergeCell ref="H8:K8"/>
    <mergeCell ref="L8:M8"/>
    <mergeCell ref="H9:K9"/>
    <mergeCell ref="L9:M9"/>
    <mergeCell ref="H10:K10"/>
    <mergeCell ref="L10:M10"/>
    <mergeCell ref="H11:K11"/>
    <mergeCell ref="L11:M11"/>
    <mergeCell ref="H12:K12"/>
    <mergeCell ref="L12:M12"/>
    <mergeCell ref="H13:M15"/>
    <mergeCell ref="H16:M16"/>
    <mergeCell ref="H17:M17"/>
  </mergeCells>
  <conditionalFormatting sqref="H13:M15">
    <cfRule type="beginsWith" dxfId="9" priority="6" operator="beginsWith" text="✖">
      <formula>LEFT(H13,1)="✖"</formula>
    </cfRule>
    <cfRule type="beginsWith" dxfId="14" priority="7" operator="beginsWith" text="⚠">
      <formula>LEFT(H13,1)="⚠"</formula>
    </cfRule>
    <cfRule type="beginsWith" dxfId="10" priority="8" operator="beginsWith" text="✓">
      <formula>LEFT(H13,1)="✓"</formula>
    </cfRule>
    <cfRule type="beginsWith" dxfId="15" priority="9" operator="beginsWith" text="ℹ">
      <formula>LEFT(H13,1)="ℹ"</formula>
    </cfRule>
  </conditionalFormatting>
  <conditionalFormatting sqref="I23:I34">
    <cfRule type="cellIs" dxfId="4" priority="1" operator="equal">
      <formula>"Pago"</formula>
    </cfRule>
    <cfRule type="cellIs" dxfId="5" priority="2" operator="equal">
      <formula>"Atrasado"</formula>
    </cfRule>
    <cfRule type="cellIs" dxfId="6" priority="3" operator="equal">
      <formula>"A pagar"</formula>
    </cfRule>
    <cfRule type="cellIs" dxfId="17" priority="4" operator="equal">
      <formula>"Futuro"</formula>
    </cfRule>
  </conditionalFormatting>
  <conditionalFormatting sqref="J23:J34">
    <cfRule type="cellIs" dxfId="16" priority="5" operator="greaterThan">
      <formula>0</formula>
    </cfRule>
  </conditionalFormatting>
  <dataValidations count="5">
    <dataValidation type="list" allowBlank="1" showInputMessage="1" showErrorMessage="1" error="Escolha uma opção da lista." sqref="E8">
      <formula1>"MEI,Simples Nacional,Outro regime"</formula1>
    </dataValidation>
    <dataValidation type="list" allowBlank="1" showInputMessage="1" showErrorMessage="1" error="Escolha uma opção da lista." sqref="E9">
      <formula1>"Comércio e indústria,Serviços,Comércio e serviços"</formula1>
    </dataValidation>
    <dataValidation type="whole" allowBlank="1" showInputMessage="1" showErrorMessage="1" error="Digite um mês de 1 a 12." sqref="E16">
      <formula1>1</formula1>
      <formula2>12</formula2>
    </dataValidation>
    <dataValidation type="date" allowBlank="1" showInputMessage="1" showErrorMessage="1" error="Use uma data válida." promptTitle="Pagamento" prompt="Preencha a data em que pagou o DAS." sqref="F23:F34">
      <formula1>36526</formula1>
      <formula2>73415</formula2>
    </dataValidation>
    <dataValidation type="decimal" operator="greaterThanOrEqual" allowBlank="1" showInputMessage="1" showErrorMessage="1" sqref="G23:G34">
      <formula1>0</formula1>
    </dataValidation>
  </dataValidations>
  <hyperlinks>
    <hyperlink ref="B1" location="'Início'!A1" display="🏠 Início"/>
    <hyperlink ref="D1" location="'Painel Geral'!A1" display="📊 Painel Geral"/>
    <hyperlink ref="G1" location="'Painel Pessoal'!A1" display="👤 Painel Pessoal"/>
    <hyperlink ref="J1" location="'Painel Negócio'!A1" display="💼 Painel Negócio"/>
    <hyperlink ref="L1" location="'Config'!A1" display="⚙ Config"/>
    <hyperlink ref="D2" location="'Lanç. Pessoal'!A1" display="📝 Lançamentos"/>
    <hyperlink ref="G2" location="'Orçamento Pessoal'!A1" display="💳 Orçamento"/>
    <hyperlink ref="J2" location="'Resumo Pessoal'!A1" display="📅 Resumo anual"/>
    <hyperlink ref="L2" location="'Metas'!A1" display="🎯 Metas"/>
    <hyperlink ref="D3" location="'Lanç. Negócio'!A1" display="📝 Lançamentos"/>
    <hyperlink ref="F3" location="'Clientes'!A1" display="🤝 Clientes"/>
    <hyperlink ref="H3" location="'Recebimentos'!A1" display="💰 Recebimentos"/>
    <hyperlink ref="J3" location="'Impostos'!A1" display="🧾 Impostos"/>
    <hyperlink ref="L3" location="'Fluxo de Caixa'!A1" display="📈 Fluxo de Caixa"/>
  </hyperlinks>
  <pageMargins left="0.4" right="0.4" top="0.5" bottom="0.5" header="0.3" footer="0.3"/>
  <pageSetup paperSize="9"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O80"/>
  <sheetViews>
    <sheetView showGridLines="0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/>
    </sheetView>
  </sheetViews>
  <sheetFormatPr defaultRowHeight="16.5" customHeight="1"/>
  <cols>
    <col min="1" max="1" width="2.7109375" customWidth="1"/>
    <col min="2" max="2" width="40.7109375" customWidth="1"/>
    <col min="3" max="14" width="13.28515625" customWidth="1"/>
    <col min="15" max="15" width="15.7109375" customWidth="1"/>
  </cols>
  <sheetData>
    <row r="1" spans="2:15" ht="22" customHeight="1">
      <c r="B1" s="3" t="s">
        <v>0</v>
      </c>
      <c r="C1" s="3" t="s">
        <v>1</v>
      </c>
      <c r="D1" s="3"/>
      <c r="E1" s="3"/>
      <c r="F1" s="3" t="s">
        <v>2</v>
      </c>
      <c r="G1" s="3"/>
      <c r="H1" s="3"/>
      <c r="I1" s="3" t="s">
        <v>3</v>
      </c>
      <c r="J1" s="3"/>
      <c r="K1" s="3"/>
      <c r="L1" s="3"/>
      <c r="M1" s="3" t="s">
        <v>4</v>
      </c>
      <c r="N1" s="3"/>
      <c r="O1" s="3"/>
    </row>
    <row r="2" spans="2:15" ht="22" customHeight="1">
      <c r="B2" s="4" t="s">
        <v>5</v>
      </c>
      <c r="C2" s="5" t="s">
        <v>6</v>
      </c>
      <c r="D2" s="5"/>
      <c r="E2" s="5"/>
      <c r="F2" s="5" t="s">
        <v>7</v>
      </c>
      <c r="G2" s="5"/>
      <c r="H2" s="5"/>
      <c r="I2" s="5" t="s">
        <v>8</v>
      </c>
      <c r="J2" s="5"/>
      <c r="K2" s="5"/>
      <c r="L2" s="5"/>
      <c r="M2" s="5" t="s">
        <v>9</v>
      </c>
      <c r="N2" s="5"/>
      <c r="O2" s="5"/>
    </row>
    <row r="3" spans="2:15" ht="22" customHeight="1">
      <c r="B3" s="6" t="s">
        <v>10</v>
      </c>
      <c r="C3" s="7" t="s">
        <v>6</v>
      </c>
      <c r="D3" s="7"/>
      <c r="E3" s="7" t="s">
        <v>11</v>
      </c>
      <c r="F3" s="7"/>
      <c r="G3" s="7"/>
      <c r="H3" s="7" t="s">
        <v>12</v>
      </c>
      <c r="I3" s="7"/>
      <c r="J3" s="7"/>
      <c r="K3" s="7" t="s">
        <v>13</v>
      </c>
      <c r="L3" s="7"/>
      <c r="M3" s="7"/>
      <c r="N3" s="118" t="s">
        <v>14</v>
      </c>
      <c r="O3" s="118"/>
    </row>
    <row r="4" spans="2:15" ht="6" customHeight="1"/>
    <row r="5" spans="2:15" ht="38" customHeight="1">
      <c r="B5" s="54" t="s">
        <v>401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</row>
    <row r="6" spans="2:15" ht="20" customHeight="1">
      <c r="B6" s="68" t="s">
        <v>402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2:15" ht="16.5" customHeight="1">
      <c r="B7" s="57" t="s">
        <v>403</v>
      </c>
      <c r="C7" s="57"/>
      <c r="D7" s="57"/>
    </row>
    <row r="8" spans="2:15" ht="16.5" customHeight="1">
      <c r="B8" s="85" t="s">
        <v>404</v>
      </c>
      <c r="C8" s="133">
        <v>4000</v>
      </c>
      <c r="D8" s="133"/>
    </row>
    <row r="9" spans="2:15" ht="16.5" customHeight="1">
      <c r="B9" s="85" t="s">
        <v>405</v>
      </c>
      <c r="C9" s="133">
        <v>4500</v>
      </c>
      <c r="D9" s="133"/>
    </row>
    <row r="10" spans="2:15" ht="16.5" customHeight="1">
      <c r="B10" s="85" t="s">
        <v>406</v>
      </c>
      <c r="C10" s="145">
        <f>IF('Dados'!$C$10=0,0,SUMPRODUCT((COLUMN($C$80:$N$80)-2&lt;='Dados'!$C$10)*$C$80:$N$80)/'Dados'!$C$10)</f>
        <v>1682.00111111111</v>
      </c>
      <c r="D10" s="145"/>
    </row>
    <row r="11" spans="2:15" ht="16.5" customHeight="1">
      <c r="B11" s="85" t="s">
        <v>407</v>
      </c>
      <c r="C11" s="146" t="str">
        <f>IF('Dados'!$C$10=0,"nenhum",INDEX('Config'!$K$8:$K$19,'Dados'!$C$10))</f>
        <v>Setembro</v>
      </c>
      <c r="D11" s="146"/>
    </row>
    <row r="12" spans="2:15" ht="16.5" customHeight="1">
      <c r="B12" s="85" t="s">
        <v>408</v>
      </c>
      <c r="C12" s="145">
        <f>IF('Dados'!$C$10=0,0,SUMPRODUCT((COLUMN($C$19:$N$19)-2&lt;='Dados'!$C$10)*($C$19:$N$19+$C$20:$N$20))/'Dados'!$C$10)</f>
        <v>6278.73222222222</v>
      </c>
      <c r="D12" s="145"/>
    </row>
    <row r="13" spans="2:15" ht="16.5" customHeight="1">
      <c r="B13" s="85" t="s">
        <v>409</v>
      </c>
      <c r="C13" s="135">
        <v>0.8</v>
      </c>
      <c r="D13" s="135"/>
    </row>
    <row r="15" spans="2:15" ht="16.5" hidden="1" customHeight="1">
      <c r="C15" s="93">
        <f>DATE('Config'!$C$8,1,1)</f>
        <v>46023.0</v>
      </c>
      <c r="D15" s="93">
        <f>DATE('Config'!$C$8,2,1)</f>
        <v>46054.0</v>
      </c>
      <c r="E15" s="93">
        <f>DATE('Config'!$C$8,3,1)</f>
        <v>46082.0</v>
      </c>
      <c r="F15" s="93">
        <f>DATE('Config'!$C$8,4,1)</f>
        <v>46113.0</v>
      </c>
      <c r="G15" s="93">
        <f>DATE('Config'!$C$8,5,1)</f>
        <v>46143.0</v>
      </c>
      <c r="H15" s="93">
        <f>DATE('Config'!$C$8,6,1)</f>
        <v>46174.0</v>
      </c>
      <c r="I15" s="93">
        <f>DATE('Config'!$C$8,7,1)</f>
        <v>46204.0</v>
      </c>
      <c r="J15" s="93">
        <f>DATE('Config'!$C$8,8,1)</f>
        <v>46235.0</v>
      </c>
      <c r="K15" s="93">
        <f>DATE('Config'!$C$8,9,1)</f>
        <v>46266.0</v>
      </c>
      <c r="L15" s="93">
        <f>DATE('Config'!$C$8,10,1)</f>
        <v>46296.0</v>
      </c>
      <c r="M15" s="93">
        <f>DATE('Config'!$C$8,11,1)</f>
        <v>46327.0</v>
      </c>
      <c r="N15" s="93">
        <f>DATE('Config'!$C$8,12,1)</f>
        <v>46357.0</v>
      </c>
    </row>
    <row r="16" spans="2:15" ht="24" customHeight="1">
      <c r="B16" s="121" t="s">
        <v>410</v>
      </c>
      <c r="C16" s="120" t="str">
        <f>INDEX('Config'!$L$8:$L$19,1)</f>
        <v>Jan</v>
      </c>
      <c r="D16" s="120" t="str">
        <f>INDEX('Config'!$L$8:$L$19,2)</f>
        <v>Fev</v>
      </c>
      <c r="E16" s="120" t="str">
        <f>INDEX('Config'!$L$8:$L$19,3)</f>
        <v>Mar</v>
      </c>
      <c r="F16" s="120" t="str">
        <f>INDEX('Config'!$L$8:$L$19,4)</f>
        <v>Abr</v>
      </c>
      <c r="G16" s="120" t="str">
        <f>INDEX('Config'!$L$8:$L$19,5)</f>
        <v>Mai</v>
      </c>
      <c r="H16" s="120" t="str">
        <f>INDEX('Config'!$L$8:$L$19,6)</f>
        <v>Jun</v>
      </c>
      <c r="I16" s="120" t="str">
        <f>INDEX('Config'!$L$8:$L$19,7)</f>
        <v>Jul</v>
      </c>
      <c r="J16" s="120" t="str">
        <f>INDEX('Config'!$L$8:$L$19,8)</f>
        <v>Ago</v>
      </c>
      <c r="K16" s="120" t="str">
        <f>INDEX('Config'!$L$8:$L$19,9)</f>
        <v>Set</v>
      </c>
      <c r="L16" s="120" t="str">
        <f>INDEX('Config'!$L$8:$L$19,10)</f>
        <v>Out</v>
      </c>
      <c r="M16" s="120" t="str">
        <f>INDEX('Config'!$L$8:$L$19,11)</f>
        <v>Nov</v>
      </c>
      <c r="N16" s="120" t="str">
        <f>INDEX('Config'!$L$8:$L$19,12)</f>
        <v>Dez</v>
      </c>
      <c r="O16" s="120" t="s">
        <v>411</v>
      </c>
    </row>
    <row r="17" spans="2:15" ht="16.5" customHeight="1">
      <c r="B17" s="147"/>
      <c r="C17" s="147" t="str">
        <f>IF(1&lt;='Dados'!$C$10,"REALIZADO","PROJETADO")</f>
        <v>REALIZADO</v>
      </c>
      <c r="D17" s="147" t="str">
        <f>IF(2&lt;='Dados'!$C$10,"REALIZADO","PROJETADO")</f>
        <v>REALIZADO</v>
      </c>
      <c r="E17" s="147" t="str">
        <f>IF(3&lt;='Dados'!$C$10,"REALIZADO","PROJETADO")</f>
        <v>REALIZADO</v>
      </c>
      <c r="F17" s="147" t="str">
        <f>IF(4&lt;='Dados'!$C$10,"REALIZADO","PROJETADO")</f>
        <v>REALIZADO</v>
      </c>
      <c r="G17" s="147" t="str">
        <f>IF(5&lt;='Dados'!$C$10,"REALIZADO","PROJETADO")</f>
        <v>REALIZADO</v>
      </c>
      <c r="H17" s="147" t="str">
        <f>IF(6&lt;='Dados'!$C$10,"REALIZADO","PROJETADO")</f>
        <v>REALIZADO</v>
      </c>
      <c r="I17" s="147" t="str">
        <f>IF(7&lt;='Dados'!$C$10,"REALIZADO","PROJETADO")</f>
        <v>REALIZADO</v>
      </c>
      <c r="J17" s="147" t="str">
        <f>IF(8&lt;='Dados'!$C$10,"REALIZADO","PROJETADO")</f>
        <v>REALIZADO</v>
      </c>
      <c r="K17" s="147" t="str">
        <f>IF(9&lt;='Dados'!$C$10,"REALIZADO","PROJETADO")</f>
        <v>REALIZADO</v>
      </c>
      <c r="L17" s="147" t="str">
        <f>IF(10&lt;='Dados'!$C$10,"REALIZADO","PROJETADO")</f>
        <v>PROJETADO</v>
      </c>
      <c r="M17" s="147" t="str">
        <f>IF(11&lt;='Dados'!$C$10,"REALIZADO","PROJETADO")</f>
        <v>PROJETADO</v>
      </c>
      <c r="N17" s="147" t="str">
        <f>IF(12&lt;='Dados'!$C$10,"REALIZADO","PROJETADO")</f>
        <v>PROJETADO</v>
      </c>
      <c r="O17" s="147"/>
    </row>
    <row r="18" spans="2:15" ht="16.5" customHeight="1">
      <c r="B18" s="85" t="s">
        <v>412</v>
      </c>
      <c r="C18" s="97">
        <f>'Fluxo de Caixa'!$C$8</f>
        <v>4000</v>
      </c>
      <c r="D18" s="97">
        <f>C29</f>
        <v>1220.81</v>
      </c>
      <c r="E18" s="97">
        <f>D29</f>
        <v>2113.33</v>
      </c>
      <c r="F18" s="97">
        <f>E29</f>
        <v>2264.85</v>
      </c>
      <c r="G18" s="97">
        <f>F29</f>
        <v>2373.63</v>
      </c>
      <c r="H18" s="97">
        <f>G29</f>
        <v>1475.8</v>
      </c>
      <c r="I18" s="97">
        <f>H29</f>
        <v>2876.95</v>
      </c>
      <c r="J18" s="97">
        <f>I29</f>
        <v>2697.06</v>
      </c>
      <c r="K18" s="97">
        <f>J29</f>
        <v>3971.5</v>
      </c>
      <c r="L18" s="97">
        <f>K29</f>
        <v>4182.18</v>
      </c>
      <c r="M18" s="97">
        <f>L29</f>
        <v>9667.11466666667</v>
      </c>
      <c r="N18" s="97">
        <f>M29</f>
        <v>8422.04933333334</v>
      </c>
      <c r="O18" s="97">
        <f>C18</f>
        <v>4000</v>
      </c>
    </row>
    <row r="19" spans="2:15" ht="16.5" customHeight="1">
      <c r="B19" s="85" t="s">
        <v>413</v>
      </c>
      <c r="C19" s="95">
        <f>IF(1&lt;='Dados'!$C$10,SUMIFS('Recebimentos'!$E$11:$E$1010,'Recebimentos'!$G$11:$G$1010,"&gt;="&amp;C$15,'Recebimentos'!$G$11:$G$1010,"&lt;"&amp;EDATE(C$15,1)),IF(1='Dados'!$C$10+1,SUMIFS('Recebimentos'!$K$11:$K$1010,'Recebimentos'!$F$11:$F$1010,"&lt;"&amp;EDATE(C$15,1)),SUMIFS('Recebimentos'!$K$11:$K$1010,'Recebimentos'!$F$11:$F$1010,"&gt;="&amp;C$15,'Recebimentos'!$F$11:$F$1010,"&lt;"&amp;EDATE(C$15,1))))</f>
        <v>3300</v>
      </c>
      <c r="D19" s="95">
        <f>IF(2&lt;='Dados'!$C$10,SUMIFS('Recebimentos'!$E$11:$E$1010,'Recebimentos'!$G$11:$G$1010,"&gt;="&amp;D$15,'Recebimentos'!$G$11:$G$1010,"&lt;"&amp;EDATE(D$15,1)),IF(2='Dados'!$C$10+1,SUMIFS('Recebimentos'!$K$11:$K$1010,'Recebimentos'!$F$11:$F$1010,"&lt;"&amp;EDATE(D$15,1)),SUMIFS('Recebimentos'!$K$11:$K$1010,'Recebimentos'!$F$11:$F$1010,"&gt;="&amp;D$15,'Recebimentos'!$F$11:$F$1010,"&lt;"&amp;EDATE(D$15,1))))</f>
        <v>6500</v>
      </c>
      <c r="E19" s="95">
        <f>IF(3&lt;='Dados'!$C$10,SUMIFS('Recebimentos'!$E$11:$E$1010,'Recebimentos'!$G$11:$G$1010,"&gt;="&amp;E$15,'Recebimentos'!$G$11:$G$1010,"&lt;"&amp;EDATE(E$15,1)),IF(3='Dados'!$C$10+1,SUMIFS('Recebimentos'!$K$11:$K$1010,'Recebimentos'!$F$11:$F$1010,"&lt;"&amp;EDATE(E$15,1)),SUMIFS('Recebimentos'!$K$11:$K$1010,'Recebimentos'!$F$11:$F$1010,"&gt;="&amp;E$15,'Recebimentos'!$F$11:$F$1010,"&lt;"&amp;EDATE(E$15,1))))</f>
        <v>6580</v>
      </c>
      <c r="F19" s="95">
        <f>IF(4&lt;='Dados'!$C$10,SUMIFS('Recebimentos'!$E$11:$E$1010,'Recebimentos'!$G$11:$G$1010,"&gt;="&amp;F$15,'Recebimentos'!$G$11:$G$1010,"&lt;"&amp;EDATE(F$15,1)),IF(4='Dados'!$C$10+1,SUMIFS('Recebimentos'!$K$11:$K$1010,'Recebimentos'!$F$11:$F$1010,"&lt;"&amp;EDATE(F$15,1)),SUMIFS('Recebimentos'!$K$11:$K$1010,'Recebimentos'!$F$11:$F$1010,"&gt;="&amp;F$15,'Recebimentos'!$F$11:$F$1010,"&lt;"&amp;EDATE(F$15,1))))</f>
        <v>6350</v>
      </c>
      <c r="G19" s="95">
        <f>IF(5&lt;='Dados'!$C$10,SUMIFS('Recebimentos'!$E$11:$E$1010,'Recebimentos'!$G$11:$G$1010,"&gt;="&amp;G$15,'Recebimentos'!$G$11:$G$1010,"&lt;"&amp;EDATE(G$15,1)),IF(5='Dados'!$C$10+1,SUMIFS('Recebimentos'!$K$11:$K$1010,'Recebimentos'!$F$11:$F$1010,"&lt;"&amp;EDATE(G$15,1)),SUMIFS('Recebimentos'!$K$11:$K$1010,'Recebimentos'!$F$11:$F$1010,"&gt;="&amp;G$15,'Recebimentos'!$F$11:$F$1010,"&lt;"&amp;EDATE(G$15,1))))</f>
        <v>4900</v>
      </c>
      <c r="H19" s="95">
        <f>IF(6&lt;='Dados'!$C$10,SUMIFS('Recebimentos'!$E$11:$E$1010,'Recebimentos'!$G$11:$G$1010,"&gt;="&amp;H$15,'Recebimentos'!$G$11:$G$1010,"&lt;"&amp;EDATE(H$15,1)),IF(6='Dados'!$C$10+1,SUMIFS('Recebimentos'!$K$11:$K$1010,'Recebimentos'!$F$11:$F$1010,"&lt;"&amp;EDATE(H$15,1)),SUMIFS('Recebimentos'!$K$11:$K$1010,'Recebimentos'!$F$11:$F$1010,"&gt;="&amp;H$15,'Recebimentos'!$F$11:$F$1010,"&lt;"&amp;EDATE(H$15,1))))</f>
        <v>8450</v>
      </c>
      <c r="I19" s="95">
        <f>IF(7&lt;='Dados'!$C$10,SUMIFS('Recebimentos'!$E$11:$E$1010,'Recebimentos'!$G$11:$G$1010,"&gt;="&amp;I$15,'Recebimentos'!$G$11:$G$1010,"&lt;"&amp;EDATE(I$15,1)),IF(7='Dados'!$C$10+1,SUMIFS('Recebimentos'!$K$11:$K$1010,'Recebimentos'!$F$11:$F$1010,"&lt;"&amp;EDATE(I$15,1)),SUMIFS('Recebimentos'!$K$11:$K$1010,'Recebimentos'!$F$11:$F$1010,"&gt;="&amp;I$15,'Recebimentos'!$F$11:$F$1010,"&lt;"&amp;EDATE(I$15,1))))</f>
        <v>6250</v>
      </c>
      <c r="J19" s="95">
        <f>IF(8&lt;='Dados'!$C$10,SUMIFS('Recebimentos'!$E$11:$E$1010,'Recebimentos'!$G$11:$G$1010,"&gt;="&amp;J$15,'Recebimentos'!$G$11:$G$1010,"&lt;"&amp;EDATE(J$15,1)),IF(8='Dados'!$C$10+1,SUMIFS('Recebimentos'!$K$11:$K$1010,'Recebimentos'!$F$11:$F$1010,"&lt;"&amp;EDATE(J$15,1)),SUMIFS('Recebimentos'!$K$11:$K$1010,'Recebimentos'!$F$11:$F$1010,"&gt;="&amp;J$15,'Recebimentos'!$F$11:$F$1010,"&lt;"&amp;EDATE(J$15,1))))</f>
        <v>7300</v>
      </c>
      <c r="K19" s="95">
        <f>IF(9&lt;='Dados'!$C$10,SUMIFS('Recebimentos'!$E$11:$E$1010,'Recebimentos'!$G$11:$G$1010,"&gt;="&amp;K$15,'Recebimentos'!$G$11:$G$1010,"&lt;"&amp;EDATE(K$15,1)),IF(9='Dados'!$C$10+1,SUMIFS('Recebimentos'!$K$11:$K$1010,'Recebimentos'!$F$11:$F$1010,"&lt;"&amp;EDATE(K$15,1)),SUMIFS('Recebimentos'!$K$11:$K$1010,'Recebimentos'!$F$11:$F$1010,"&gt;="&amp;K$15,'Recebimentos'!$F$11:$F$1010,"&lt;"&amp;EDATE(K$15,1))))</f>
        <v>5900</v>
      </c>
      <c r="L19" s="95">
        <f>IF(10&lt;='Dados'!$C$10,SUMIFS('Recebimentos'!$E$11:$E$1010,'Recebimentos'!$G$11:$G$1010,"&gt;="&amp;L$15,'Recebimentos'!$G$11:$G$1010,"&lt;"&amp;EDATE(L$15,1)),IF(10='Dados'!$C$10+1,SUMIFS('Recebimentos'!$K$11:$K$1010,'Recebimentos'!$F$11:$F$1010,"&lt;"&amp;EDATE(L$15,1)),SUMIFS('Recebimentos'!$K$11:$K$1010,'Recebimentos'!$F$11:$F$1010,"&gt;="&amp;L$15,'Recebimentos'!$F$11:$F$1010,"&lt;"&amp;EDATE(L$15,1))))</f>
        <v>6730</v>
      </c>
      <c r="M19" s="95">
        <f>IF(11&lt;='Dados'!$C$10,SUMIFS('Recebimentos'!$E$11:$E$1010,'Recebimentos'!$G$11:$G$1010,"&gt;="&amp;M$15,'Recebimentos'!$G$11:$G$1010,"&lt;"&amp;EDATE(M$15,1)),IF(11='Dados'!$C$10+1,SUMIFS('Recebimentos'!$K$11:$K$1010,'Recebimentos'!$F$11:$F$1010,"&lt;"&amp;EDATE(M$15,1)),SUMIFS('Recebimentos'!$K$11:$K$1010,'Recebimentos'!$F$11:$F$1010,"&gt;="&amp;M$15,'Recebimentos'!$F$11:$F$1010,"&lt;"&amp;EDATE(M$15,1))))</f>
        <v>0</v>
      </c>
      <c r="N19" s="95">
        <f>IF(12&lt;='Dados'!$C$10,SUMIFS('Recebimentos'!$E$11:$E$1010,'Recebimentos'!$G$11:$G$1010,"&gt;="&amp;N$15,'Recebimentos'!$G$11:$G$1010,"&lt;"&amp;EDATE(N$15,1)),IF(12='Dados'!$C$10+1,SUMIFS('Recebimentos'!$K$11:$K$1010,'Recebimentos'!$F$11:$F$1010,"&lt;"&amp;EDATE(N$15,1)),SUMIFS('Recebimentos'!$K$11:$K$1010,'Recebimentos'!$F$11:$F$1010,"&gt;="&amp;N$15,'Recebimentos'!$F$11:$F$1010,"&lt;"&amp;EDATE(N$15,1))))</f>
        <v>0</v>
      </c>
      <c r="O19" s="96">
        <f>SUM(C19:N19)</f>
        <v>62260</v>
      </c>
    </row>
    <row r="20" spans="2:15" ht="16.5" customHeight="1">
      <c r="B20" s="85" t="s">
        <v>414</v>
      </c>
      <c r="C20" s="95">
        <f>IF(1&lt;='Dados'!$C$10,C53,0)</f>
        <v>0</v>
      </c>
      <c r="D20" s="95">
        <f>IF(2&lt;='Dados'!$C$10,D53,0)</f>
        <v>338.99</v>
      </c>
      <c r="E20" s="95">
        <f>IF(3&lt;='Dados'!$C$10,E53,0)</f>
        <v>0</v>
      </c>
      <c r="F20" s="95">
        <f>IF(4&lt;='Dados'!$C$10,F53,0)</f>
        <v>0</v>
      </c>
      <c r="G20" s="95">
        <f>IF(5&lt;='Dados'!$C$10,G53,0)</f>
        <v>0</v>
      </c>
      <c r="H20" s="95">
        <f>IF(6&lt;='Dados'!$C$10,H53,0)</f>
        <v>272.76</v>
      </c>
      <c r="I20" s="95">
        <f>IF(7&lt;='Dados'!$C$10,I53,0)</f>
        <v>0</v>
      </c>
      <c r="J20" s="95">
        <f>IF(8&lt;='Dados'!$C$10,J53,0)</f>
        <v>0</v>
      </c>
      <c r="K20" s="95">
        <f>IF(9&lt;='Dados'!$C$10,K53,0)</f>
        <v>366.84</v>
      </c>
      <c r="L20" s="95">
        <f>IF(10&lt;='Dados'!$C$10,L53,0)</f>
        <v>0</v>
      </c>
      <c r="M20" s="95">
        <f>IF(11&lt;='Dados'!$C$10,M53,0)</f>
        <v>0</v>
      </c>
      <c r="N20" s="95">
        <f>IF(12&lt;='Dados'!$C$10,N53,0)</f>
        <v>0</v>
      </c>
      <c r="O20" s="96">
        <f>SUM(C20:N20)</f>
        <v>978.59</v>
      </c>
    </row>
    <row r="21" spans="2:15" ht="16.5" customHeight="1">
      <c r="B21" s="85" t="s">
        <v>415</v>
      </c>
      <c r="C21" s="95">
        <f>IF(1&lt;='Dados'!$C$10,SUM(C54:C60),0)</f>
        <v>0</v>
      </c>
      <c r="D21" s="95">
        <f>IF(2&lt;='Dados'!$C$10,SUM(D54:D60),0)</f>
        <v>0</v>
      </c>
      <c r="E21" s="95">
        <f>IF(3&lt;='Dados'!$C$10,SUM(E54:E60),0)</f>
        <v>0</v>
      </c>
      <c r="F21" s="95">
        <f>IF(4&lt;='Dados'!$C$10,SUM(F54:F60),0)</f>
        <v>0</v>
      </c>
      <c r="G21" s="95">
        <f>IF(5&lt;='Dados'!$C$10,SUM(G54:G60),0)</f>
        <v>0</v>
      </c>
      <c r="H21" s="95">
        <f>IF(6&lt;='Dados'!$C$10,SUM(H54:H60),0)</f>
        <v>0</v>
      </c>
      <c r="I21" s="95">
        <f>IF(7&lt;='Dados'!$C$10,SUM(I54:I60),0)</f>
        <v>0</v>
      </c>
      <c r="J21" s="95">
        <f>IF(8&lt;='Dados'!$C$10,SUM(J54:J60),0)</f>
        <v>0</v>
      </c>
      <c r="K21" s="95">
        <f>IF(9&lt;='Dados'!$C$10,SUM(K54:K60),0)</f>
        <v>0</v>
      </c>
      <c r="L21" s="95">
        <f>IF(10&lt;='Dados'!$C$10,SUM(L54:L60),0)</f>
        <v>0</v>
      </c>
      <c r="M21" s="95">
        <f>IF(11&lt;='Dados'!$C$10,SUM(M54:M60),0)</f>
        <v>0</v>
      </c>
      <c r="N21" s="95">
        <f>IF(12&lt;='Dados'!$C$10,SUM(N54:N60),0)</f>
        <v>0</v>
      </c>
      <c r="O21" s="96">
        <f>SUM(C21:N21)</f>
        <v>0</v>
      </c>
    </row>
    <row r="22" spans="2:15" ht="16.5" customHeight="1">
      <c r="B22" s="85" t="s">
        <v>416</v>
      </c>
      <c r="C22" s="95">
        <f>IF(1&lt;='Dados'!$C$10,0,'Fluxo de Caixa'!$C$12*'Fluxo de Caixa'!$C$13)</f>
        <v>0</v>
      </c>
      <c r="D22" s="95">
        <f>IF(2&lt;='Dados'!$C$10,0,'Fluxo de Caixa'!$C$12*'Fluxo de Caixa'!$C$13)</f>
        <v>0</v>
      </c>
      <c r="E22" s="95">
        <f>IF(3&lt;='Dados'!$C$10,0,'Fluxo de Caixa'!$C$12*'Fluxo de Caixa'!$C$13)</f>
        <v>0</v>
      </c>
      <c r="F22" s="95">
        <f>IF(4&lt;='Dados'!$C$10,0,'Fluxo de Caixa'!$C$12*'Fluxo de Caixa'!$C$13)</f>
        <v>0</v>
      </c>
      <c r="G22" s="95">
        <f>IF(5&lt;='Dados'!$C$10,0,'Fluxo de Caixa'!$C$12*'Fluxo de Caixa'!$C$13)</f>
        <v>0</v>
      </c>
      <c r="H22" s="95">
        <f>IF(6&lt;='Dados'!$C$10,0,'Fluxo de Caixa'!$C$12*'Fluxo de Caixa'!$C$13)</f>
        <v>0</v>
      </c>
      <c r="I22" s="95">
        <f>IF(7&lt;='Dados'!$C$10,0,'Fluxo de Caixa'!$C$12*'Fluxo de Caixa'!$C$13)</f>
        <v>0</v>
      </c>
      <c r="J22" s="95">
        <f>IF(8&lt;='Dados'!$C$10,0,'Fluxo de Caixa'!$C$12*'Fluxo de Caixa'!$C$13)</f>
        <v>0</v>
      </c>
      <c r="K22" s="95">
        <f>IF(9&lt;='Dados'!$C$10,0,'Fluxo de Caixa'!$C$12*'Fluxo de Caixa'!$C$13)</f>
        <v>0</v>
      </c>
      <c r="L22" s="95">
        <f>IF(10&lt;='Dados'!$C$10,0,'Fluxo de Caixa'!$C$12*'Fluxo de Caixa'!$C$13)</f>
        <v>5022.98577777778</v>
      </c>
      <c r="M22" s="95">
        <f>IF(11&lt;='Dados'!$C$10,0,'Fluxo de Caixa'!$C$12*'Fluxo de Caixa'!$C$13)</f>
        <v>5022.98577777778</v>
      </c>
      <c r="N22" s="95">
        <f>IF(12&lt;='Dados'!$C$10,0,'Fluxo de Caixa'!$C$12*'Fluxo de Caixa'!$C$13)</f>
        <v>5022.98577777778</v>
      </c>
      <c r="O22" s="96">
        <f>SUM(C22:N22)</f>
        <v>15068.9573333333</v>
      </c>
    </row>
    <row r="23" spans="2:15" ht="16.5" customHeight="1">
      <c r="B23" s="148" t="s">
        <v>417</v>
      </c>
      <c r="C23" s="149">
        <f>SUM(C19:C22)</f>
        <v>3300</v>
      </c>
      <c r="D23" s="149">
        <f>SUM(D19:D22)</f>
        <v>6838.99</v>
      </c>
      <c r="E23" s="149">
        <f>SUM(E19:E22)</f>
        <v>6580</v>
      </c>
      <c r="F23" s="149">
        <f>SUM(F19:F22)</f>
        <v>6350</v>
      </c>
      <c r="G23" s="149">
        <f>SUM(G19:G22)</f>
        <v>4900</v>
      </c>
      <c r="H23" s="149">
        <f>SUM(H19:H22)</f>
        <v>8722.76</v>
      </c>
      <c r="I23" s="149">
        <f>SUM(I19:I22)</f>
        <v>6250</v>
      </c>
      <c r="J23" s="149">
        <f>SUM(J19:J22)</f>
        <v>7300</v>
      </c>
      <c r="K23" s="149">
        <f>SUM(K19:K22)</f>
        <v>6266.84</v>
      </c>
      <c r="L23" s="149">
        <f>SUM(L19:L22)</f>
        <v>11752.9857777778</v>
      </c>
      <c r="M23" s="149">
        <f>SUM(M19:M22)</f>
        <v>5022.98577777778</v>
      </c>
      <c r="N23" s="149">
        <f>SUM(N19:N22)</f>
        <v>5022.98577777778</v>
      </c>
      <c r="O23" s="149">
        <f>SUM(C23:N23)</f>
        <v>78307.5473333333</v>
      </c>
    </row>
    <row r="24" spans="2:15" ht="16.5" customHeight="1">
      <c r="B24" s="85" t="s">
        <v>418</v>
      </c>
      <c r="C24" s="95">
        <f>IF(1&lt;='Dados'!$C$10,C80,'Fluxo de Caixa'!$C$10)</f>
        <v>1579.19</v>
      </c>
      <c r="D24" s="95">
        <f>IF(2&lt;='Dados'!$C$10,D80,'Fluxo de Caixa'!$C$10)</f>
        <v>1360.42</v>
      </c>
      <c r="E24" s="95">
        <f>IF(3&lt;='Dados'!$C$10,E80,'Fluxo de Caixa'!$C$10)</f>
        <v>1842.43</v>
      </c>
      <c r="F24" s="95">
        <f>IF(4&lt;='Dados'!$C$10,F80,'Fluxo de Caixa'!$C$10)</f>
        <v>1655.17</v>
      </c>
      <c r="G24" s="95">
        <f>IF(5&lt;='Dados'!$C$10,G80,'Fluxo de Caixa'!$C$10)</f>
        <v>1211.78</v>
      </c>
      <c r="H24" s="95">
        <f>IF(6&lt;='Dados'!$C$10,H80,'Fluxo de Caixa'!$C$10)</f>
        <v>2735.56</v>
      </c>
      <c r="I24" s="95">
        <f>IF(7&lt;='Dados'!$C$10,I80,'Fluxo de Caixa'!$C$10)</f>
        <v>1843.84</v>
      </c>
      <c r="J24" s="95">
        <f>IF(8&lt;='Dados'!$C$10,J80,'Fluxo de Caixa'!$C$10)</f>
        <v>1439.51</v>
      </c>
      <c r="K24" s="95">
        <f>IF(9&lt;='Dados'!$C$10,K80,'Fluxo de Caixa'!$C$10)</f>
        <v>1470.11</v>
      </c>
      <c r="L24" s="95">
        <f>IF(10&lt;='Dados'!$C$10,L80,'Fluxo de Caixa'!$C$10)</f>
        <v>1682.00111111111</v>
      </c>
      <c r="M24" s="95">
        <f>IF(11&lt;='Dados'!$C$10,M80,'Fluxo de Caixa'!$C$10)</f>
        <v>1682.00111111111</v>
      </c>
      <c r="N24" s="95">
        <f>IF(12&lt;='Dados'!$C$10,N80,'Fluxo de Caixa'!$C$10)</f>
        <v>1682.00111111111</v>
      </c>
      <c r="O24" s="96">
        <f>SUM(C24:N24)</f>
        <v>20184.0133333333</v>
      </c>
    </row>
    <row r="25" spans="2:15" ht="16.5" customHeight="1">
      <c r="B25" s="85" t="s">
        <v>419</v>
      </c>
      <c r="C25" s="95">
        <f>IF(1&lt;='Dados'!$C$10,SUMIFS('Impostos'!$H$23:$H$34,'Impostos'!$F$23:$F$34,"&gt;="&amp;C$15,'Impostos'!$F$23:$F$34,"&lt;"&amp;EDATE(C$15,1)),IF(1='Dados'!$C$10+1,SUMIFS('Impostos'!$J$23:$J$34,'Impostos'!$E$23:$E$34,"&lt;"&amp;EDATE(C$15,1)),SUMIFS('Impostos'!$J$23:$J$34,'Impostos'!$E$23:$E$34,"&gt;="&amp;C$15,'Impostos'!$E$23:$E$34,"&lt;"&amp;EDATE(C$15,1))))</f>
        <v>0</v>
      </c>
      <c r="D25" s="95">
        <f>IF(2&lt;='Dados'!$C$10,SUMIFS('Impostos'!$H$23:$H$34,'Impostos'!$F$23:$F$34,"&gt;="&amp;D$15,'Impostos'!$F$23:$F$34,"&lt;"&amp;EDATE(D$15,1)),IF(2='Dados'!$C$10+1,SUMIFS('Impostos'!$J$23:$J$34,'Impostos'!$E$23:$E$34,"&lt;"&amp;EDATE(D$15,1)),SUMIFS('Impostos'!$J$23:$J$34,'Impostos'!$E$23:$E$34,"&gt;="&amp;D$15,'Impostos'!$E$23:$E$34,"&lt;"&amp;EDATE(D$15,1))))</f>
        <v>86.05</v>
      </c>
      <c r="E25" s="95">
        <f>IF(3&lt;='Dados'!$C$10,SUMIFS('Impostos'!$H$23:$H$34,'Impostos'!$F$23:$F$34,"&gt;="&amp;E$15,'Impostos'!$F$23:$F$34,"&lt;"&amp;EDATE(E$15,1)),IF(3='Dados'!$C$10+1,SUMIFS('Impostos'!$J$23:$J$34,'Impostos'!$E$23:$E$34,"&lt;"&amp;EDATE(E$15,1)),SUMIFS('Impostos'!$J$23:$J$34,'Impostos'!$E$23:$E$34,"&gt;="&amp;E$15,'Impostos'!$E$23:$E$34,"&lt;"&amp;EDATE(E$15,1))))</f>
        <v>86.05</v>
      </c>
      <c r="F25" s="95">
        <f>IF(4&lt;='Dados'!$C$10,SUMIFS('Impostos'!$H$23:$H$34,'Impostos'!$F$23:$F$34,"&gt;="&amp;F$15,'Impostos'!$F$23:$F$34,"&lt;"&amp;EDATE(F$15,1)),IF(4='Dados'!$C$10+1,SUMIFS('Impostos'!$J$23:$J$34,'Impostos'!$E$23:$E$34,"&lt;"&amp;EDATE(F$15,1)),SUMIFS('Impostos'!$J$23:$J$34,'Impostos'!$E$23:$E$34,"&gt;="&amp;F$15,'Impostos'!$E$23:$E$34,"&lt;"&amp;EDATE(F$15,1))))</f>
        <v>86.05</v>
      </c>
      <c r="G25" s="95">
        <f>IF(5&lt;='Dados'!$C$10,SUMIFS('Impostos'!$H$23:$H$34,'Impostos'!$F$23:$F$34,"&gt;="&amp;G$15,'Impostos'!$F$23:$F$34,"&lt;"&amp;EDATE(G$15,1)),IF(5='Dados'!$C$10+1,SUMIFS('Impostos'!$J$23:$J$34,'Impostos'!$E$23:$E$34,"&lt;"&amp;EDATE(G$15,1)),SUMIFS('Impostos'!$J$23:$J$34,'Impostos'!$E$23:$E$34,"&gt;="&amp;G$15,'Impostos'!$E$23:$E$34,"&lt;"&amp;EDATE(G$15,1))))</f>
        <v>86.05</v>
      </c>
      <c r="H25" s="95">
        <f>IF(6&lt;='Dados'!$C$10,SUMIFS('Impostos'!$H$23:$H$34,'Impostos'!$F$23:$F$34,"&gt;="&amp;H$15,'Impostos'!$F$23:$F$34,"&lt;"&amp;EDATE(H$15,1)),IF(6='Dados'!$C$10+1,SUMIFS('Impostos'!$J$23:$J$34,'Impostos'!$E$23:$E$34,"&lt;"&amp;EDATE(H$15,1)),SUMIFS('Impostos'!$J$23:$J$34,'Impostos'!$E$23:$E$34,"&gt;="&amp;H$15,'Impostos'!$E$23:$E$34,"&lt;"&amp;EDATE(H$15,1))))</f>
        <v>86.05</v>
      </c>
      <c r="I25" s="95">
        <f>IF(7&lt;='Dados'!$C$10,SUMIFS('Impostos'!$H$23:$H$34,'Impostos'!$F$23:$F$34,"&gt;="&amp;I$15,'Impostos'!$F$23:$F$34,"&lt;"&amp;EDATE(I$15,1)),IF(7='Dados'!$C$10+1,SUMIFS('Impostos'!$J$23:$J$34,'Impostos'!$E$23:$E$34,"&lt;"&amp;EDATE(I$15,1)),SUMIFS('Impostos'!$J$23:$J$34,'Impostos'!$E$23:$E$34,"&gt;="&amp;I$15,'Impostos'!$E$23:$E$34,"&lt;"&amp;EDATE(I$15,1))))</f>
        <v>86.05</v>
      </c>
      <c r="J25" s="95">
        <f>IF(8&lt;='Dados'!$C$10,SUMIFS('Impostos'!$H$23:$H$34,'Impostos'!$F$23:$F$34,"&gt;="&amp;J$15,'Impostos'!$F$23:$F$34,"&lt;"&amp;EDATE(J$15,1)),IF(8='Dados'!$C$10+1,SUMIFS('Impostos'!$J$23:$J$34,'Impostos'!$E$23:$E$34,"&lt;"&amp;EDATE(J$15,1)),SUMIFS('Impostos'!$J$23:$J$34,'Impostos'!$E$23:$E$34,"&gt;="&amp;J$15,'Impostos'!$E$23:$E$34,"&lt;"&amp;EDATE(J$15,1))))</f>
        <v>86.05</v>
      </c>
      <c r="K25" s="95">
        <f>IF(9&lt;='Dados'!$C$10,SUMIFS('Impostos'!$H$23:$H$34,'Impostos'!$F$23:$F$34,"&gt;="&amp;K$15,'Impostos'!$F$23:$F$34,"&lt;"&amp;EDATE(K$15,1)),IF(9='Dados'!$C$10+1,SUMIFS('Impostos'!$J$23:$J$34,'Impostos'!$E$23:$E$34,"&lt;"&amp;EDATE(K$15,1)),SUMIFS('Impostos'!$J$23:$J$34,'Impostos'!$E$23:$E$34,"&gt;="&amp;K$15,'Impostos'!$E$23:$E$34,"&lt;"&amp;EDATE(K$15,1))))</f>
        <v>86.05</v>
      </c>
      <c r="L25" s="95">
        <f>IF(10&lt;='Dados'!$C$10,SUMIFS('Impostos'!$H$23:$H$34,'Impostos'!$F$23:$F$34,"&gt;="&amp;L$15,'Impostos'!$F$23:$F$34,"&lt;"&amp;EDATE(L$15,1)),IF(10='Dados'!$C$10+1,SUMIFS('Impostos'!$J$23:$J$34,'Impostos'!$E$23:$E$34,"&lt;"&amp;EDATE(L$15,1)),SUMIFS('Impostos'!$J$23:$J$34,'Impostos'!$E$23:$E$34,"&gt;="&amp;L$15,'Impostos'!$E$23:$E$34,"&lt;"&amp;EDATE(L$15,1))))</f>
        <v>86.05</v>
      </c>
      <c r="M25" s="95">
        <f>IF(11&lt;='Dados'!$C$10,SUMIFS('Impostos'!$H$23:$H$34,'Impostos'!$F$23:$F$34,"&gt;="&amp;M$15,'Impostos'!$F$23:$F$34,"&lt;"&amp;EDATE(M$15,1)),IF(11='Dados'!$C$10+1,SUMIFS('Impostos'!$J$23:$J$34,'Impostos'!$E$23:$E$34,"&lt;"&amp;EDATE(M$15,1)),SUMIFS('Impostos'!$J$23:$J$34,'Impostos'!$E$23:$E$34,"&gt;="&amp;M$15,'Impostos'!$E$23:$E$34,"&lt;"&amp;EDATE(M$15,1))))</f>
        <v>86.05</v>
      </c>
      <c r="N25" s="95">
        <f>IF(12&lt;='Dados'!$C$10,SUMIFS('Impostos'!$H$23:$H$34,'Impostos'!$F$23:$F$34,"&gt;="&amp;N$15,'Impostos'!$F$23:$F$34,"&lt;"&amp;EDATE(N$15,1)),IF(12='Dados'!$C$10+1,SUMIFS('Impostos'!$J$23:$J$34,'Impostos'!$E$23:$E$34,"&lt;"&amp;EDATE(N$15,1)),SUMIFS('Impostos'!$J$23:$J$34,'Impostos'!$E$23:$E$34,"&gt;="&amp;N$15,'Impostos'!$E$23:$E$34,"&lt;"&amp;EDATE(N$15,1))))</f>
        <v>86.05</v>
      </c>
      <c r="O25" s="96">
        <f>SUM(C25:N25)</f>
        <v>946.55</v>
      </c>
    </row>
    <row r="26" spans="2:15" ht="16.5" customHeight="1">
      <c r="B26" s="85" t="s">
        <v>420</v>
      </c>
      <c r="C26" s="95">
        <f>IF(1&lt;='Dados'!$C$10,C63,'Fluxo de Caixa'!$C$9)</f>
        <v>4500</v>
      </c>
      <c r="D26" s="95">
        <f>IF(2&lt;='Dados'!$C$10,D63,'Fluxo de Caixa'!$C$9)</f>
        <v>4500</v>
      </c>
      <c r="E26" s="95">
        <f>IF(3&lt;='Dados'!$C$10,E63,'Fluxo de Caixa'!$C$9)</f>
        <v>4500</v>
      </c>
      <c r="F26" s="95">
        <f>IF(4&lt;='Dados'!$C$10,F63,'Fluxo de Caixa'!$C$9)</f>
        <v>4500</v>
      </c>
      <c r="G26" s="95">
        <f>IF(5&lt;='Dados'!$C$10,G63,'Fluxo de Caixa'!$C$9)</f>
        <v>4500</v>
      </c>
      <c r="H26" s="95">
        <f>IF(6&lt;='Dados'!$C$10,H63,'Fluxo de Caixa'!$C$9)</f>
        <v>4500</v>
      </c>
      <c r="I26" s="95">
        <f>IF(7&lt;='Dados'!$C$10,I63,'Fluxo de Caixa'!$C$9)</f>
        <v>4500</v>
      </c>
      <c r="J26" s="95">
        <f>IF(8&lt;='Dados'!$C$10,J63,'Fluxo de Caixa'!$C$9)</f>
        <v>4500</v>
      </c>
      <c r="K26" s="95">
        <f>IF(9&lt;='Dados'!$C$10,K63,'Fluxo de Caixa'!$C$9)</f>
        <v>4500</v>
      </c>
      <c r="L26" s="95">
        <f>IF(10&lt;='Dados'!$C$10,L63,'Fluxo de Caixa'!$C$9)</f>
        <v>4500</v>
      </c>
      <c r="M26" s="95">
        <f>IF(11&lt;='Dados'!$C$10,M63,'Fluxo de Caixa'!$C$9)</f>
        <v>4500</v>
      </c>
      <c r="N26" s="95">
        <f>IF(12&lt;='Dados'!$C$10,N63,'Fluxo de Caixa'!$C$9)</f>
        <v>4500</v>
      </c>
      <c r="O26" s="96">
        <f>SUM(C26:N26)</f>
        <v>54000</v>
      </c>
    </row>
    <row r="27" spans="2:15" ht="16.5" customHeight="1">
      <c r="B27" s="150" t="s">
        <v>421</v>
      </c>
      <c r="C27" s="151">
        <f>SUM(C24:C26)</f>
        <v>6079.19</v>
      </c>
      <c r="D27" s="151">
        <f>SUM(D24:D26)</f>
        <v>5946.47</v>
      </c>
      <c r="E27" s="151">
        <f>SUM(E24:E26)</f>
        <v>6428.48</v>
      </c>
      <c r="F27" s="151">
        <f>SUM(F24:F26)</f>
        <v>6241.22</v>
      </c>
      <c r="G27" s="151">
        <f>SUM(G24:G26)</f>
        <v>5797.83</v>
      </c>
      <c r="H27" s="151">
        <f>SUM(H24:H26)</f>
        <v>7321.61</v>
      </c>
      <c r="I27" s="151">
        <f>SUM(I24:I26)</f>
        <v>6429.89</v>
      </c>
      <c r="J27" s="151">
        <f>SUM(J24:J26)</f>
        <v>6025.56</v>
      </c>
      <c r="K27" s="151">
        <f>SUM(K24:K26)</f>
        <v>6056.16</v>
      </c>
      <c r="L27" s="151">
        <f>SUM(L24:L26)</f>
        <v>6268.05111111111</v>
      </c>
      <c r="M27" s="151">
        <f>SUM(M24:M26)</f>
        <v>6268.05111111111</v>
      </c>
      <c r="N27" s="151">
        <f>SUM(N24:N26)</f>
        <v>6268.05111111111</v>
      </c>
      <c r="O27" s="151">
        <f>SUM(C27:N27)</f>
        <v>75130.5633333333</v>
      </c>
    </row>
    <row r="28" spans="2:15" ht="16.5" customHeight="1">
      <c r="B28" s="152" t="s">
        <v>422</v>
      </c>
      <c r="C28" s="96">
        <f>C23-C27</f>
        <v>-2779.19</v>
      </c>
      <c r="D28" s="96">
        <f>D23-D27</f>
        <v>892.52</v>
      </c>
      <c r="E28" s="96">
        <f>E23-E27</f>
        <v>151.52</v>
      </c>
      <c r="F28" s="96">
        <f>F23-F27</f>
        <v>108.78</v>
      </c>
      <c r="G28" s="96">
        <f>G23-G27</f>
        <v>-897.83</v>
      </c>
      <c r="H28" s="96">
        <f>H23-H27</f>
        <v>1401.15</v>
      </c>
      <c r="I28" s="96">
        <f>I23-I27</f>
        <v>-179.889999999999</v>
      </c>
      <c r="J28" s="96">
        <f>J23-J27</f>
        <v>1274.44</v>
      </c>
      <c r="K28" s="96">
        <f>K23-K27</f>
        <v>210.68</v>
      </c>
      <c r="L28" s="96">
        <f>L23-L27</f>
        <v>5484.93466666667</v>
      </c>
      <c r="M28" s="96">
        <f>M23-M27</f>
        <v>-1245.06533333333</v>
      </c>
      <c r="N28" s="96">
        <f>N23-N27</f>
        <v>-1245.06533333333</v>
      </c>
      <c r="O28" s="96">
        <f>SUM(C28:N28)</f>
        <v>3176.984</v>
      </c>
    </row>
    <row r="29" spans="2:15" ht="16.5" customHeight="1">
      <c r="B29" s="153" t="s">
        <v>423</v>
      </c>
      <c r="C29" s="154">
        <f>C18+C28</f>
        <v>1220.81</v>
      </c>
      <c r="D29" s="154">
        <f>D18+D28</f>
        <v>2113.33</v>
      </c>
      <c r="E29" s="154">
        <f>E18+E28</f>
        <v>2264.85</v>
      </c>
      <c r="F29" s="154">
        <f>F18+F28</f>
        <v>2373.63</v>
      </c>
      <c r="G29" s="154">
        <f>G18+G28</f>
        <v>1475.8</v>
      </c>
      <c r="H29" s="154">
        <f>H18+H28</f>
        <v>2876.95</v>
      </c>
      <c r="I29" s="154">
        <f>I18+I28</f>
        <v>2697.06</v>
      </c>
      <c r="J29" s="154">
        <f>J18+J28</f>
        <v>3971.5</v>
      </c>
      <c r="K29" s="154">
        <f>K18+K28</f>
        <v>4182.18</v>
      </c>
      <c r="L29" s="154">
        <f>L18+L28</f>
        <v>9667.11466666667</v>
      </c>
      <c r="M29" s="154">
        <f>M18+M28</f>
        <v>8422.04933333334</v>
      </c>
      <c r="N29" s="154">
        <f>N18+N28</f>
        <v>7176.984</v>
      </c>
      <c r="O29" s="154">
        <f>N29</f>
        <v>7176.984</v>
      </c>
    </row>
    <row r="30" spans="2:15" ht="16.5" customHeight="1">
      <c r="B30" s="152" t="s">
        <v>424</v>
      </c>
      <c r="C30" s="96">
        <f>C23-C24-C25</f>
        <v>1720.81</v>
      </c>
      <c r="D30" s="96">
        <f>D23-D24-D25</f>
        <v>5392.52</v>
      </c>
      <c r="E30" s="96">
        <f>E23-E24-E25</f>
        <v>4651.52</v>
      </c>
      <c r="F30" s="96">
        <f>F23-F24-F25</f>
        <v>4608.78</v>
      </c>
      <c r="G30" s="96">
        <f>G23-G24-G25</f>
        <v>3602.17</v>
      </c>
      <c r="H30" s="96">
        <f>H23-H24-H25</f>
        <v>5901.15</v>
      </c>
      <c r="I30" s="96">
        <f>I23-I24-I25</f>
        <v>4320.11</v>
      </c>
      <c r="J30" s="96">
        <f>J23-J24-J25</f>
        <v>5774.44</v>
      </c>
      <c r="K30" s="96">
        <f>K23-K24-K25</f>
        <v>4710.68</v>
      </c>
      <c r="L30" s="96">
        <f>L23-L24-L25</f>
        <v>9984.93466666667</v>
      </c>
      <c r="M30" s="96">
        <f>M23-M24-M25</f>
        <v>3254.93466666667</v>
      </c>
      <c r="N30" s="96">
        <f>N23-N24-N25</f>
        <v>3254.93466666667</v>
      </c>
      <c r="O30" s="96">
        <f>SUM(C30:N30)</f>
        <v>57176.984</v>
      </c>
    </row>
    <row r="31" spans="2:15" ht="16.5" customHeight="1">
      <c r="B31" s="152" t="s">
        <v>425</v>
      </c>
      <c r="C31" s="134">
        <f>IF((C19+C20+C22)=0,"",C30/(C19+C20+C22))</f>
        <v>0.521457575757576</v>
      </c>
      <c r="D31" s="134">
        <f>IF((D19+D20+D22)=0,"",D30/(D19+D20+D22))</f>
        <v>0.788496547004748</v>
      </c>
      <c r="E31" s="134">
        <f>IF((E19+E20+E22)=0,"",E30/(E19+E20+E22))</f>
        <v>0.706917933130699</v>
      </c>
      <c r="F31" s="134">
        <f>IF((F19+F20+F22)=0,"",F30/(F19+F20+F22))</f>
        <v>0.725792125984252</v>
      </c>
      <c r="G31" s="134">
        <f>IF((G19+G20+G22)=0,"",G30/(G19+G20+G22))</f>
        <v>0.735136734693878</v>
      </c>
      <c r="H31" s="134">
        <f>IF((H19+H20+H22)=0,"",H30/(H19+H20+H22))</f>
        <v>0.676523256400497</v>
      </c>
      <c r="I31" s="134">
        <f>IF((I19+I20+I22)=0,"",I30/(I19+I20+I22))</f>
        <v>0.6912176</v>
      </c>
      <c r="J31" s="134">
        <f>IF((J19+J20+J22)=0,"",J30/(J19+J20+J22))</f>
        <v>0.791019178082192</v>
      </c>
      <c r="K31" s="134">
        <f>IF((K19+K20+K22)=0,"",K30/(K19+K20+K22))</f>
        <v>0.751683464074398</v>
      </c>
      <c r="L31" s="134">
        <f>IF((L19+L20+L22)=0,"",L30/(L19+L20+L22))</f>
        <v>0.849565791660014</v>
      </c>
      <c r="M31" s="134">
        <f>IF((M19+M20+M22)=0,"",M30/(M19+M20+M22))</f>
        <v>0.648007940031772</v>
      </c>
      <c r="N31" s="134">
        <f>IF((N19+N20+N22)=0,"",N30/(N19+N20+N22))</f>
        <v>0.648007940031772</v>
      </c>
      <c r="O31" s="134">
        <f>IF((O19+O20+O22)=0,"",O30/(O19+O20+O22))</f>
        <v>0.730159300694396</v>
      </c>
    </row>
    <row r="50" spans="2:15" ht="16.5" customHeight="1">
      <c r="B50" s="57" t="s">
        <v>426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</row>
    <row r="51" spans="2:15" ht="16.5" customHeight="1">
      <c r="B51" s="121" t="s">
        <v>131</v>
      </c>
      <c r="C51" s="120" t="str">
        <f>C16</f>
        <v>Jan</v>
      </c>
      <c r="D51" s="120" t="str">
        <f>D16</f>
        <v>Fev</v>
      </c>
      <c r="E51" s="120" t="str">
        <f>E16</f>
        <v>Mar</v>
      </c>
      <c r="F51" s="120" t="str">
        <f>F16</f>
        <v>Abr</v>
      </c>
      <c r="G51" s="120" t="str">
        <f>G16</f>
        <v>Mai</v>
      </c>
      <c r="H51" s="120" t="str">
        <f>H16</f>
        <v>Jun</v>
      </c>
      <c r="I51" s="120" t="str">
        <f>I16</f>
        <v>Jul</v>
      </c>
      <c r="J51" s="120" t="str">
        <f>J16</f>
        <v>Ago</v>
      </c>
      <c r="K51" s="120" t="str">
        <f>K16</f>
        <v>Set</v>
      </c>
      <c r="L51" s="120" t="str">
        <f>L16</f>
        <v>Out</v>
      </c>
      <c r="M51" s="120" t="str">
        <f>M16</f>
        <v>Nov</v>
      </c>
      <c r="N51" s="120" t="str">
        <f>N16</f>
        <v>Dez</v>
      </c>
      <c r="O51" s="120" t="s">
        <v>411</v>
      </c>
    </row>
    <row r="52" spans="2:15" ht="16.5" customHeight="1">
      <c r="B52" s="155" t="s">
        <v>427</v>
      </c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</row>
    <row r="53" spans="2:15" ht="16.5" customHeight="1">
      <c r="B53" s="85" t="str">
        <f>IF('Config'!$N$8="","",'Config'!$N$8)</f>
        <v>Receita avulsa (vendas/serviços)</v>
      </c>
      <c r="C53" s="95">
        <f>IF($B53="",0,SUMIFS('Lanç. Negócio'!$F$11:$F$1510,'Lanç. Negócio'!$D$11:$D$1510,$B53,'Lanç. Negócio'!$B$11:$B$1510,"&gt;="&amp;C$15,'Lanç. Negócio'!$B$11:$B$1510,"&lt;"&amp;EDATE(C$15,1)))</f>
        <v>0</v>
      </c>
      <c r="D53" s="95">
        <f>IF($B53="",0,SUMIFS('Lanç. Negócio'!$F$11:$F$1510,'Lanç. Negócio'!$D$11:$D$1510,$B53,'Lanç. Negócio'!$B$11:$B$1510,"&gt;="&amp;D$15,'Lanç. Negócio'!$B$11:$B$1510,"&lt;"&amp;EDATE(D$15,1)))</f>
        <v>338.99</v>
      </c>
      <c r="E53" s="95">
        <f>IF($B53="",0,SUMIFS('Lanç. Negócio'!$F$11:$F$1510,'Lanç. Negócio'!$D$11:$D$1510,$B53,'Lanç. Negócio'!$B$11:$B$1510,"&gt;="&amp;E$15,'Lanç. Negócio'!$B$11:$B$1510,"&lt;"&amp;EDATE(E$15,1)))</f>
        <v>0</v>
      </c>
      <c r="F53" s="95">
        <f>IF($B53="",0,SUMIFS('Lanç. Negócio'!$F$11:$F$1510,'Lanç. Negócio'!$D$11:$D$1510,$B53,'Lanç. Negócio'!$B$11:$B$1510,"&gt;="&amp;F$15,'Lanç. Negócio'!$B$11:$B$1510,"&lt;"&amp;EDATE(F$15,1)))</f>
        <v>0</v>
      </c>
      <c r="G53" s="95">
        <f>IF($B53="",0,SUMIFS('Lanç. Negócio'!$F$11:$F$1510,'Lanç. Negócio'!$D$11:$D$1510,$B53,'Lanç. Negócio'!$B$11:$B$1510,"&gt;="&amp;G$15,'Lanç. Negócio'!$B$11:$B$1510,"&lt;"&amp;EDATE(G$15,1)))</f>
        <v>0</v>
      </c>
      <c r="H53" s="95">
        <f>IF($B53="",0,SUMIFS('Lanç. Negócio'!$F$11:$F$1510,'Lanç. Negócio'!$D$11:$D$1510,$B53,'Lanç. Negócio'!$B$11:$B$1510,"&gt;="&amp;H$15,'Lanç. Negócio'!$B$11:$B$1510,"&lt;"&amp;EDATE(H$15,1)))</f>
        <v>272.76</v>
      </c>
      <c r="I53" s="95">
        <f>IF($B53="",0,SUMIFS('Lanç. Negócio'!$F$11:$F$1510,'Lanç. Negócio'!$D$11:$D$1510,$B53,'Lanç. Negócio'!$B$11:$B$1510,"&gt;="&amp;I$15,'Lanç. Negócio'!$B$11:$B$1510,"&lt;"&amp;EDATE(I$15,1)))</f>
        <v>0</v>
      </c>
      <c r="J53" s="95">
        <f>IF($B53="",0,SUMIFS('Lanç. Negócio'!$F$11:$F$1510,'Lanç. Negócio'!$D$11:$D$1510,$B53,'Lanç. Negócio'!$B$11:$B$1510,"&gt;="&amp;J$15,'Lanç. Negócio'!$B$11:$B$1510,"&lt;"&amp;EDATE(J$15,1)))</f>
        <v>0</v>
      </c>
      <c r="K53" s="95">
        <f>IF($B53="",0,SUMIFS('Lanç. Negócio'!$F$11:$F$1510,'Lanç. Negócio'!$D$11:$D$1510,$B53,'Lanç. Negócio'!$B$11:$B$1510,"&gt;="&amp;K$15,'Lanç. Negócio'!$B$11:$B$1510,"&lt;"&amp;EDATE(K$15,1)))</f>
        <v>366.84</v>
      </c>
      <c r="L53" s="95">
        <f>IF($B53="",0,SUMIFS('Lanç. Negócio'!$F$11:$F$1510,'Lanç. Negócio'!$D$11:$D$1510,$B53,'Lanç. Negócio'!$B$11:$B$1510,"&gt;="&amp;L$15,'Lanç. Negócio'!$B$11:$B$1510,"&lt;"&amp;EDATE(L$15,1)))</f>
        <v>0</v>
      </c>
      <c r="M53" s="95">
        <f>IF($B53="",0,SUMIFS('Lanç. Negócio'!$F$11:$F$1510,'Lanç. Negócio'!$D$11:$D$1510,$B53,'Lanç. Negócio'!$B$11:$B$1510,"&gt;="&amp;M$15,'Lanç. Negócio'!$B$11:$B$1510,"&lt;"&amp;EDATE(M$15,1)))</f>
        <v>0</v>
      </c>
      <c r="N53" s="95">
        <f>IF($B53="",0,SUMIFS('Lanç. Negócio'!$F$11:$F$1510,'Lanç. Negócio'!$D$11:$D$1510,$B53,'Lanç. Negócio'!$B$11:$B$1510,"&gt;="&amp;N$15,'Lanç. Negócio'!$B$11:$B$1510,"&lt;"&amp;EDATE(N$15,1)))</f>
        <v>0</v>
      </c>
      <c r="O53" s="96">
        <f>SUM(C53:N53)</f>
        <v>978.59</v>
      </c>
    </row>
    <row r="54" spans="2:15" ht="16.5" customHeight="1">
      <c r="B54" s="85" t="str">
        <f>IF('Config'!$N$9="","",'Config'!$N$9)</f>
        <v>Aporte do sócio</v>
      </c>
      <c r="C54" s="95">
        <f>IF($B54="",0,SUMIFS('Lanç. Negócio'!$F$11:$F$1510,'Lanç. Negócio'!$D$11:$D$1510,$B54,'Lanç. Negócio'!$B$11:$B$1510,"&gt;="&amp;C$15,'Lanç. Negócio'!$B$11:$B$1510,"&lt;"&amp;EDATE(C$15,1)))</f>
        <v>0</v>
      </c>
      <c r="D54" s="95">
        <f>IF($B54="",0,SUMIFS('Lanç. Negócio'!$F$11:$F$1510,'Lanç. Negócio'!$D$11:$D$1510,$B54,'Lanç. Negócio'!$B$11:$B$1510,"&gt;="&amp;D$15,'Lanç. Negócio'!$B$11:$B$1510,"&lt;"&amp;EDATE(D$15,1)))</f>
        <v>0</v>
      </c>
      <c r="E54" s="95">
        <f>IF($B54="",0,SUMIFS('Lanç. Negócio'!$F$11:$F$1510,'Lanç. Negócio'!$D$11:$D$1510,$B54,'Lanç. Negócio'!$B$11:$B$1510,"&gt;="&amp;E$15,'Lanç. Negócio'!$B$11:$B$1510,"&lt;"&amp;EDATE(E$15,1)))</f>
        <v>0</v>
      </c>
      <c r="F54" s="95">
        <f>IF($B54="",0,SUMIFS('Lanç. Negócio'!$F$11:$F$1510,'Lanç. Negócio'!$D$11:$D$1510,$B54,'Lanç. Negócio'!$B$11:$B$1510,"&gt;="&amp;F$15,'Lanç. Negócio'!$B$11:$B$1510,"&lt;"&amp;EDATE(F$15,1)))</f>
        <v>0</v>
      </c>
      <c r="G54" s="95">
        <f>IF($B54="",0,SUMIFS('Lanç. Negócio'!$F$11:$F$1510,'Lanç. Negócio'!$D$11:$D$1510,$B54,'Lanç. Negócio'!$B$11:$B$1510,"&gt;="&amp;G$15,'Lanç. Negócio'!$B$11:$B$1510,"&lt;"&amp;EDATE(G$15,1)))</f>
        <v>0</v>
      </c>
      <c r="H54" s="95">
        <f>IF($B54="",0,SUMIFS('Lanç. Negócio'!$F$11:$F$1510,'Lanç. Negócio'!$D$11:$D$1510,$B54,'Lanç. Negócio'!$B$11:$B$1510,"&gt;="&amp;H$15,'Lanç. Negócio'!$B$11:$B$1510,"&lt;"&amp;EDATE(H$15,1)))</f>
        <v>0</v>
      </c>
      <c r="I54" s="95">
        <f>IF($B54="",0,SUMIFS('Lanç. Negócio'!$F$11:$F$1510,'Lanç. Negócio'!$D$11:$D$1510,$B54,'Lanç. Negócio'!$B$11:$B$1510,"&gt;="&amp;I$15,'Lanç. Negócio'!$B$11:$B$1510,"&lt;"&amp;EDATE(I$15,1)))</f>
        <v>0</v>
      </c>
      <c r="J54" s="95">
        <f>IF($B54="",0,SUMIFS('Lanç. Negócio'!$F$11:$F$1510,'Lanç. Negócio'!$D$11:$D$1510,$B54,'Lanç. Negócio'!$B$11:$B$1510,"&gt;="&amp;J$15,'Lanç. Negócio'!$B$11:$B$1510,"&lt;"&amp;EDATE(J$15,1)))</f>
        <v>0</v>
      </c>
      <c r="K54" s="95">
        <f>IF($B54="",0,SUMIFS('Lanç. Negócio'!$F$11:$F$1510,'Lanç. Negócio'!$D$11:$D$1510,$B54,'Lanç. Negócio'!$B$11:$B$1510,"&gt;="&amp;K$15,'Lanç. Negócio'!$B$11:$B$1510,"&lt;"&amp;EDATE(K$15,1)))</f>
        <v>0</v>
      </c>
      <c r="L54" s="95">
        <f>IF($B54="",0,SUMIFS('Lanç. Negócio'!$F$11:$F$1510,'Lanç. Negócio'!$D$11:$D$1510,$B54,'Lanç. Negócio'!$B$11:$B$1510,"&gt;="&amp;L$15,'Lanç. Negócio'!$B$11:$B$1510,"&lt;"&amp;EDATE(L$15,1)))</f>
        <v>0</v>
      </c>
      <c r="M54" s="95">
        <f>IF($B54="",0,SUMIFS('Lanç. Negócio'!$F$11:$F$1510,'Lanç. Negócio'!$D$11:$D$1510,$B54,'Lanç. Negócio'!$B$11:$B$1510,"&gt;="&amp;M$15,'Lanç. Negócio'!$B$11:$B$1510,"&lt;"&amp;EDATE(M$15,1)))</f>
        <v>0</v>
      </c>
      <c r="N54" s="95">
        <f>IF($B54="",0,SUMIFS('Lanç. Negócio'!$F$11:$F$1510,'Lanç. Negócio'!$D$11:$D$1510,$B54,'Lanç. Negócio'!$B$11:$B$1510,"&gt;="&amp;N$15,'Lanç. Negócio'!$B$11:$B$1510,"&lt;"&amp;EDATE(N$15,1)))</f>
        <v>0</v>
      </c>
      <c r="O54" s="96">
        <f>SUM(C54:N54)</f>
        <v>0</v>
      </c>
    </row>
    <row r="55" spans="2:15" ht="16.5" customHeight="1">
      <c r="B55" s="85" t="str">
        <f>IF('Config'!$N$10="","",'Config'!$N$10)</f>
        <v>Rendimentos do caixa</v>
      </c>
      <c r="C55" s="95">
        <f>IF($B55="",0,SUMIFS('Lanç. Negócio'!$F$11:$F$1510,'Lanç. Negócio'!$D$11:$D$1510,$B55,'Lanç. Negócio'!$B$11:$B$1510,"&gt;="&amp;C$15,'Lanç. Negócio'!$B$11:$B$1510,"&lt;"&amp;EDATE(C$15,1)))</f>
        <v>0</v>
      </c>
      <c r="D55" s="95">
        <f>IF($B55="",0,SUMIFS('Lanç. Negócio'!$F$11:$F$1510,'Lanç. Negócio'!$D$11:$D$1510,$B55,'Lanç. Negócio'!$B$11:$B$1510,"&gt;="&amp;D$15,'Lanç. Negócio'!$B$11:$B$1510,"&lt;"&amp;EDATE(D$15,1)))</f>
        <v>0</v>
      </c>
      <c r="E55" s="95">
        <f>IF($B55="",0,SUMIFS('Lanç. Negócio'!$F$11:$F$1510,'Lanç. Negócio'!$D$11:$D$1510,$B55,'Lanç. Negócio'!$B$11:$B$1510,"&gt;="&amp;E$15,'Lanç. Negócio'!$B$11:$B$1510,"&lt;"&amp;EDATE(E$15,1)))</f>
        <v>0</v>
      </c>
      <c r="F55" s="95">
        <f>IF($B55="",0,SUMIFS('Lanç. Negócio'!$F$11:$F$1510,'Lanç. Negócio'!$D$11:$D$1510,$B55,'Lanç. Negócio'!$B$11:$B$1510,"&gt;="&amp;F$15,'Lanç. Negócio'!$B$11:$B$1510,"&lt;"&amp;EDATE(F$15,1)))</f>
        <v>0</v>
      </c>
      <c r="G55" s="95">
        <f>IF($B55="",0,SUMIFS('Lanç. Negócio'!$F$11:$F$1510,'Lanç. Negócio'!$D$11:$D$1510,$B55,'Lanç. Negócio'!$B$11:$B$1510,"&gt;="&amp;G$15,'Lanç. Negócio'!$B$11:$B$1510,"&lt;"&amp;EDATE(G$15,1)))</f>
        <v>0</v>
      </c>
      <c r="H55" s="95">
        <f>IF($B55="",0,SUMIFS('Lanç. Negócio'!$F$11:$F$1510,'Lanç. Negócio'!$D$11:$D$1510,$B55,'Lanç. Negócio'!$B$11:$B$1510,"&gt;="&amp;H$15,'Lanç. Negócio'!$B$11:$B$1510,"&lt;"&amp;EDATE(H$15,1)))</f>
        <v>0</v>
      </c>
      <c r="I55" s="95">
        <f>IF($B55="",0,SUMIFS('Lanç. Negócio'!$F$11:$F$1510,'Lanç. Negócio'!$D$11:$D$1510,$B55,'Lanç. Negócio'!$B$11:$B$1510,"&gt;="&amp;I$15,'Lanç. Negócio'!$B$11:$B$1510,"&lt;"&amp;EDATE(I$15,1)))</f>
        <v>0</v>
      </c>
      <c r="J55" s="95">
        <f>IF($B55="",0,SUMIFS('Lanç. Negócio'!$F$11:$F$1510,'Lanç. Negócio'!$D$11:$D$1510,$B55,'Lanç. Negócio'!$B$11:$B$1510,"&gt;="&amp;J$15,'Lanç. Negócio'!$B$11:$B$1510,"&lt;"&amp;EDATE(J$15,1)))</f>
        <v>0</v>
      </c>
      <c r="K55" s="95">
        <f>IF($B55="",0,SUMIFS('Lanç. Negócio'!$F$11:$F$1510,'Lanç. Negócio'!$D$11:$D$1510,$B55,'Lanç. Negócio'!$B$11:$B$1510,"&gt;="&amp;K$15,'Lanç. Negócio'!$B$11:$B$1510,"&lt;"&amp;EDATE(K$15,1)))</f>
        <v>0</v>
      </c>
      <c r="L55" s="95">
        <f>IF($B55="",0,SUMIFS('Lanç. Negócio'!$F$11:$F$1510,'Lanç. Negócio'!$D$11:$D$1510,$B55,'Lanç. Negócio'!$B$11:$B$1510,"&gt;="&amp;L$15,'Lanç. Negócio'!$B$11:$B$1510,"&lt;"&amp;EDATE(L$15,1)))</f>
        <v>0</v>
      </c>
      <c r="M55" s="95">
        <f>IF($B55="",0,SUMIFS('Lanç. Negócio'!$F$11:$F$1510,'Lanç. Negócio'!$D$11:$D$1510,$B55,'Lanç. Negócio'!$B$11:$B$1510,"&gt;="&amp;M$15,'Lanç. Negócio'!$B$11:$B$1510,"&lt;"&amp;EDATE(M$15,1)))</f>
        <v>0</v>
      </c>
      <c r="N55" s="95">
        <f>IF($B55="",0,SUMIFS('Lanç. Negócio'!$F$11:$F$1510,'Lanç. Negócio'!$D$11:$D$1510,$B55,'Lanç. Negócio'!$B$11:$B$1510,"&gt;="&amp;N$15,'Lanç. Negócio'!$B$11:$B$1510,"&lt;"&amp;EDATE(N$15,1)))</f>
        <v>0</v>
      </c>
      <c r="O55" s="96">
        <f>SUM(C55:N55)</f>
        <v>0</v>
      </c>
    </row>
    <row r="56" spans="2:15" ht="16.5" customHeight="1">
      <c r="B56" s="85" t="str">
        <f>IF('Config'!$N$11="","",'Config'!$N$11)</f>
        <v>Reembolsos recebidos</v>
      </c>
      <c r="C56" s="95">
        <f>IF($B56="",0,SUMIFS('Lanç. Negócio'!$F$11:$F$1510,'Lanç. Negócio'!$D$11:$D$1510,$B56,'Lanç. Negócio'!$B$11:$B$1510,"&gt;="&amp;C$15,'Lanç. Negócio'!$B$11:$B$1510,"&lt;"&amp;EDATE(C$15,1)))</f>
        <v>0</v>
      </c>
      <c r="D56" s="95">
        <f>IF($B56="",0,SUMIFS('Lanç. Negócio'!$F$11:$F$1510,'Lanç. Negócio'!$D$11:$D$1510,$B56,'Lanç. Negócio'!$B$11:$B$1510,"&gt;="&amp;D$15,'Lanç. Negócio'!$B$11:$B$1510,"&lt;"&amp;EDATE(D$15,1)))</f>
        <v>0</v>
      </c>
      <c r="E56" s="95">
        <f>IF($B56="",0,SUMIFS('Lanç. Negócio'!$F$11:$F$1510,'Lanç. Negócio'!$D$11:$D$1510,$B56,'Lanç. Negócio'!$B$11:$B$1510,"&gt;="&amp;E$15,'Lanç. Negócio'!$B$11:$B$1510,"&lt;"&amp;EDATE(E$15,1)))</f>
        <v>0</v>
      </c>
      <c r="F56" s="95">
        <f>IF($B56="",0,SUMIFS('Lanç. Negócio'!$F$11:$F$1510,'Lanç. Negócio'!$D$11:$D$1510,$B56,'Lanç. Negócio'!$B$11:$B$1510,"&gt;="&amp;F$15,'Lanç. Negócio'!$B$11:$B$1510,"&lt;"&amp;EDATE(F$15,1)))</f>
        <v>0</v>
      </c>
      <c r="G56" s="95">
        <f>IF($B56="",0,SUMIFS('Lanç. Negócio'!$F$11:$F$1510,'Lanç. Negócio'!$D$11:$D$1510,$B56,'Lanç. Negócio'!$B$11:$B$1510,"&gt;="&amp;G$15,'Lanç. Negócio'!$B$11:$B$1510,"&lt;"&amp;EDATE(G$15,1)))</f>
        <v>0</v>
      </c>
      <c r="H56" s="95">
        <f>IF($B56="",0,SUMIFS('Lanç. Negócio'!$F$11:$F$1510,'Lanç. Negócio'!$D$11:$D$1510,$B56,'Lanç. Negócio'!$B$11:$B$1510,"&gt;="&amp;H$15,'Lanç. Negócio'!$B$11:$B$1510,"&lt;"&amp;EDATE(H$15,1)))</f>
        <v>0</v>
      </c>
      <c r="I56" s="95">
        <f>IF($B56="",0,SUMIFS('Lanç. Negócio'!$F$11:$F$1510,'Lanç. Negócio'!$D$11:$D$1510,$B56,'Lanç. Negócio'!$B$11:$B$1510,"&gt;="&amp;I$15,'Lanç. Negócio'!$B$11:$B$1510,"&lt;"&amp;EDATE(I$15,1)))</f>
        <v>0</v>
      </c>
      <c r="J56" s="95">
        <f>IF($B56="",0,SUMIFS('Lanç. Negócio'!$F$11:$F$1510,'Lanç. Negócio'!$D$11:$D$1510,$B56,'Lanç. Negócio'!$B$11:$B$1510,"&gt;="&amp;J$15,'Lanç. Negócio'!$B$11:$B$1510,"&lt;"&amp;EDATE(J$15,1)))</f>
        <v>0</v>
      </c>
      <c r="K56" s="95">
        <f>IF($B56="",0,SUMIFS('Lanç. Negócio'!$F$11:$F$1510,'Lanç. Negócio'!$D$11:$D$1510,$B56,'Lanç. Negócio'!$B$11:$B$1510,"&gt;="&amp;K$15,'Lanç. Negócio'!$B$11:$B$1510,"&lt;"&amp;EDATE(K$15,1)))</f>
        <v>0</v>
      </c>
      <c r="L56" s="95">
        <f>IF($B56="",0,SUMIFS('Lanç. Negócio'!$F$11:$F$1510,'Lanç. Negócio'!$D$11:$D$1510,$B56,'Lanç. Negócio'!$B$11:$B$1510,"&gt;="&amp;L$15,'Lanç. Negócio'!$B$11:$B$1510,"&lt;"&amp;EDATE(L$15,1)))</f>
        <v>0</v>
      </c>
      <c r="M56" s="95">
        <f>IF($B56="",0,SUMIFS('Lanç. Negócio'!$F$11:$F$1510,'Lanç. Negócio'!$D$11:$D$1510,$B56,'Lanç. Negócio'!$B$11:$B$1510,"&gt;="&amp;M$15,'Lanç. Negócio'!$B$11:$B$1510,"&lt;"&amp;EDATE(M$15,1)))</f>
        <v>0</v>
      </c>
      <c r="N56" s="95">
        <f>IF($B56="",0,SUMIFS('Lanç. Negócio'!$F$11:$F$1510,'Lanç. Negócio'!$D$11:$D$1510,$B56,'Lanç. Negócio'!$B$11:$B$1510,"&gt;="&amp;N$15,'Lanç. Negócio'!$B$11:$B$1510,"&lt;"&amp;EDATE(N$15,1)))</f>
        <v>0</v>
      </c>
      <c r="O56" s="96">
        <f>SUM(C56:N56)</f>
        <v>0</v>
      </c>
    </row>
    <row r="57" spans="2:15" ht="16.5" customHeight="1">
      <c r="B57" s="85" t="str">
        <f>IF('Config'!$N$12="","",'Config'!$N$12)</f>
        <v>Venda de equipamentos</v>
      </c>
      <c r="C57" s="95">
        <f>IF($B57="",0,SUMIFS('Lanç. Negócio'!$F$11:$F$1510,'Lanç. Negócio'!$D$11:$D$1510,$B57,'Lanç. Negócio'!$B$11:$B$1510,"&gt;="&amp;C$15,'Lanç. Negócio'!$B$11:$B$1510,"&lt;"&amp;EDATE(C$15,1)))</f>
        <v>0</v>
      </c>
      <c r="D57" s="95">
        <f>IF($B57="",0,SUMIFS('Lanç. Negócio'!$F$11:$F$1510,'Lanç. Negócio'!$D$11:$D$1510,$B57,'Lanç. Negócio'!$B$11:$B$1510,"&gt;="&amp;D$15,'Lanç. Negócio'!$B$11:$B$1510,"&lt;"&amp;EDATE(D$15,1)))</f>
        <v>0</v>
      </c>
      <c r="E57" s="95">
        <f>IF($B57="",0,SUMIFS('Lanç. Negócio'!$F$11:$F$1510,'Lanç. Negócio'!$D$11:$D$1510,$B57,'Lanç. Negócio'!$B$11:$B$1510,"&gt;="&amp;E$15,'Lanç. Negócio'!$B$11:$B$1510,"&lt;"&amp;EDATE(E$15,1)))</f>
        <v>0</v>
      </c>
      <c r="F57" s="95">
        <f>IF($B57="",0,SUMIFS('Lanç. Negócio'!$F$11:$F$1510,'Lanç. Negócio'!$D$11:$D$1510,$B57,'Lanç. Negócio'!$B$11:$B$1510,"&gt;="&amp;F$15,'Lanç. Negócio'!$B$11:$B$1510,"&lt;"&amp;EDATE(F$15,1)))</f>
        <v>0</v>
      </c>
      <c r="G57" s="95">
        <f>IF($B57="",0,SUMIFS('Lanç. Negócio'!$F$11:$F$1510,'Lanç. Negócio'!$D$11:$D$1510,$B57,'Lanç. Negócio'!$B$11:$B$1510,"&gt;="&amp;G$15,'Lanç. Negócio'!$B$11:$B$1510,"&lt;"&amp;EDATE(G$15,1)))</f>
        <v>0</v>
      </c>
      <c r="H57" s="95">
        <f>IF($B57="",0,SUMIFS('Lanç. Negócio'!$F$11:$F$1510,'Lanç. Negócio'!$D$11:$D$1510,$B57,'Lanç. Negócio'!$B$11:$B$1510,"&gt;="&amp;H$15,'Lanç. Negócio'!$B$11:$B$1510,"&lt;"&amp;EDATE(H$15,1)))</f>
        <v>0</v>
      </c>
      <c r="I57" s="95">
        <f>IF($B57="",0,SUMIFS('Lanç. Negócio'!$F$11:$F$1510,'Lanç. Negócio'!$D$11:$D$1510,$B57,'Lanç. Negócio'!$B$11:$B$1510,"&gt;="&amp;I$15,'Lanç. Negócio'!$B$11:$B$1510,"&lt;"&amp;EDATE(I$15,1)))</f>
        <v>0</v>
      </c>
      <c r="J57" s="95">
        <f>IF($B57="",0,SUMIFS('Lanç. Negócio'!$F$11:$F$1510,'Lanç. Negócio'!$D$11:$D$1510,$B57,'Lanç. Negócio'!$B$11:$B$1510,"&gt;="&amp;J$15,'Lanç. Negócio'!$B$11:$B$1510,"&lt;"&amp;EDATE(J$15,1)))</f>
        <v>0</v>
      </c>
      <c r="K57" s="95">
        <f>IF($B57="",0,SUMIFS('Lanç. Negócio'!$F$11:$F$1510,'Lanç. Negócio'!$D$11:$D$1510,$B57,'Lanç. Negócio'!$B$11:$B$1510,"&gt;="&amp;K$15,'Lanç. Negócio'!$B$11:$B$1510,"&lt;"&amp;EDATE(K$15,1)))</f>
        <v>0</v>
      </c>
      <c r="L57" s="95">
        <f>IF($B57="",0,SUMIFS('Lanç. Negócio'!$F$11:$F$1510,'Lanç. Negócio'!$D$11:$D$1510,$B57,'Lanç. Negócio'!$B$11:$B$1510,"&gt;="&amp;L$15,'Lanç. Negócio'!$B$11:$B$1510,"&lt;"&amp;EDATE(L$15,1)))</f>
        <v>0</v>
      </c>
      <c r="M57" s="95">
        <f>IF($B57="",0,SUMIFS('Lanç. Negócio'!$F$11:$F$1510,'Lanç. Negócio'!$D$11:$D$1510,$B57,'Lanç. Negócio'!$B$11:$B$1510,"&gt;="&amp;M$15,'Lanç. Negócio'!$B$11:$B$1510,"&lt;"&amp;EDATE(M$15,1)))</f>
        <v>0</v>
      </c>
      <c r="N57" s="95">
        <f>IF($B57="",0,SUMIFS('Lanç. Negócio'!$F$11:$F$1510,'Lanç. Negócio'!$D$11:$D$1510,$B57,'Lanç. Negócio'!$B$11:$B$1510,"&gt;="&amp;N$15,'Lanç. Negócio'!$B$11:$B$1510,"&lt;"&amp;EDATE(N$15,1)))</f>
        <v>0</v>
      </c>
      <c r="O57" s="96">
        <f>SUM(C57:N57)</f>
        <v>0</v>
      </c>
    </row>
    <row r="58" spans="2:15" ht="16.5" customHeight="1">
      <c r="B58" s="85" t="str">
        <f>IF('Config'!$N$13="","",'Config'!$N$13)</f>
        <v>Estornos e devoluções</v>
      </c>
      <c r="C58" s="95">
        <f>IF($B58="",0,SUMIFS('Lanç. Negócio'!$F$11:$F$1510,'Lanç. Negócio'!$D$11:$D$1510,$B58,'Lanç. Negócio'!$B$11:$B$1510,"&gt;="&amp;C$15,'Lanç. Negócio'!$B$11:$B$1510,"&lt;"&amp;EDATE(C$15,1)))</f>
        <v>0</v>
      </c>
      <c r="D58" s="95">
        <f>IF($B58="",0,SUMIFS('Lanç. Negócio'!$F$11:$F$1510,'Lanç. Negócio'!$D$11:$D$1510,$B58,'Lanç. Negócio'!$B$11:$B$1510,"&gt;="&amp;D$15,'Lanç. Negócio'!$B$11:$B$1510,"&lt;"&amp;EDATE(D$15,1)))</f>
        <v>0</v>
      </c>
      <c r="E58" s="95">
        <f>IF($B58="",0,SUMIFS('Lanç. Negócio'!$F$11:$F$1510,'Lanç. Negócio'!$D$11:$D$1510,$B58,'Lanç. Negócio'!$B$11:$B$1510,"&gt;="&amp;E$15,'Lanç. Negócio'!$B$11:$B$1510,"&lt;"&amp;EDATE(E$15,1)))</f>
        <v>0</v>
      </c>
      <c r="F58" s="95">
        <f>IF($B58="",0,SUMIFS('Lanç. Negócio'!$F$11:$F$1510,'Lanç. Negócio'!$D$11:$D$1510,$B58,'Lanç. Negócio'!$B$11:$B$1510,"&gt;="&amp;F$15,'Lanç. Negócio'!$B$11:$B$1510,"&lt;"&amp;EDATE(F$15,1)))</f>
        <v>0</v>
      </c>
      <c r="G58" s="95">
        <f>IF($B58="",0,SUMIFS('Lanç. Negócio'!$F$11:$F$1510,'Lanç. Negócio'!$D$11:$D$1510,$B58,'Lanç. Negócio'!$B$11:$B$1510,"&gt;="&amp;G$15,'Lanç. Negócio'!$B$11:$B$1510,"&lt;"&amp;EDATE(G$15,1)))</f>
        <v>0</v>
      </c>
      <c r="H58" s="95">
        <f>IF($B58="",0,SUMIFS('Lanç. Negócio'!$F$11:$F$1510,'Lanç. Negócio'!$D$11:$D$1510,$B58,'Lanç. Negócio'!$B$11:$B$1510,"&gt;="&amp;H$15,'Lanç. Negócio'!$B$11:$B$1510,"&lt;"&amp;EDATE(H$15,1)))</f>
        <v>0</v>
      </c>
      <c r="I58" s="95">
        <f>IF($B58="",0,SUMIFS('Lanç. Negócio'!$F$11:$F$1510,'Lanç. Negócio'!$D$11:$D$1510,$B58,'Lanç. Negócio'!$B$11:$B$1510,"&gt;="&amp;I$15,'Lanç. Negócio'!$B$11:$B$1510,"&lt;"&amp;EDATE(I$15,1)))</f>
        <v>0</v>
      </c>
      <c r="J58" s="95">
        <f>IF($B58="",0,SUMIFS('Lanç. Negócio'!$F$11:$F$1510,'Lanç. Negócio'!$D$11:$D$1510,$B58,'Lanç. Negócio'!$B$11:$B$1510,"&gt;="&amp;J$15,'Lanç. Negócio'!$B$11:$B$1510,"&lt;"&amp;EDATE(J$15,1)))</f>
        <v>0</v>
      </c>
      <c r="K58" s="95">
        <f>IF($B58="",0,SUMIFS('Lanç. Negócio'!$F$11:$F$1510,'Lanç. Negócio'!$D$11:$D$1510,$B58,'Lanç. Negócio'!$B$11:$B$1510,"&gt;="&amp;K$15,'Lanç. Negócio'!$B$11:$B$1510,"&lt;"&amp;EDATE(K$15,1)))</f>
        <v>0</v>
      </c>
      <c r="L58" s="95">
        <f>IF($B58="",0,SUMIFS('Lanç. Negócio'!$F$11:$F$1510,'Lanç. Negócio'!$D$11:$D$1510,$B58,'Lanç. Negócio'!$B$11:$B$1510,"&gt;="&amp;L$15,'Lanç. Negócio'!$B$11:$B$1510,"&lt;"&amp;EDATE(L$15,1)))</f>
        <v>0</v>
      </c>
      <c r="M58" s="95">
        <f>IF($B58="",0,SUMIFS('Lanç. Negócio'!$F$11:$F$1510,'Lanç. Negócio'!$D$11:$D$1510,$B58,'Lanç. Negócio'!$B$11:$B$1510,"&gt;="&amp;M$15,'Lanç. Negócio'!$B$11:$B$1510,"&lt;"&amp;EDATE(M$15,1)))</f>
        <v>0</v>
      </c>
      <c r="N58" s="95">
        <f>IF($B58="",0,SUMIFS('Lanç. Negócio'!$F$11:$F$1510,'Lanç. Negócio'!$D$11:$D$1510,$B58,'Lanç. Negócio'!$B$11:$B$1510,"&gt;="&amp;N$15,'Lanç. Negócio'!$B$11:$B$1510,"&lt;"&amp;EDATE(N$15,1)))</f>
        <v>0</v>
      </c>
      <c r="O58" s="96">
        <f>SUM(C58:N58)</f>
        <v>0</v>
      </c>
    </row>
    <row r="59" spans="2:15" ht="16.5" customHeight="1">
      <c r="B59" s="85" t="str">
        <f>IF('Config'!$N$14="","",'Config'!$N$14)</f>
        <v>Subsídios e prêmios</v>
      </c>
      <c r="C59" s="95">
        <f>IF($B59="",0,SUMIFS('Lanç. Negócio'!$F$11:$F$1510,'Lanç. Negócio'!$D$11:$D$1510,$B59,'Lanç. Negócio'!$B$11:$B$1510,"&gt;="&amp;C$15,'Lanç. Negócio'!$B$11:$B$1510,"&lt;"&amp;EDATE(C$15,1)))</f>
        <v>0</v>
      </c>
      <c r="D59" s="95">
        <f>IF($B59="",0,SUMIFS('Lanç. Negócio'!$F$11:$F$1510,'Lanç. Negócio'!$D$11:$D$1510,$B59,'Lanç. Negócio'!$B$11:$B$1510,"&gt;="&amp;D$15,'Lanç. Negócio'!$B$11:$B$1510,"&lt;"&amp;EDATE(D$15,1)))</f>
        <v>0</v>
      </c>
      <c r="E59" s="95">
        <f>IF($B59="",0,SUMIFS('Lanç. Negócio'!$F$11:$F$1510,'Lanç. Negócio'!$D$11:$D$1510,$B59,'Lanç. Negócio'!$B$11:$B$1510,"&gt;="&amp;E$15,'Lanç. Negócio'!$B$11:$B$1510,"&lt;"&amp;EDATE(E$15,1)))</f>
        <v>0</v>
      </c>
      <c r="F59" s="95">
        <f>IF($B59="",0,SUMIFS('Lanç. Negócio'!$F$11:$F$1510,'Lanç. Negócio'!$D$11:$D$1510,$B59,'Lanç. Negócio'!$B$11:$B$1510,"&gt;="&amp;F$15,'Lanç. Negócio'!$B$11:$B$1510,"&lt;"&amp;EDATE(F$15,1)))</f>
        <v>0</v>
      </c>
      <c r="G59" s="95">
        <f>IF($B59="",0,SUMIFS('Lanç. Negócio'!$F$11:$F$1510,'Lanç. Negócio'!$D$11:$D$1510,$B59,'Lanç. Negócio'!$B$11:$B$1510,"&gt;="&amp;G$15,'Lanç. Negócio'!$B$11:$B$1510,"&lt;"&amp;EDATE(G$15,1)))</f>
        <v>0</v>
      </c>
      <c r="H59" s="95">
        <f>IF($B59="",0,SUMIFS('Lanç. Negócio'!$F$11:$F$1510,'Lanç. Negócio'!$D$11:$D$1510,$B59,'Lanç. Negócio'!$B$11:$B$1510,"&gt;="&amp;H$15,'Lanç. Negócio'!$B$11:$B$1510,"&lt;"&amp;EDATE(H$15,1)))</f>
        <v>0</v>
      </c>
      <c r="I59" s="95">
        <f>IF($B59="",0,SUMIFS('Lanç. Negócio'!$F$11:$F$1510,'Lanç. Negócio'!$D$11:$D$1510,$B59,'Lanç. Negócio'!$B$11:$B$1510,"&gt;="&amp;I$15,'Lanç. Negócio'!$B$11:$B$1510,"&lt;"&amp;EDATE(I$15,1)))</f>
        <v>0</v>
      </c>
      <c r="J59" s="95">
        <f>IF($B59="",0,SUMIFS('Lanç. Negócio'!$F$11:$F$1510,'Lanç. Negócio'!$D$11:$D$1510,$B59,'Lanç. Negócio'!$B$11:$B$1510,"&gt;="&amp;J$15,'Lanç. Negócio'!$B$11:$B$1510,"&lt;"&amp;EDATE(J$15,1)))</f>
        <v>0</v>
      </c>
      <c r="K59" s="95">
        <f>IF($B59="",0,SUMIFS('Lanç. Negócio'!$F$11:$F$1510,'Lanç. Negócio'!$D$11:$D$1510,$B59,'Lanç. Negócio'!$B$11:$B$1510,"&gt;="&amp;K$15,'Lanç. Negócio'!$B$11:$B$1510,"&lt;"&amp;EDATE(K$15,1)))</f>
        <v>0</v>
      </c>
      <c r="L59" s="95">
        <f>IF($B59="",0,SUMIFS('Lanç. Negócio'!$F$11:$F$1510,'Lanç. Negócio'!$D$11:$D$1510,$B59,'Lanç. Negócio'!$B$11:$B$1510,"&gt;="&amp;L$15,'Lanç. Negócio'!$B$11:$B$1510,"&lt;"&amp;EDATE(L$15,1)))</f>
        <v>0</v>
      </c>
      <c r="M59" s="95">
        <f>IF($B59="",0,SUMIFS('Lanç. Negócio'!$F$11:$F$1510,'Lanç. Negócio'!$D$11:$D$1510,$B59,'Lanç. Negócio'!$B$11:$B$1510,"&gt;="&amp;M$15,'Lanç. Negócio'!$B$11:$B$1510,"&lt;"&amp;EDATE(M$15,1)))</f>
        <v>0</v>
      </c>
      <c r="N59" s="95">
        <f>IF($B59="",0,SUMIFS('Lanç. Negócio'!$F$11:$F$1510,'Lanç. Negócio'!$D$11:$D$1510,$B59,'Lanç. Negócio'!$B$11:$B$1510,"&gt;="&amp;N$15,'Lanç. Negócio'!$B$11:$B$1510,"&lt;"&amp;EDATE(N$15,1)))</f>
        <v>0</v>
      </c>
      <c r="O59" s="96">
        <f>SUM(C59:N59)</f>
        <v>0</v>
      </c>
    </row>
    <row r="60" spans="2:15" ht="16.5" customHeight="1">
      <c r="B60" s="85" t="str">
        <f>IF('Config'!$N$15="","",'Config'!$N$15)</f>
        <v>Outras entradas</v>
      </c>
      <c r="C60" s="95">
        <f>IF($B60="",0,SUMIFS('Lanç. Negócio'!$F$11:$F$1510,'Lanç. Negócio'!$D$11:$D$1510,$B60,'Lanç. Negócio'!$B$11:$B$1510,"&gt;="&amp;C$15,'Lanç. Negócio'!$B$11:$B$1510,"&lt;"&amp;EDATE(C$15,1)))</f>
        <v>0</v>
      </c>
      <c r="D60" s="95">
        <f>IF($B60="",0,SUMIFS('Lanç. Negócio'!$F$11:$F$1510,'Lanç. Negócio'!$D$11:$D$1510,$B60,'Lanç. Negócio'!$B$11:$B$1510,"&gt;="&amp;D$15,'Lanç. Negócio'!$B$11:$B$1510,"&lt;"&amp;EDATE(D$15,1)))</f>
        <v>0</v>
      </c>
      <c r="E60" s="95">
        <f>IF($B60="",0,SUMIFS('Lanç. Negócio'!$F$11:$F$1510,'Lanç. Negócio'!$D$11:$D$1510,$B60,'Lanç. Negócio'!$B$11:$B$1510,"&gt;="&amp;E$15,'Lanç. Negócio'!$B$11:$B$1510,"&lt;"&amp;EDATE(E$15,1)))</f>
        <v>0</v>
      </c>
      <c r="F60" s="95">
        <f>IF($B60="",0,SUMIFS('Lanç. Negócio'!$F$11:$F$1510,'Lanç. Negócio'!$D$11:$D$1510,$B60,'Lanç. Negócio'!$B$11:$B$1510,"&gt;="&amp;F$15,'Lanç. Negócio'!$B$11:$B$1510,"&lt;"&amp;EDATE(F$15,1)))</f>
        <v>0</v>
      </c>
      <c r="G60" s="95">
        <f>IF($B60="",0,SUMIFS('Lanç. Negócio'!$F$11:$F$1510,'Lanç. Negócio'!$D$11:$D$1510,$B60,'Lanç. Negócio'!$B$11:$B$1510,"&gt;="&amp;G$15,'Lanç. Negócio'!$B$11:$B$1510,"&lt;"&amp;EDATE(G$15,1)))</f>
        <v>0</v>
      </c>
      <c r="H60" s="95">
        <f>IF($B60="",0,SUMIFS('Lanç. Negócio'!$F$11:$F$1510,'Lanç. Negócio'!$D$11:$D$1510,$B60,'Lanç. Negócio'!$B$11:$B$1510,"&gt;="&amp;H$15,'Lanç. Negócio'!$B$11:$B$1510,"&lt;"&amp;EDATE(H$15,1)))</f>
        <v>0</v>
      </c>
      <c r="I60" s="95">
        <f>IF($B60="",0,SUMIFS('Lanç. Negócio'!$F$11:$F$1510,'Lanç. Negócio'!$D$11:$D$1510,$B60,'Lanç. Negócio'!$B$11:$B$1510,"&gt;="&amp;I$15,'Lanç. Negócio'!$B$11:$B$1510,"&lt;"&amp;EDATE(I$15,1)))</f>
        <v>0</v>
      </c>
      <c r="J60" s="95">
        <f>IF($B60="",0,SUMIFS('Lanç. Negócio'!$F$11:$F$1510,'Lanç. Negócio'!$D$11:$D$1510,$B60,'Lanç. Negócio'!$B$11:$B$1510,"&gt;="&amp;J$15,'Lanç. Negócio'!$B$11:$B$1510,"&lt;"&amp;EDATE(J$15,1)))</f>
        <v>0</v>
      </c>
      <c r="K60" s="95">
        <f>IF($B60="",0,SUMIFS('Lanç. Negócio'!$F$11:$F$1510,'Lanç. Negócio'!$D$11:$D$1510,$B60,'Lanç. Negócio'!$B$11:$B$1510,"&gt;="&amp;K$15,'Lanç. Negócio'!$B$11:$B$1510,"&lt;"&amp;EDATE(K$15,1)))</f>
        <v>0</v>
      </c>
      <c r="L60" s="95">
        <f>IF($B60="",0,SUMIFS('Lanç. Negócio'!$F$11:$F$1510,'Lanç. Negócio'!$D$11:$D$1510,$B60,'Lanç. Negócio'!$B$11:$B$1510,"&gt;="&amp;L$15,'Lanç. Negócio'!$B$11:$B$1510,"&lt;"&amp;EDATE(L$15,1)))</f>
        <v>0</v>
      </c>
      <c r="M60" s="95">
        <f>IF($B60="",0,SUMIFS('Lanç. Negócio'!$F$11:$F$1510,'Lanç. Negócio'!$D$11:$D$1510,$B60,'Lanç. Negócio'!$B$11:$B$1510,"&gt;="&amp;M$15,'Lanç. Negócio'!$B$11:$B$1510,"&lt;"&amp;EDATE(M$15,1)))</f>
        <v>0</v>
      </c>
      <c r="N60" s="95">
        <f>IF($B60="",0,SUMIFS('Lanç. Negócio'!$F$11:$F$1510,'Lanç. Negócio'!$D$11:$D$1510,$B60,'Lanç. Negócio'!$B$11:$B$1510,"&gt;="&amp;N$15,'Lanç. Negócio'!$B$11:$B$1510,"&lt;"&amp;EDATE(N$15,1)))</f>
        <v>0</v>
      </c>
      <c r="O60" s="96">
        <f>SUM(C60:N60)</f>
        <v>0</v>
      </c>
    </row>
    <row r="61" spans="2:15" ht="16.5" customHeight="1">
      <c r="B61" s="156" t="s">
        <v>429</v>
      </c>
      <c r="C61" s="157">
        <f>SUM(C53:C60)</f>
        <v>0</v>
      </c>
      <c r="D61" s="157">
        <f>SUM(D53:D60)</f>
        <v>338.99</v>
      </c>
      <c r="E61" s="157">
        <f>SUM(E53:E60)</f>
        <v>0</v>
      </c>
      <c r="F61" s="157">
        <f>SUM(F53:F60)</f>
        <v>0</v>
      </c>
      <c r="G61" s="157">
        <f>SUM(G53:G60)</f>
        <v>0</v>
      </c>
      <c r="H61" s="157">
        <f>SUM(H53:H60)</f>
        <v>272.76</v>
      </c>
      <c r="I61" s="157">
        <f>SUM(I53:I60)</f>
        <v>0</v>
      </c>
      <c r="J61" s="157">
        <f>SUM(J53:J60)</f>
        <v>0</v>
      </c>
      <c r="K61" s="157">
        <f>SUM(K53:K60)</f>
        <v>366.84</v>
      </c>
      <c r="L61" s="157">
        <f>SUM(L53:L60)</f>
        <v>0</v>
      </c>
      <c r="M61" s="157">
        <f>SUM(M53:M60)</f>
        <v>0</v>
      </c>
      <c r="N61" s="157">
        <f>SUM(N53:N60)</f>
        <v>0</v>
      </c>
      <c r="O61" s="157">
        <f>SUM(O53:O60)</f>
        <v>978.59</v>
      </c>
    </row>
    <row r="62" spans="2:15" ht="16.5" customHeight="1">
      <c r="B62" s="158" t="s">
        <v>428</v>
      </c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</row>
    <row r="63" spans="2:15" ht="16.5" customHeight="1">
      <c r="B63" s="85" t="str">
        <f>IF('Config'!$P$8="","",'Config'!$P$8)</f>
        <v>Pró-labore / Retirada</v>
      </c>
      <c r="C63" s="95">
        <f>IF($B63="",0,SUMIFS('Lanç. Negócio'!$F$11:$F$1510,'Lanç. Negócio'!$D$11:$D$1510,$B63,'Lanç. Negócio'!$B$11:$B$1510,"&gt;="&amp;C$15,'Lanç. Negócio'!$B$11:$B$1510,"&lt;"&amp;EDATE(C$15,1)))</f>
        <v>4500</v>
      </c>
      <c r="D63" s="95">
        <f>IF($B63="",0,SUMIFS('Lanç. Negócio'!$F$11:$F$1510,'Lanç. Negócio'!$D$11:$D$1510,$B63,'Lanç. Negócio'!$B$11:$B$1510,"&gt;="&amp;D$15,'Lanç. Negócio'!$B$11:$B$1510,"&lt;"&amp;EDATE(D$15,1)))</f>
        <v>4500</v>
      </c>
      <c r="E63" s="95">
        <f>IF($B63="",0,SUMIFS('Lanç. Negócio'!$F$11:$F$1510,'Lanç. Negócio'!$D$11:$D$1510,$B63,'Lanç. Negócio'!$B$11:$B$1510,"&gt;="&amp;E$15,'Lanç. Negócio'!$B$11:$B$1510,"&lt;"&amp;EDATE(E$15,1)))</f>
        <v>4500</v>
      </c>
      <c r="F63" s="95">
        <f>IF($B63="",0,SUMIFS('Lanç. Negócio'!$F$11:$F$1510,'Lanç. Negócio'!$D$11:$D$1510,$B63,'Lanç. Negócio'!$B$11:$B$1510,"&gt;="&amp;F$15,'Lanç. Negócio'!$B$11:$B$1510,"&lt;"&amp;EDATE(F$15,1)))</f>
        <v>4500</v>
      </c>
      <c r="G63" s="95">
        <f>IF($B63="",0,SUMIFS('Lanç. Negócio'!$F$11:$F$1510,'Lanç. Negócio'!$D$11:$D$1510,$B63,'Lanç. Negócio'!$B$11:$B$1510,"&gt;="&amp;G$15,'Lanç. Negócio'!$B$11:$B$1510,"&lt;"&amp;EDATE(G$15,1)))</f>
        <v>4500</v>
      </c>
      <c r="H63" s="95">
        <f>IF($B63="",0,SUMIFS('Lanç. Negócio'!$F$11:$F$1510,'Lanç. Negócio'!$D$11:$D$1510,$B63,'Lanç. Negócio'!$B$11:$B$1510,"&gt;="&amp;H$15,'Lanç. Negócio'!$B$11:$B$1510,"&lt;"&amp;EDATE(H$15,1)))</f>
        <v>4500</v>
      </c>
      <c r="I63" s="95">
        <f>IF($B63="",0,SUMIFS('Lanç. Negócio'!$F$11:$F$1510,'Lanç. Negócio'!$D$11:$D$1510,$B63,'Lanç. Negócio'!$B$11:$B$1510,"&gt;="&amp;I$15,'Lanç. Negócio'!$B$11:$B$1510,"&lt;"&amp;EDATE(I$15,1)))</f>
        <v>4500</v>
      </c>
      <c r="J63" s="95">
        <f>IF($B63="",0,SUMIFS('Lanç. Negócio'!$F$11:$F$1510,'Lanç. Negócio'!$D$11:$D$1510,$B63,'Lanç. Negócio'!$B$11:$B$1510,"&gt;="&amp;J$15,'Lanç. Negócio'!$B$11:$B$1510,"&lt;"&amp;EDATE(J$15,1)))</f>
        <v>4500</v>
      </c>
      <c r="K63" s="95">
        <f>IF($B63="",0,SUMIFS('Lanç. Negócio'!$F$11:$F$1510,'Lanç. Negócio'!$D$11:$D$1510,$B63,'Lanç. Negócio'!$B$11:$B$1510,"&gt;="&amp;K$15,'Lanç. Negócio'!$B$11:$B$1510,"&lt;"&amp;EDATE(K$15,1)))</f>
        <v>4500</v>
      </c>
      <c r="L63" s="95">
        <f>IF($B63="",0,SUMIFS('Lanç. Negócio'!$F$11:$F$1510,'Lanç. Negócio'!$D$11:$D$1510,$B63,'Lanç. Negócio'!$B$11:$B$1510,"&gt;="&amp;L$15,'Lanç. Negócio'!$B$11:$B$1510,"&lt;"&amp;EDATE(L$15,1)))</f>
        <v>0</v>
      </c>
      <c r="M63" s="95">
        <f>IF($B63="",0,SUMIFS('Lanç. Negócio'!$F$11:$F$1510,'Lanç. Negócio'!$D$11:$D$1510,$B63,'Lanç. Negócio'!$B$11:$B$1510,"&gt;="&amp;M$15,'Lanç. Negócio'!$B$11:$B$1510,"&lt;"&amp;EDATE(M$15,1)))</f>
        <v>0</v>
      </c>
      <c r="N63" s="95">
        <f>IF($B63="",0,SUMIFS('Lanç. Negócio'!$F$11:$F$1510,'Lanç. Negócio'!$D$11:$D$1510,$B63,'Lanç. Negócio'!$B$11:$B$1510,"&gt;="&amp;N$15,'Lanç. Negócio'!$B$11:$B$1510,"&lt;"&amp;EDATE(N$15,1)))</f>
        <v>0</v>
      </c>
      <c r="O63" s="96">
        <f>SUM(C63:N63)</f>
        <v>40500</v>
      </c>
    </row>
    <row r="64" spans="2:15" ht="16.5" customHeight="1">
      <c r="B64" s="85" t="str">
        <f>IF('Config'!$P$9="","",'Config'!$P$9)</f>
        <v>Materiais e insumos</v>
      </c>
      <c r="C64" s="95">
        <f>IF($B64="",0,SUMIFS('Lanç. Negócio'!$F$11:$F$1510,'Lanç. Negócio'!$D$11:$D$1510,$B64,'Lanç. Negócio'!$B$11:$B$1510,"&gt;="&amp;C$15,'Lanç. Negócio'!$B$11:$B$1510,"&lt;"&amp;EDATE(C$15,1)))</f>
        <v>0</v>
      </c>
      <c r="D64" s="95">
        <f>IF($B64="",0,SUMIFS('Lanç. Negócio'!$F$11:$F$1510,'Lanç. Negócio'!$D$11:$D$1510,$B64,'Lanç. Negócio'!$B$11:$B$1510,"&gt;="&amp;D$15,'Lanç. Negócio'!$B$11:$B$1510,"&lt;"&amp;EDATE(D$15,1)))</f>
        <v>0</v>
      </c>
      <c r="E64" s="95">
        <f>IF($B64="",0,SUMIFS('Lanç. Negócio'!$F$11:$F$1510,'Lanç. Negócio'!$D$11:$D$1510,$B64,'Lanç. Negócio'!$B$11:$B$1510,"&gt;="&amp;E$15,'Lanç. Negócio'!$B$11:$B$1510,"&lt;"&amp;EDATE(E$15,1)))</f>
        <v>0</v>
      </c>
      <c r="F64" s="95">
        <f>IF($B64="",0,SUMIFS('Lanç. Negócio'!$F$11:$F$1510,'Lanç. Negócio'!$D$11:$D$1510,$B64,'Lanç. Negócio'!$B$11:$B$1510,"&gt;="&amp;F$15,'Lanç. Negócio'!$B$11:$B$1510,"&lt;"&amp;EDATE(F$15,1)))</f>
        <v>0</v>
      </c>
      <c r="G64" s="95">
        <f>IF($B64="",0,SUMIFS('Lanç. Negócio'!$F$11:$F$1510,'Lanç. Negócio'!$D$11:$D$1510,$B64,'Lanç. Negócio'!$B$11:$B$1510,"&gt;="&amp;G$15,'Lanç. Negócio'!$B$11:$B$1510,"&lt;"&amp;EDATE(G$15,1)))</f>
        <v>0</v>
      </c>
      <c r="H64" s="95">
        <f>IF($B64="",0,SUMIFS('Lanç. Negócio'!$F$11:$F$1510,'Lanç. Negócio'!$D$11:$D$1510,$B64,'Lanç. Negócio'!$B$11:$B$1510,"&gt;="&amp;H$15,'Lanç. Negócio'!$B$11:$B$1510,"&lt;"&amp;EDATE(H$15,1)))</f>
        <v>0</v>
      </c>
      <c r="I64" s="95">
        <f>IF($B64="",0,SUMIFS('Lanç. Negócio'!$F$11:$F$1510,'Lanç. Negócio'!$D$11:$D$1510,$B64,'Lanç. Negócio'!$B$11:$B$1510,"&gt;="&amp;I$15,'Lanç. Negócio'!$B$11:$B$1510,"&lt;"&amp;EDATE(I$15,1)))</f>
        <v>0</v>
      </c>
      <c r="J64" s="95">
        <f>IF($B64="",0,SUMIFS('Lanç. Negócio'!$F$11:$F$1510,'Lanç. Negócio'!$D$11:$D$1510,$B64,'Lanç. Negócio'!$B$11:$B$1510,"&gt;="&amp;J$15,'Lanç. Negócio'!$B$11:$B$1510,"&lt;"&amp;EDATE(J$15,1)))</f>
        <v>0</v>
      </c>
      <c r="K64" s="95">
        <f>IF($B64="",0,SUMIFS('Lanç. Negócio'!$F$11:$F$1510,'Lanç. Negócio'!$D$11:$D$1510,$B64,'Lanç. Negócio'!$B$11:$B$1510,"&gt;="&amp;K$15,'Lanç. Negócio'!$B$11:$B$1510,"&lt;"&amp;EDATE(K$15,1)))</f>
        <v>0</v>
      </c>
      <c r="L64" s="95">
        <f>IF($B64="",0,SUMIFS('Lanç. Negócio'!$F$11:$F$1510,'Lanç. Negócio'!$D$11:$D$1510,$B64,'Lanç. Negócio'!$B$11:$B$1510,"&gt;="&amp;L$15,'Lanç. Negócio'!$B$11:$B$1510,"&lt;"&amp;EDATE(L$15,1)))</f>
        <v>0</v>
      </c>
      <c r="M64" s="95">
        <f>IF($B64="",0,SUMIFS('Lanç. Negócio'!$F$11:$F$1510,'Lanç. Negócio'!$D$11:$D$1510,$B64,'Lanç. Negócio'!$B$11:$B$1510,"&gt;="&amp;M$15,'Lanç. Negócio'!$B$11:$B$1510,"&lt;"&amp;EDATE(M$15,1)))</f>
        <v>0</v>
      </c>
      <c r="N64" s="95">
        <f>IF($B64="",0,SUMIFS('Lanç. Negócio'!$F$11:$F$1510,'Lanç. Negócio'!$D$11:$D$1510,$B64,'Lanç. Negócio'!$B$11:$B$1510,"&gt;="&amp;N$15,'Lanç. Negócio'!$B$11:$B$1510,"&lt;"&amp;EDATE(N$15,1)))</f>
        <v>0</v>
      </c>
      <c r="O64" s="96">
        <f>SUM(C64:N64)</f>
        <v>0</v>
      </c>
    </row>
    <row r="65" spans="2:15" ht="16.5" customHeight="1">
      <c r="B65" s="85" t="str">
        <f>IF('Config'!$P$10="","",'Config'!$P$10)</f>
        <v>Software e assinaturas</v>
      </c>
      <c r="C65" s="95">
        <f>IF($B65="",0,SUMIFS('Lanç. Negócio'!$F$11:$F$1510,'Lanç. Negócio'!$D$11:$D$1510,$B65,'Lanç. Negócio'!$B$11:$B$1510,"&gt;="&amp;C$15,'Lanç. Negócio'!$B$11:$B$1510,"&lt;"&amp;EDATE(C$15,1)))</f>
        <v>218.8</v>
      </c>
      <c r="D65" s="95">
        <f>IF($B65="",0,SUMIFS('Lanç. Negócio'!$F$11:$F$1510,'Lanç. Negócio'!$D$11:$D$1510,$B65,'Lanç. Negócio'!$B$11:$B$1510,"&gt;="&amp;D$15,'Lanç. Negócio'!$B$11:$B$1510,"&lt;"&amp;EDATE(D$15,1)))</f>
        <v>218.8</v>
      </c>
      <c r="E65" s="95">
        <f>IF($B65="",0,SUMIFS('Lanç. Negócio'!$F$11:$F$1510,'Lanç. Negócio'!$D$11:$D$1510,$B65,'Lanç. Negócio'!$B$11:$B$1510,"&gt;="&amp;E$15,'Lanç. Negócio'!$B$11:$B$1510,"&lt;"&amp;EDATE(E$15,1)))</f>
        <v>218.8</v>
      </c>
      <c r="F65" s="95">
        <f>IF($B65="",0,SUMIFS('Lanç. Negócio'!$F$11:$F$1510,'Lanç. Negócio'!$D$11:$D$1510,$B65,'Lanç. Negócio'!$B$11:$B$1510,"&gt;="&amp;F$15,'Lanç. Negócio'!$B$11:$B$1510,"&lt;"&amp;EDATE(F$15,1)))</f>
        <v>218.8</v>
      </c>
      <c r="G65" s="95">
        <f>IF($B65="",0,SUMIFS('Lanç. Negócio'!$F$11:$F$1510,'Lanç. Negócio'!$D$11:$D$1510,$B65,'Lanç. Negócio'!$B$11:$B$1510,"&gt;="&amp;G$15,'Lanç. Negócio'!$B$11:$B$1510,"&lt;"&amp;EDATE(G$15,1)))</f>
        <v>218.8</v>
      </c>
      <c r="H65" s="95">
        <f>IF($B65="",0,SUMIFS('Lanç. Negócio'!$F$11:$F$1510,'Lanç. Negócio'!$D$11:$D$1510,$B65,'Lanç. Negócio'!$B$11:$B$1510,"&gt;="&amp;H$15,'Lanç. Negócio'!$B$11:$B$1510,"&lt;"&amp;EDATE(H$15,1)))</f>
        <v>218.8</v>
      </c>
      <c r="I65" s="95">
        <f>IF($B65="",0,SUMIFS('Lanç. Negócio'!$F$11:$F$1510,'Lanç. Negócio'!$D$11:$D$1510,$B65,'Lanç. Negócio'!$B$11:$B$1510,"&gt;="&amp;I$15,'Lanç. Negócio'!$B$11:$B$1510,"&lt;"&amp;EDATE(I$15,1)))</f>
        <v>218.8</v>
      </c>
      <c r="J65" s="95">
        <f>IF($B65="",0,SUMIFS('Lanç. Negócio'!$F$11:$F$1510,'Lanç. Negócio'!$D$11:$D$1510,$B65,'Lanç. Negócio'!$B$11:$B$1510,"&gt;="&amp;J$15,'Lanç. Negócio'!$B$11:$B$1510,"&lt;"&amp;EDATE(J$15,1)))</f>
        <v>218.8</v>
      </c>
      <c r="K65" s="95">
        <f>IF($B65="",0,SUMIFS('Lanç. Negócio'!$F$11:$F$1510,'Lanç. Negócio'!$D$11:$D$1510,$B65,'Lanç. Negócio'!$B$11:$B$1510,"&gt;="&amp;K$15,'Lanç. Negócio'!$B$11:$B$1510,"&lt;"&amp;EDATE(K$15,1)))</f>
        <v>218.8</v>
      </c>
      <c r="L65" s="95">
        <f>IF($B65="",0,SUMIFS('Lanç. Negócio'!$F$11:$F$1510,'Lanç. Negócio'!$D$11:$D$1510,$B65,'Lanç. Negócio'!$B$11:$B$1510,"&gt;="&amp;L$15,'Lanç. Negócio'!$B$11:$B$1510,"&lt;"&amp;EDATE(L$15,1)))</f>
        <v>0</v>
      </c>
      <c r="M65" s="95">
        <f>IF($B65="",0,SUMIFS('Lanç. Negócio'!$F$11:$F$1510,'Lanç. Negócio'!$D$11:$D$1510,$B65,'Lanç. Negócio'!$B$11:$B$1510,"&gt;="&amp;M$15,'Lanç. Negócio'!$B$11:$B$1510,"&lt;"&amp;EDATE(M$15,1)))</f>
        <v>0</v>
      </c>
      <c r="N65" s="95">
        <f>IF($B65="",0,SUMIFS('Lanç. Negócio'!$F$11:$F$1510,'Lanç. Negócio'!$D$11:$D$1510,$B65,'Lanç. Negócio'!$B$11:$B$1510,"&gt;="&amp;N$15,'Lanç. Negócio'!$B$11:$B$1510,"&lt;"&amp;EDATE(N$15,1)))</f>
        <v>0</v>
      </c>
      <c r="O65" s="96">
        <f>SUM(C65:N65)</f>
        <v>1969.2</v>
      </c>
    </row>
    <row r="66" spans="2:15" ht="16.5" customHeight="1">
      <c r="B66" s="85" t="str">
        <f>IF('Config'!$P$11="","",'Config'!$P$11)</f>
        <v>Marketing e anúncios</v>
      </c>
      <c r="C66" s="95">
        <f>IF($B66="",0,SUMIFS('Lanç. Negócio'!$F$11:$F$1510,'Lanç. Negócio'!$D$11:$D$1510,$B66,'Lanç. Negócio'!$B$11:$B$1510,"&gt;="&amp;C$15,'Lanç. Negócio'!$B$11:$B$1510,"&lt;"&amp;EDATE(C$15,1)))</f>
        <v>247.43</v>
      </c>
      <c r="D66" s="95">
        <f>IF($B66="",0,SUMIFS('Lanç. Negócio'!$F$11:$F$1510,'Lanç. Negócio'!$D$11:$D$1510,$B66,'Lanç. Negócio'!$B$11:$B$1510,"&gt;="&amp;D$15,'Lanç. Negócio'!$B$11:$B$1510,"&lt;"&amp;EDATE(D$15,1)))</f>
        <v>259.02</v>
      </c>
      <c r="E66" s="95">
        <f>IF($B66="",0,SUMIFS('Lanç. Negócio'!$F$11:$F$1510,'Lanç. Negócio'!$D$11:$D$1510,$B66,'Lanç. Negócio'!$B$11:$B$1510,"&gt;="&amp;E$15,'Lanç. Negócio'!$B$11:$B$1510,"&lt;"&amp;EDATE(E$15,1)))</f>
        <v>208.41</v>
      </c>
      <c r="F66" s="95">
        <f>IF($B66="",0,SUMIFS('Lanç. Negócio'!$F$11:$F$1510,'Lanç. Negócio'!$D$11:$D$1510,$B66,'Lanç. Negócio'!$B$11:$B$1510,"&gt;="&amp;F$15,'Lanç. Negócio'!$B$11:$B$1510,"&lt;"&amp;EDATE(F$15,1)))</f>
        <v>326.45</v>
      </c>
      <c r="G66" s="95">
        <f>IF($B66="",0,SUMIFS('Lanç. Negócio'!$F$11:$F$1510,'Lanç. Negócio'!$D$11:$D$1510,$B66,'Lanç. Negócio'!$B$11:$B$1510,"&gt;="&amp;G$15,'Lanç. Negócio'!$B$11:$B$1510,"&lt;"&amp;EDATE(G$15,1)))</f>
        <v>198.23</v>
      </c>
      <c r="H66" s="95">
        <f>IF($B66="",0,SUMIFS('Lanç. Negócio'!$F$11:$F$1510,'Lanç. Negócio'!$D$11:$D$1510,$B66,'Lanç. Negócio'!$B$11:$B$1510,"&gt;="&amp;H$15,'Lanç. Negócio'!$B$11:$B$1510,"&lt;"&amp;EDATE(H$15,1)))</f>
        <v>234.08</v>
      </c>
      <c r="I66" s="95">
        <f>IF($B66="",0,SUMIFS('Lanç. Negócio'!$F$11:$F$1510,'Lanç. Negócio'!$D$11:$D$1510,$B66,'Lanç. Negócio'!$B$11:$B$1510,"&gt;="&amp;I$15,'Lanç. Negócio'!$B$11:$B$1510,"&lt;"&amp;EDATE(I$15,1)))</f>
        <v>327.94</v>
      </c>
      <c r="J66" s="95">
        <f>IF($B66="",0,SUMIFS('Lanç. Negócio'!$F$11:$F$1510,'Lanç. Negócio'!$D$11:$D$1510,$B66,'Lanç. Negócio'!$B$11:$B$1510,"&gt;="&amp;J$15,'Lanç. Negócio'!$B$11:$B$1510,"&lt;"&amp;EDATE(J$15,1)))</f>
        <v>341.16</v>
      </c>
      <c r="K66" s="95">
        <f>IF($B66="",0,SUMIFS('Lanç. Negócio'!$F$11:$F$1510,'Lanç. Negócio'!$D$11:$D$1510,$B66,'Lanç. Negócio'!$B$11:$B$1510,"&gt;="&amp;K$15,'Lanç. Negócio'!$B$11:$B$1510,"&lt;"&amp;EDATE(K$15,1)))</f>
        <v>165.34</v>
      </c>
      <c r="L66" s="95">
        <f>IF($B66="",0,SUMIFS('Lanç. Negócio'!$F$11:$F$1510,'Lanç. Negócio'!$D$11:$D$1510,$B66,'Lanç. Negócio'!$B$11:$B$1510,"&gt;="&amp;L$15,'Lanç. Negócio'!$B$11:$B$1510,"&lt;"&amp;EDATE(L$15,1)))</f>
        <v>0</v>
      </c>
      <c r="M66" s="95">
        <f>IF($B66="",0,SUMIFS('Lanç. Negócio'!$F$11:$F$1510,'Lanç. Negócio'!$D$11:$D$1510,$B66,'Lanç. Negócio'!$B$11:$B$1510,"&gt;="&amp;M$15,'Lanç. Negócio'!$B$11:$B$1510,"&lt;"&amp;EDATE(M$15,1)))</f>
        <v>0</v>
      </c>
      <c r="N66" s="95">
        <f>IF($B66="",0,SUMIFS('Lanç. Negócio'!$F$11:$F$1510,'Lanç. Negócio'!$D$11:$D$1510,$B66,'Lanç. Negócio'!$B$11:$B$1510,"&gt;="&amp;N$15,'Lanç. Negócio'!$B$11:$B$1510,"&lt;"&amp;EDATE(N$15,1)))</f>
        <v>0</v>
      </c>
      <c r="O66" s="96">
        <f>SUM(C66:N66)</f>
        <v>2308.06</v>
      </c>
    </row>
    <row r="67" spans="2:15" ht="16.5" customHeight="1">
      <c r="B67" s="85" t="str">
        <f>IF('Config'!$P$12="","",'Config'!$P$12)</f>
        <v>Equipamentos</v>
      </c>
      <c r="C67" s="95">
        <f>IF($B67="",0,SUMIFS('Lanç. Negócio'!$F$11:$F$1510,'Lanç. Negócio'!$D$11:$D$1510,$B67,'Lanç. Negócio'!$B$11:$B$1510,"&gt;="&amp;C$15,'Lanç. Negócio'!$B$11:$B$1510,"&lt;"&amp;EDATE(C$15,1)))</f>
        <v>0</v>
      </c>
      <c r="D67" s="95">
        <f>IF($B67="",0,SUMIFS('Lanç. Negócio'!$F$11:$F$1510,'Lanç. Negócio'!$D$11:$D$1510,$B67,'Lanç. Negócio'!$B$11:$B$1510,"&gt;="&amp;D$15,'Lanç. Negócio'!$B$11:$B$1510,"&lt;"&amp;EDATE(D$15,1)))</f>
        <v>0</v>
      </c>
      <c r="E67" s="95">
        <f>IF($B67="",0,SUMIFS('Lanç. Negócio'!$F$11:$F$1510,'Lanç. Negócio'!$D$11:$D$1510,$B67,'Lanç. Negócio'!$B$11:$B$1510,"&gt;="&amp;E$15,'Lanç. Negócio'!$B$11:$B$1510,"&lt;"&amp;EDATE(E$15,1)))</f>
        <v>0</v>
      </c>
      <c r="F67" s="95">
        <f>IF($B67="",0,SUMIFS('Lanç. Negócio'!$F$11:$F$1510,'Lanç. Negócio'!$D$11:$D$1510,$B67,'Lanç. Negócio'!$B$11:$B$1510,"&gt;="&amp;F$15,'Lanç. Negócio'!$B$11:$B$1510,"&lt;"&amp;EDATE(F$15,1)))</f>
        <v>0</v>
      </c>
      <c r="G67" s="95">
        <f>IF($B67="",0,SUMIFS('Lanç. Negócio'!$F$11:$F$1510,'Lanç. Negócio'!$D$11:$D$1510,$B67,'Lanç. Negócio'!$B$11:$B$1510,"&gt;="&amp;G$15,'Lanç. Negócio'!$B$11:$B$1510,"&lt;"&amp;EDATE(G$15,1)))</f>
        <v>0</v>
      </c>
      <c r="H67" s="95">
        <f>IF($B67="",0,SUMIFS('Lanç. Negócio'!$F$11:$F$1510,'Lanç. Negócio'!$D$11:$D$1510,$B67,'Lanç. Negócio'!$B$11:$B$1510,"&gt;="&amp;H$15,'Lanç. Negócio'!$B$11:$B$1510,"&lt;"&amp;EDATE(H$15,1)))</f>
        <v>1480</v>
      </c>
      <c r="I67" s="95">
        <f>IF($B67="",0,SUMIFS('Lanç. Negócio'!$F$11:$F$1510,'Lanç. Negócio'!$D$11:$D$1510,$B67,'Lanç. Negócio'!$B$11:$B$1510,"&gt;="&amp;I$15,'Lanç. Negócio'!$B$11:$B$1510,"&lt;"&amp;EDATE(I$15,1)))</f>
        <v>0</v>
      </c>
      <c r="J67" s="95">
        <f>IF($B67="",0,SUMIFS('Lanç. Negócio'!$F$11:$F$1510,'Lanç. Negócio'!$D$11:$D$1510,$B67,'Lanç. Negócio'!$B$11:$B$1510,"&gt;="&amp;J$15,'Lanç. Negócio'!$B$11:$B$1510,"&lt;"&amp;EDATE(J$15,1)))</f>
        <v>0</v>
      </c>
      <c r="K67" s="95">
        <f>IF($B67="",0,SUMIFS('Lanç. Negócio'!$F$11:$F$1510,'Lanç. Negócio'!$D$11:$D$1510,$B67,'Lanç. Negócio'!$B$11:$B$1510,"&gt;="&amp;K$15,'Lanç. Negócio'!$B$11:$B$1510,"&lt;"&amp;EDATE(K$15,1)))</f>
        <v>0</v>
      </c>
      <c r="L67" s="95">
        <f>IF($B67="",0,SUMIFS('Lanç. Negócio'!$F$11:$F$1510,'Lanç. Negócio'!$D$11:$D$1510,$B67,'Lanç. Negócio'!$B$11:$B$1510,"&gt;="&amp;L$15,'Lanç. Negócio'!$B$11:$B$1510,"&lt;"&amp;EDATE(L$15,1)))</f>
        <v>0</v>
      </c>
      <c r="M67" s="95">
        <f>IF($B67="",0,SUMIFS('Lanç. Negócio'!$F$11:$F$1510,'Lanç. Negócio'!$D$11:$D$1510,$B67,'Lanç. Negócio'!$B$11:$B$1510,"&gt;="&amp;M$15,'Lanç. Negócio'!$B$11:$B$1510,"&lt;"&amp;EDATE(M$15,1)))</f>
        <v>0</v>
      </c>
      <c r="N67" s="95">
        <f>IF($B67="",0,SUMIFS('Lanç. Negócio'!$F$11:$F$1510,'Lanç. Negócio'!$D$11:$D$1510,$B67,'Lanç. Negócio'!$B$11:$B$1510,"&gt;="&amp;N$15,'Lanç. Negócio'!$B$11:$B$1510,"&lt;"&amp;EDATE(N$15,1)))</f>
        <v>0</v>
      </c>
      <c r="O67" s="96">
        <f>SUM(C67:N67)</f>
        <v>1480</v>
      </c>
    </row>
    <row r="68" spans="2:15" ht="16.5" customHeight="1">
      <c r="B68" s="85" t="str">
        <f>IF('Config'!$P$13="","",'Config'!$P$13)</f>
        <v>Transporte e viagens</v>
      </c>
      <c r="C68" s="95">
        <f>IF($B68="",0,SUMIFS('Lanç. Negócio'!$F$11:$F$1510,'Lanç. Negócio'!$D$11:$D$1510,$B68,'Lanç. Negócio'!$B$11:$B$1510,"&gt;="&amp;C$15,'Lanç. Negócio'!$B$11:$B$1510,"&lt;"&amp;EDATE(C$15,1)))</f>
        <v>117.27</v>
      </c>
      <c r="D68" s="95">
        <f>IF($B68="",0,SUMIFS('Lanç. Negócio'!$F$11:$F$1510,'Lanç. Negócio'!$D$11:$D$1510,$B68,'Lanç. Negócio'!$B$11:$B$1510,"&gt;="&amp;D$15,'Lanç. Negócio'!$B$11:$B$1510,"&lt;"&amp;EDATE(D$15,1)))</f>
        <v>143.24</v>
      </c>
      <c r="E68" s="95">
        <f>IF($B68="",0,SUMIFS('Lanç. Negócio'!$F$11:$F$1510,'Lanç. Negócio'!$D$11:$D$1510,$B68,'Lanç. Negócio'!$B$11:$B$1510,"&gt;="&amp;E$15,'Lanç. Negócio'!$B$11:$B$1510,"&lt;"&amp;EDATE(E$15,1)))</f>
        <v>189.7</v>
      </c>
      <c r="F68" s="95">
        <f>IF($B68="",0,SUMIFS('Lanç. Negócio'!$F$11:$F$1510,'Lanç. Negócio'!$D$11:$D$1510,$B68,'Lanç. Negócio'!$B$11:$B$1510,"&gt;="&amp;F$15,'Lanç. Negócio'!$B$11:$B$1510,"&lt;"&amp;EDATE(F$15,1)))</f>
        <v>152.02</v>
      </c>
      <c r="G68" s="95">
        <f>IF($B68="",0,SUMIFS('Lanç. Negócio'!$F$11:$F$1510,'Lanç. Negócio'!$D$11:$D$1510,$B68,'Lanç. Negócio'!$B$11:$B$1510,"&gt;="&amp;G$15,'Lanç. Negócio'!$B$11:$B$1510,"&lt;"&amp;EDATE(G$15,1)))</f>
        <v>97.58</v>
      </c>
      <c r="H68" s="95">
        <f>IF($B68="",0,SUMIFS('Lanç. Negócio'!$F$11:$F$1510,'Lanç. Negócio'!$D$11:$D$1510,$B68,'Lanç. Negócio'!$B$11:$B$1510,"&gt;="&amp;H$15,'Lanç. Negócio'!$B$11:$B$1510,"&lt;"&amp;EDATE(H$15,1)))</f>
        <v>170.06</v>
      </c>
      <c r="I68" s="95">
        <f>IF($B68="",0,SUMIFS('Lanç. Negócio'!$F$11:$F$1510,'Lanç. Negócio'!$D$11:$D$1510,$B68,'Lanç. Negócio'!$B$11:$B$1510,"&gt;="&amp;I$15,'Lanç. Negócio'!$B$11:$B$1510,"&lt;"&amp;EDATE(I$15,1)))</f>
        <v>60.07</v>
      </c>
      <c r="J68" s="95">
        <f>IF($B68="",0,SUMIFS('Lanç. Negócio'!$F$11:$F$1510,'Lanç. Negócio'!$D$11:$D$1510,$B68,'Lanç. Negócio'!$B$11:$B$1510,"&gt;="&amp;J$15,'Lanç. Negócio'!$B$11:$B$1510,"&lt;"&amp;EDATE(J$15,1)))</f>
        <v>121.1</v>
      </c>
      <c r="K68" s="95">
        <f>IF($B68="",0,SUMIFS('Lanç. Negócio'!$F$11:$F$1510,'Lanç. Negócio'!$D$11:$D$1510,$B68,'Lanç. Negócio'!$B$11:$B$1510,"&gt;="&amp;K$15,'Lanç. Negócio'!$B$11:$B$1510,"&lt;"&amp;EDATE(K$15,1)))</f>
        <v>141.83</v>
      </c>
      <c r="L68" s="95">
        <f>IF($B68="",0,SUMIFS('Lanç. Negócio'!$F$11:$F$1510,'Lanç. Negócio'!$D$11:$D$1510,$B68,'Lanç. Negócio'!$B$11:$B$1510,"&gt;="&amp;L$15,'Lanç. Negócio'!$B$11:$B$1510,"&lt;"&amp;EDATE(L$15,1)))</f>
        <v>0</v>
      </c>
      <c r="M68" s="95">
        <f>IF($B68="",0,SUMIFS('Lanç. Negócio'!$F$11:$F$1510,'Lanç. Negócio'!$D$11:$D$1510,$B68,'Lanç. Negócio'!$B$11:$B$1510,"&gt;="&amp;M$15,'Lanç. Negócio'!$B$11:$B$1510,"&lt;"&amp;EDATE(M$15,1)))</f>
        <v>0</v>
      </c>
      <c r="N68" s="95">
        <f>IF($B68="",0,SUMIFS('Lanç. Negócio'!$F$11:$F$1510,'Lanç. Negócio'!$D$11:$D$1510,$B68,'Lanç. Negócio'!$B$11:$B$1510,"&gt;="&amp;N$15,'Lanç. Negócio'!$B$11:$B$1510,"&lt;"&amp;EDATE(N$15,1)))</f>
        <v>0</v>
      </c>
      <c r="O68" s="96">
        <f>SUM(C68:N68)</f>
        <v>1192.87</v>
      </c>
    </row>
    <row r="69" spans="2:15" ht="16.5" customHeight="1">
      <c r="B69" s="85" t="str">
        <f>IF('Config'!$P$14="","",'Config'!$P$14)</f>
        <v>Alimentação a trabalho</v>
      </c>
      <c r="C69" s="95">
        <f>IF($B69="",0,SUMIFS('Lanç. Negócio'!$F$11:$F$1510,'Lanç. Negócio'!$D$11:$D$1510,$B69,'Lanç. Negócio'!$B$11:$B$1510,"&gt;="&amp;C$15,'Lanç. Negócio'!$B$11:$B$1510,"&lt;"&amp;EDATE(C$15,1)))</f>
        <v>0</v>
      </c>
      <c r="D69" s="95">
        <f>IF($B69="",0,SUMIFS('Lanç. Negócio'!$F$11:$F$1510,'Lanç. Negócio'!$D$11:$D$1510,$B69,'Lanç. Negócio'!$B$11:$B$1510,"&gt;="&amp;D$15,'Lanç. Negócio'!$B$11:$B$1510,"&lt;"&amp;EDATE(D$15,1)))</f>
        <v>104.98</v>
      </c>
      <c r="E69" s="95">
        <f>IF($B69="",0,SUMIFS('Lanç. Negócio'!$F$11:$F$1510,'Lanç. Negócio'!$D$11:$D$1510,$B69,'Lanç. Negócio'!$B$11:$B$1510,"&gt;="&amp;E$15,'Lanç. Negócio'!$B$11:$B$1510,"&lt;"&amp;EDATE(E$15,1)))</f>
        <v>0</v>
      </c>
      <c r="F69" s="95">
        <f>IF($B69="",0,SUMIFS('Lanç. Negócio'!$F$11:$F$1510,'Lanç. Negócio'!$D$11:$D$1510,$B69,'Lanç. Negócio'!$B$11:$B$1510,"&gt;="&amp;F$15,'Lanç. Negócio'!$B$11:$B$1510,"&lt;"&amp;EDATE(F$15,1)))</f>
        <v>0</v>
      </c>
      <c r="G69" s="95">
        <f>IF($B69="",0,SUMIFS('Lanç. Negócio'!$F$11:$F$1510,'Lanç. Negócio'!$D$11:$D$1510,$B69,'Lanç. Negócio'!$B$11:$B$1510,"&gt;="&amp;G$15,'Lanç. Negócio'!$B$11:$B$1510,"&lt;"&amp;EDATE(G$15,1)))</f>
        <v>74.92</v>
      </c>
      <c r="H69" s="95">
        <f>IF($B69="",0,SUMIFS('Lanç. Negócio'!$F$11:$F$1510,'Lanç. Negócio'!$D$11:$D$1510,$B69,'Lanç. Negócio'!$B$11:$B$1510,"&gt;="&amp;H$15,'Lanç. Negócio'!$B$11:$B$1510,"&lt;"&amp;EDATE(H$15,1)))</f>
        <v>0</v>
      </c>
      <c r="I69" s="95">
        <f>IF($B69="",0,SUMIFS('Lanç. Negócio'!$F$11:$F$1510,'Lanç. Negócio'!$D$11:$D$1510,$B69,'Lanç. Negócio'!$B$11:$B$1510,"&gt;="&amp;I$15,'Lanç. Negócio'!$B$11:$B$1510,"&lt;"&amp;EDATE(I$15,1)))</f>
        <v>0</v>
      </c>
      <c r="J69" s="95">
        <f>IF($B69="",0,SUMIFS('Lanç. Negócio'!$F$11:$F$1510,'Lanç. Negócio'!$D$11:$D$1510,$B69,'Lanç. Negócio'!$B$11:$B$1510,"&gt;="&amp;J$15,'Lanç. Negócio'!$B$11:$B$1510,"&lt;"&amp;EDATE(J$15,1)))</f>
        <v>138.63</v>
      </c>
      <c r="K69" s="95">
        <f>IF($B69="",0,SUMIFS('Lanç. Negócio'!$F$11:$F$1510,'Lanç. Negócio'!$D$11:$D$1510,$B69,'Lanç. Negócio'!$B$11:$B$1510,"&gt;="&amp;K$15,'Lanç. Negócio'!$B$11:$B$1510,"&lt;"&amp;EDATE(K$15,1)))</f>
        <v>0</v>
      </c>
      <c r="L69" s="95">
        <f>IF($B69="",0,SUMIFS('Lanç. Negócio'!$F$11:$F$1510,'Lanç. Negócio'!$D$11:$D$1510,$B69,'Lanç. Negócio'!$B$11:$B$1510,"&gt;="&amp;L$15,'Lanç. Negócio'!$B$11:$B$1510,"&lt;"&amp;EDATE(L$15,1)))</f>
        <v>0</v>
      </c>
      <c r="M69" s="95">
        <f>IF($B69="",0,SUMIFS('Lanç. Negócio'!$F$11:$F$1510,'Lanç. Negócio'!$D$11:$D$1510,$B69,'Lanç. Negócio'!$B$11:$B$1510,"&gt;="&amp;M$15,'Lanç. Negócio'!$B$11:$B$1510,"&lt;"&amp;EDATE(M$15,1)))</f>
        <v>0</v>
      </c>
      <c r="N69" s="95">
        <f>IF($B69="",0,SUMIFS('Lanç. Negócio'!$F$11:$F$1510,'Lanç. Negócio'!$D$11:$D$1510,$B69,'Lanç. Negócio'!$B$11:$B$1510,"&gt;="&amp;N$15,'Lanç. Negócio'!$B$11:$B$1510,"&lt;"&amp;EDATE(N$15,1)))</f>
        <v>0</v>
      </c>
      <c r="O69" s="96">
        <f>SUM(C69:N69)</f>
        <v>318.53</v>
      </c>
    </row>
    <row r="70" spans="2:15" ht="16.5" customHeight="1">
      <c r="B70" s="85" t="str">
        <f>IF('Config'!$P$15="","",'Config'!$P$15)</f>
        <v>Aluguel / coworking</v>
      </c>
      <c r="C70" s="95">
        <f>IF($B70="",0,SUMIFS('Lanç. Negócio'!$F$11:$F$1510,'Lanç. Negócio'!$D$11:$D$1510,$B70,'Lanç. Negócio'!$B$11:$B$1510,"&gt;="&amp;C$15,'Lanç. Negócio'!$B$11:$B$1510,"&lt;"&amp;EDATE(C$15,1)))</f>
        <v>450</v>
      </c>
      <c r="D70" s="95">
        <f>IF($B70="",0,SUMIFS('Lanç. Negócio'!$F$11:$F$1510,'Lanç. Negócio'!$D$11:$D$1510,$B70,'Lanç. Negócio'!$B$11:$B$1510,"&gt;="&amp;D$15,'Lanç. Negócio'!$B$11:$B$1510,"&lt;"&amp;EDATE(D$15,1)))</f>
        <v>450</v>
      </c>
      <c r="E70" s="95">
        <f>IF($B70="",0,SUMIFS('Lanç. Negócio'!$F$11:$F$1510,'Lanç. Negócio'!$D$11:$D$1510,$B70,'Lanç. Negócio'!$B$11:$B$1510,"&gt;="&amp;E$15,'Lanç. Negócio'!$B$11:$B$1510,"&lt;"&amp;EDATE(E$15,1)))</f>
        <v>450</v>
      </c>
      <c r="F70" s="95">
        <f>IF($B70="",0,SUMIFS('Lanç. Negócio'!$F$11:$F$1510,'Lanç. Negócio'!$D$11:$D$1510,$B70,'Lanç. Negócio'!$B$11:$B$1510,"&gt;="&amp;F$15,'Lanç. Negócio'!$B$11:$B$1510,"&lt;"&amp;EDATE(F$15,1)))</f>
        <v>450</v>
      </c>
      <c r="G70" s="95">
        <f>IF($B70="",0,SUMIFS('Lanç. Negócio'!$F$11:$F$1510,'Lanç. Negócio'!$D$11:$D$1510,$B70,'Lanç. Negócio'!$B$11:$B$1510,"&gt;="&amp;G$15,'Lanç. Negócio'!$B$11:$B$1510,"&lt;"&amp;EDATE(G$15,1)))</f>
        <v>450</v>
      </c>
      <c r="H70" s="95">
        <f>IF($B70="",0,SUMIFS('Lanç. Negócio'!$F$11:$F$1510,'Lanç. Negócio'!$D$11:$D$1510,$B70,'Lanç. Negócio'!$B$11:$B$1510,"&gt;="&amp;H$15,'Lanç. Negócio'!$B$11:$B$1510,"&lt;"&amp;EDATE(H$15,1)))</f>
        <v>450</v>
      </c>
      <c r="I70" s="95">
        <f>IF($B70="",0,SUMIFS('Lanç. Negócio'!$F$11:$F$1510,'Lanç. Negócio'!$D$11:$D$1510,$B70,'Lanç. Negócio'!$B$11:$B$1510,"&gt;="&amp;I$15,'Lanç. Negócio'!$B$11:$B$1510,"&lt;"&amp;EDATE(I$15,1)))</f>
        <v>450</v>
      </c>
      <c r="J70" s="95">
        <f>IF($B70="",0,SUMIFS('Lanç. Negócio'!$F$11:$F$1510,'Lanç. Negócio'!$D$11:$D$1510,$B70,'Lanç. Negócio'!$B$11:$B$1510,"&gt;="&amp;J$15,'Lanç. Negócio'!$B$11:$B$1510,"&lt;"&amp;EDATE(J$15,1)))</f>
        <v>450</v>
      </c>
      <c r="K70" s="95">
        <f>IF($B70="",0,SUMIFS('Lanç. Negócio'!$F$11:$F$1510,'Lanç. Negócio'!$D$11:$D$1510,$B70,'Lanç. Negócio'!$B$11:$B$1510,"&gt;="&amp;K$15,'Lanç. Negócio'!$B$11:$B$1510,"&lt;"&amp;EDATE(K$15,1)))</f>
        <v>450</v>
      </c>
      <c r="L70" s="95">
        <f>IF($B70="",0,SUMIFS('Lanç. Negócio'!$F$11:$F$1510,'Lanç. Negócio'!$D$11:$D$1510,$B70,'Lanç. Negócio'!$B$11:$B$1510,"&gt;="&amp;L$15,'Lanç. Negócio'!$B$11:$B$1510,"&lt;"&amp;EDATE(L$15,1)))</f>
        <v>0</v>
      </c>
      <c r="M70" s="95">
        <f>IF($B70="",0,SUMIFS('Lanç. Negócio'!$F$11:$F$1510,'Lanç. Negócio'!$D$11:$D$1510,$B70,'Lanç. Negócio'!$B$11:$B$1510,"&gt;="&amp;M$15,'Lanç. Negócio'!$B$11:$B$1510,"&lt;"&amp;EDATE(M$15,1)))</f>
        <v>0</v>
      </c>
      <c r="N70" s="95">
        <f>IF($B70="",0,SUMIFS('Lanç. Negócio'!$F$11:$F$1510,'Lanç. Negócio'!$D$11:$D$1510,$B70,'Lanç. Negócio'!$B$11:$B$1510,"&gt;="&amp;N$15,'Lanç. Negócio'!$B$11:$B$1510,"&lt;"&amp;EDATE(N$15,1)))</f>
        <v>0</v>
      </c>
      <c r="O70" s="96">
        <f>SUM(C70:N70)</f>
        <v>4050</v>
      </c>
    </row>
    <row r="71" spans="2:15" ht="16.5" customHeight="1">
      <c r="B71" s="85" t="str">
        <f>IF('Config'!$P$16="","",'Config'!$P$16)</f>
        <v>Internet e telefone</v>
      </c>
      <c r="C71" s="95">
        <f>IF($B71="",0,SUMIFS('Lanç. Negócio'!$F$11:$F$1510,'Lanç. Negócio'!$D$11:$D$1510,$B71,'Lanç. Negócio'!$B$11:$B$1510,"&gt;="&amp;C$15,'Lanç. Negócio'!$B$11:$B$1510,"&lt;"&amp;EDATE(C$15,1)))</f>
        <v>140</v>
      </c>
      <c r="D71" s="95">
        <f>IF($B71="",0,SUMIFS('Lanç. Negócio'!$F$11:$F$1510,'Lanç. Negócio'!$D$11:$D$1510,$B71,'Lanç. Negócio'!$B$11:$B$1510,"&gt;="&amp;D$15,'Lanç. Negócio'!$B$11:$B$1510,"&lt;"&amp;EDATE(D$15,1)))</f>
        <v>140</v>
      </c>
      <c r="E71" s="95">
        <f>IF($B71="",0,SUMIFS('Lanç. Negócio'!$F$11:$F$1510,'Lanç. Negócio'!$D$11:$D$1510,$B71,'Lanç. Negócio'!$B$11:$B$1510,"&gt;="&amp;E$15,'Lanç. Negócio'!$B$11:$B$1510,"&lt;"&amp;EDATE(E$15,1)))</f>
        <v>140</v>
      </c>
      <c r="F71" s="95">
        <f>IF($B71="",0,SUMIFS('Lanç. Negócio'!$F$11:$F$1510,'Lanç. Negócio'!$D$11:$D$1510,$B71,'Lanç. Negócio'!$B$11:$B$1510,"&gt;="&amp;F$15,'Lanç. Negócio'!$B$11:$B$1510,"&lt;"&amp;EDATE(F$15,1)))</f>
        <v>140</v>
      </c>
      <c r="G71" s="95">
        <f>IF($B71="",0,SUMIFS('Lanç. Negócio'!$F$11:$F$1510,'Lanç. Negócio'!$D$11:$D$1510,$B71,'Lanç. Negócio'!$B$11:$B$1510,"&gt;="&amp;G$15,'Lanç. Negócio'!$B$11:$B$1510,"&lt;"&amp;EDATE(G$15,1)))</f>
        <v>140</v>
      </c>
      <c r="H71" s="95">
        <f>IF($B71="",0,SUMIFS('Lanç. Negócio'!$F$11:$F$1510,'Lanç. Negócio'!$D$11:$D$1510,$B71,'Lanç. Negócio'!$B$11:$B$1510,"&gt;="&amp;H$15,'Lanç. Negócio'!$B$11:$B$1510,"&lt;"&amp;EDATE(H$15,1)))</f>
        <v>140</v>
      </c>
      <c r="I71" s="95">
        <f>IF($B71="",0,SUMIFS('Lanç. Negócio'!$F$11:$F$1510,'Lanç. Negócio'!$D$11:$D$1510,$B71,'Lanç. Negócio'!$B$11:$B$1510,"&gt;="&amp;I$15,'Lanç. Negócio'!$B$11:$B$1510,"&lt;"&amp;EDATE(I$15,1)))</f>
        <v>140</v>
      </c>
      <c r="J71" s="95">
        <f>IF($B71="",0,SUMIFS('Lanç. Negócio'!$F$11:$F$1510,'Lanç. Negócio'!$D$11:$D$1510,$B71,'Lanç. Negócio'!$B$11:$B$1510,"&gt;="&amp;J$15,'Lanç. Negócio'!$B$11:$B$1510,"&lt;"&amp;EDATE(J$15,1)))</f>
        <v>140</v>
      </c>
      <c r="K71" s="95">
        <f>IF($B71="",0,SUMIFS('Lanç. Negócio'!$F$11:$F$1510,'Lanç. Negócio'!$D$11:$D$1510,$B71,'Lanç. Negócio'!$B$11:$B$1510,"&gt;="&amp;K$15,'Lanç. Negócio'!$B$11:$B$1510,"&lt;"&amp;EDATE(K$15,1)))</f>
        <v>140</v>
      </c>
      <c r="L71" s="95">
        <f>IF($B71="",0,SUMIFS('Lanç. Negócio'!$F$11:$F$1510,'Lanç. Negócio'!$D$11:$D$1510,$B71,'Lanç. Negócio'!$B$11:$B$1510,"&gt;="&amp;L$15,'Lanç. Negócio'!$B$11:$B$1510,"&lt;"&amp;EDATE(L$15,1)))</f>
        <v>0</v>
      </c>
      <c r="M71" s="95">
        <f>IF($B71="",0,SUMIFS('Lanç. Negócio'!$F$11:$F$1510,'Lanç. Negócio'!$D$11:$D$1510,$B71,'Lanç. Negócio'!$B$11:$B$1510,"&gt;="&amp;M$15,'Lanç. Negócio'!$B$11:$B$1510,"&lt;"&amp;EDATE(M$15,1)))</f>
        <v>0</v>
      </c>
      <c r="N71" s="95">
        <f>IF($B71="",0,SUMIFS('Lanç. Negócio'!$F$11:$F$1510,'Lanç. Negócio'!$D$11:$D$1510,$B71,'Lanç. Negócio'!$B$11:$B$1510,"&gt;="&amp;N$15,'Lanç. Negócio'!$B$11:$B$1510,"&lt;"&amp;EDATE(N$15,1)))</f>
        <v>0</v>
      </c>
      <c r="O71" s="96">
        <f>SUM(C71:N71)</f>
        <v>1260</v>
      </c>
    </row>
    <row r="72" spans="2:15" ht="16.5" customHeight="1">
      <c r="B72" s="85" t="str">
        <f>IF('Config'!$P$17="","",'Config'!$P$17)</f>
        <v>Contabilidade</v>
      </c>
      <c r="C72" s="95">
        <f>IF($B72="",0,SUMIFS('Lanç. Negócio'!$F$11:$F$1510,'Lanç. Negócio'!$D$11:$D$1510,$B72,'Lanç. Negócio'!$B$11:$B$1510,"&gt;="&amp;C$15,'Lanç. Negócio'!$B$11:$B$1510,"&lt;"&amp;EDATE(C$15,1)))</f>
        <v>0</v>
      </c>
      <c r="D72" s="95">
        <f>IF($B72="",0,SUMIFS('Lanç. Negócio'!$F$11:$F$1510,'Lanç. Negócio'!$D$11:$D$1510,$B72,'Lanç. Negócio'!$B$11:$B$1510,"&gt;="&amp;D$15,'Lanç. Negócio'!$B$11:$B$1510,"&lt;"&amp;EDATE(D$15,1)))</f>
        <v>0</v>
      </c>
      <c r="E72" s="95">
        <f>IF($B72="",0,SUMIFS('Lanç. Negócio'!$F$11:$F$1510,'Lanç. Negócio'!$D$11:$D$1510,$B72,'Lanç. Negócio'!$B$11:$B$1510,"&gt;="&amp;E$15,'Lanç. Negócio'!$B$11:$B$1510,"&lt;"&amp;EDATE(E$15,1)))</f>
        <v>0</v>
      </c>
      <c r="F72" s="95">
        <f>IF($B72="",0,SUMIFS('Lanç. Negócio'!$F$11:$F$1510,'Lanç. Negócio'!$D$11:$D$1510,$B72,'Lanç. Negócio'!$B$11:$B$1510,"&gt;="&amp;F$15,'Lanç. Negócio'!$B$11:$B$1510,"&lt;"&amp;EDATE(F$15,1)))</f>
        <v>0</v>
      </c>
      <c r="G72" s="95">
        <f>IF($B72="",0,SUMIFS('Lanç. Negócio'!$F$11:$F$1510,'Lanç. Negócio'!$D$11:$D$1510,$B72,'Lanç. Negócio'!$B$11:$B$1510,"&gt;="&amp;G$15,'Lanç. Negócio'!$B$11:$B$1510,"&lt;"&amp;EDATE(G$15,1)))</f>
        <v>0</v>
      </c>
      <c r="H72" s="95">
        <f>IF($B72="",0,SUMIFS('Lanç. Negócio'!$F$11:$F$1510,'Lanç. Negócio'!$D$11:$D$1510,$B72,'Lanç. Negócio'!$B$11:$B$1510,"&gt;="&amp;H$15,'Lanç. Negócio'!$B$11:$B$1510,"&lt;"&amp;EDATE(H$15,1)))</f>
        <v>0</v>
      </c>
      <c r="I72" s="95">
        <f>IF($B72="",0,SUMIFS('Lanç. Negócio'!$F$11:$F$1510,'Lanç. Negócio'!$D$11:$D$1510,$B72,'Lanç. Negócio'!$B$11:$B$1510,"&gt;="&amp;I$15,'Lanç. Negócio'!$B$11:$B$1510,"&lt;"&amp;EDATE(I$15,1)))</f>
        <v>0</v>
      </c>
      <c r="J72" s="95">
        <f>IF($B72="",0,SUMIFS('Lanç. Negócio'!$F$11:$F$1510,'Lanç. Negócio'!$D$11:$D$1510,$B72,'Lanç. Negócio'!$B$11:$B$1510,"&gt;="&amp;J$15,'Lanç. Negócio'!$B$11:$B$1510,"&lt;"&amp;EDATE(J$15,1)))</f>
        <v>0</v>
      </c>
      <c r="K72" s="95">
        <f>IF($B72="",0,SUMIFS('Lanç. Negócio'!$F$11:$F$1510,'Lanç. Negócio'!$D$11:$D$1510,$B72,'Lanç. Negócio'!$B$11:$B$1510,"&gt;="&amp;K$15,'Lanç. Negócio'!$B$11:$B$1510,"&lt;"&amp;EDATE(K$15,1)))</f>
        <v>0</v>
      </c>
      <c r="L72" s="95">
        <f>IF($B72="",0,SUMIFS('Lanç. Negócio'!$F$11:$F$1510,'Lanç. Negócio'!$D$11:$D$1510,$B72,'Lanç. Negócio'!$B$11:$B$1510,"&gt;="&amp;L$15,'Lanç. Negócio'!$B$11:$B$1510,"&lt;"&amp;EDATE(L$15,1)))</f>
        <v>0</v>
      </c>
      <c r="M72" s="95">
        <f>IF($B72="",0,SUMIFS('Lanç. Negócio'!$F$11:$F$1510,'Lanç. Negócio'!$D$11:$D$1510,$B72,'Lanç. Negócio'!$B$11:$B$1510,"&gt;="&amp;M$15,'Lanç. Negócio'!$B$11:$B$1510,"&lt;"&amp;EDATE(M$15,1)))</f>
        <v>0</v>
      </c>
      <c r="N72" s="95">
        <f>IF($B72="",0,SUMIFS('Lanç. Negócio'!$F$11:$F$1510,'Lanç. Negócio'!$D$11:$D$1510,$B72,'Lanç. Negócio'!$B$11:$B$1510,"&gt;="&amp;N$15,'Lanç. Negócio'!$B$11:$B$1510,"&lt;"&amp;EDATE(N$15,1)))</f>
        <v>0</v>
      </c>
      <c r="O72" s="96">
        <f>SUM(C72:N72)</f>
        <v>0</v>
      </c>
    </row>
    <row r="73" spans="2:15" ht="16.5" customHeight="1">
      <c r="B73" s="85" t="str">
        <f>IF('Config'!$P$18="","",'Config'!$P$18)</f>
        <v>Taxas e tarifas</v>
      </c>
      <c r="C73" s="95">
        <f>IF($B73="",0,SUMIFS('Lanç. Negócio'!$F$11:$F$1510,'Lanç. Negócio'!$D$11:$D$1510,$B73,'Lanç. Negócio'!$B$11:$B$1510,"&gt;="&amp;C$15,'Lanç. Negócio'!$B$11:$B$1510,"&lt;"&amp;EDATE(C$15,1)))</f>
        <v>25.69</v>
      </c>
      <c r="D73" s="95">
        <f>IF($B73="",0,SUMIFS('Lanç. Negócio'!$F$11:$F$1510,'Lanç. Negócio'!$D$11:$D$1510,$B73,'Lanç. Negócio'!$B$11:$B$1510,"&gt;="&amp;D$15,'Lanç. Negócio'!$B$11:$B$1510,"&lt;"&amp;EDATE(D$15,1)))</f>
        <v>44.38</v>
      </c>
      <c r="E73" s="95">
        <f>IF($B73="",0,SUMIFS('Lanç. Negócio'!$F$11:$F$1510,'Lanç. Negócio'!$D$11:$D$1510,$B73,'Lanç. Negócio'!$B$11:$B$1510,"&gt;="&amp;E$15,'Lanç. Negócio'!$B$11:$B$1510,"&lt;"&amp;EDATE(E$15,1)))</f>
        <v>35.52</v>
      </c>
      <c r="F73" s="95">
        <f>IF($B73="",0,SUMIFS('Lanç. Negócio'!$F$11:$F$1510,'Lanç. Negócio'!$D$11:$D$1510,$B73,'Lanç. Negócio'!$B$11:$B$1510,"&gt;="&amp;F$15,'Lanç. Negócio'!$B$11:$B$1510,"&lt;"&amp;EDATE(F$15,1)))</f>
        <v>47.9</v>
      </c>
      <c r="G73" s="95">
        <f>IF($B73="",0,SUMIFS('Lanç. Negócio'!$F$11:$F$1510,'Lanç. Negócio'!$D$11:$D$1510,$B73,'Lanç. Negócio'!$B$11:$B$1510,"&gt;="&amp;G$15,'Lanç. Negócio'!$B$11:$B$1510,"&lt;"&amp;EDATE(G$15,1)))</f>
        <v>32.25</v>
      </c>
      <c r="H73" s="95">
        <f>IF($B73="",0,SUMIFS('Lanç. Negócio'!$F$11:$F$1510,'Lanç. Negócio'!$D$11:$D$1510,$B73,'Lanç. Negócio'!$B$11:$B$1510,"&gt;="&amp;H$15,'Lanç. Negócio'!$B$11:$B$1510,"&lt;"&amp;EDATE(H$15,1)))</f>
        <v>42.62</v>
      </c>
      <c r="I73" s="95">
        <f>IF($B73="",0,SUMIFS('Lanç. Negócio'!$F$11:$F$1510,'Lanç. Negócio'!$D$11:$D$1510,$B73,'Lanç. Negócio'!$B$11:$B$1510,"&gt;="&amp;I$15,'Lanç. Negócio'!$B$11:$B$1510,"&lt;"&amp;EDATE(I$15,1)))</f>
        <v>47.03</v>
      </c>
      <c r="J73" s="95">
        <f>IF($B73="",0,SUMIFS('Lanç. Negócio'!$F$11:$F$1510,'Lanç. Negócio'!$D$11:$D$1510,$B73,'Lanç. Negócio'!$B$11:$B$1510,"&gt;="&amp;J$15,'Lanç. Negócio'!$B$11:$B$1510,"&lt;"&amp;EDATE(J$15,1)))</f>
        <v>29.82</v>
      </c>
      <c r="K73" s="95">
        <f>IF($B73="",0,SUMIFS('Lanç. Negócio'!$F$11:$F$1510,'Lanç. Negócio'!$D$11:$D$1510,$B73,'Lanç. Negócio'!$B$11:$B$1510,"&gt;="&amp;K$15,'Lanç. Negócio'!$B$11:$B$1510,"&lt;"&amp;EDATE(K$15,1)))</f>
        <v>34.14</v>
      </c>
      <c r="L73" s="95">
        <f>IF($B73="",0,SUMIFS('Lanç. Negócio'!$F$11:$F$1510,'Lanç. Negócio'!$D$11:$D$1510,$B73,'Lanç. Negócio'!$B$11:$B$1510,"&gt;="&amp;L$15,'Lanç. Negócio'!$B$11:$B$1510,"&lt;"&amp;EDATE(L$15,1)))</f>
        <v>0</v>
      </c>
      <c r="M73" s="95">
        <f>IF($B73="",0,SUMIFS('Lanç. Negócio'!$F$11:$F$1510,'Lanç. Negócio'!$D$11:$D$1510,$B73,'Lanç. Negócio'!$B$11:$B$1510,"&gt;="&amp;M$15,'Lanç. Negócio'!$B$11:$B$1510,"&lt;"&amp;EDATE(M$15,1)))</f>
        <v>0</v>
      </c>
      <c r="N73" s="95">
        <f>IF($B73="",0,SUMIFS('Lanç. Negócio'!$F$11:$F$1510,'Lanç. Negócio'!$D$11:$D$1510,$B73,'Lanç. Negócio'!$B$11:$B$1510,"&gt;="&amp;N$15,'Lanç. Negócio'!$B$11:$B$1510,"&lt;"&amp;EDATE(N$15,1)))</f>
        <v>0</v>
      </c>
      <c r="O73" s="96">
        <f>SUM(C73:N73)</f>
        <v>339.35</v>
      </c>
    </row>
    <row r="74" spans="2:15" ht="16.5" customHeight="1">
      <c r="B74" s="85" t="str">
        <f>IF('Config'!$P$19="","",'Config'!$P$19)</f>
        <v>Capacitação e cursos</v>
      </c>
      <c r="C74" s="95">
        <f>IF($B74="",0,SUMIFS('Lanç. Negócio'!$F$11:$F$1510,'Lanç. Negócio'!$D$11:$D$1510,$B74,'Lanç. Negócio'!$B$11:$B$1510,"&gt;="&amp;C$15,'Lanç. Negócio'!$B$11:$B$1510,"&lt;"&amp;EDATE(C$15,1)))</f>
        <v>0</v>
      </c>
      <c r="D74" s="95">
        <f>IF($B74="",0,SUMIFS('Lanç. Negócio'!$F$11:$F$1510,'Lanç. Negócio'!$D$11:$D$1510,$B74,'Lanç. Negócio'!$B$11:$B$1510,"&gt;="&amp;D$15,'Lanç. Negócio'!$B$11:$B$1510,"&lt;"&amp;EDATE(D$15,1)))</f>
        <v>0</v>
      </c>
      <c r="E74" s="95">
        <f>IF($B74="",0,SUMIFS('Lanç. Negócio'!$F$11:$F$1510,'Lanç. Negócio'!$D$11:$D$1510,$B74,'Lanç. Negócio'!$B$11:$B$1510,"&gt;="&amp;E$15,'Lanç. Negócio'!$B$11:$B$1510,"&lt;"&amp;EDATE(E$15,1)))</f>
        <v>0</v>
      </c>
      <c r="F74" s="95">
        <f>IF($B74="",0,SUMIFS('Lanç. Negócio'!$F$11:$F$1510,'Lanç. Negócio'!$D$11:$D$1510,$B74,'Lanç. Negócio'!$B$11:$B$1510,"&gt;="&amp;F$15,'Lanç. Negócio'!$B$11:$B$1510,"&lt;"&amp;EDATE(F$15,1)))</f>
        <v>320</v>
      </c>
      <c r="G74" s="95">
        <f>IF($B74="",0,SUMIFS('Lanç. Negócio'!$F$11:$F$1510,'Lanç. Negócio'!$D$11:$D$1510,$B74,'Lanç. Negócio'!$B$11:$B$1510,"&gt;="&amp;G$15,'Lanç. Negócio'!$B$11:$B$1510,"&lt;"&amp;EDATE(G$15,1)))</f>
        <v>0</v>
      </c>
      <c r="H74" s="95">
        <f>IF($B74="",0,SUMIFS('Lanç. Negócio'!$F$11:$F$1510,'Lanç. Negócio'!$D$11:$D$1510,$B74,'Lanç. Negócio'!$B$11:$B$1510,"&gt;="&amp;H$15,'Lanç. Negócio'!$B$11:$B$1510,"&lt;"&amp;EDATE(H$15,1)))</f>
        <v>0</v>
      </c>
      <c r="I74" s="95">
        <f>IF($B74="",0,SUMIFS('Lanç. Negócio'!$F$11:$F$1510,'Lanç. Negócio'!$D$11:$D$1510,$B74,'Lanç. Negócio'!$B$11:$B$1510,"&gt;="&amp;I$15,'Lanç. Negócio'!$B$11:$B$1510,"&lt;"&amp;EDATE(I$15,1)))</f>
        <v>0</v>
      </c>
      <c r="J74" s="95">
        <f>IF($B74="",0,SUMIFS('Lanç. Negócio'!$F$11:$F$1510,'Lanç. Negócio'!$D$11:$D$1510,$B74,'Lanç. Negócio'!$B$11:$B$1510,"&gt;="&amp;J$15,'Lanç. Negócio'!$B$11:$B$1510,"&lt;"&amp;EDATE(J$15,1)))</f>
        <v>0</v>
      </c>
      <c r="K74" s="95">
        <f>IF($B74="",0,SUMIFS('Lanç. Negócio'!$F$11:$F$1510,'Lanç. Negócio'!$D$11:$D$1510,$B74,'Lanç. Negócio'!$B$11:$B$1510,"&gt;="&amp;K$15,'Lanç. Negócio'!$B$11:$B$1510,"&lt;"&amp;EDATE(K$15,1)))</f>
        <v>320</v>
      </c>
      <c r="L74" s="95">
        <f>IF($B74="",0,SUMIFS('Lanç. Negócio'!$F$11:$F$1510,'Lanç. Negócio'!$D$11:$D$1510,$B74,'Lanç. Negócio'!$B$11:$B$1510,"&gt;="&amp;L$15,'Lanç. Negócio'!$B$11:$B$1510,"&lt;"&amp;EDATE(L$15,1)))</f>
        <v>0</v>
      </c>
      <c r="M74" s="95">
        <f>IF($B74="",0,SUMIFS('Lanç. Negócio'!$F$11:$F$1510,'Lanç. Negócio'!$D$11:$D$1510,$B74,'Lanç. Negócio'!$B$11:$B$1510,"&gt;="&amp;M$15,'Lanç. Negócio'!$B$11:$B$1510,"&lt;"&amp;EDATE(M$15,1)))</f>
        <v>0</v>
      </c>
      <c r="N74" s="95">
        <f>IF($B74="",0,SUMIFS('Lanç. Negócio'!$F$11:$F$1510,'Lanç. Negócio'!$D$11:$D$1510,$B74,'Lanç. Negócio'!$B$11:$B$1510,"&gt;="&amp;N$15,'Lanç. Negócio'!$B$11:$B$1510,"&lt;"&amp;EDATE(N$15,1)))</f>
        <v>0</v>
      </c>
      <c r="O74" s="96">
        <f>SUM(C74:N74)</f>
        <v>640</v>
      </c>
    </row>
    <row r="75" spans="2:15" ht="16.5" customHeight="1">
      <c r="B75" s="85" t="str">
        <f>IF('Config'!$P$20="","",'Config'!$P$20)</f>
        <v>Outros impostos e taxas</v>
      </c>
      <c r="C75" s="95">
        <f>IF($B75="",0,SUMIFS('Lanç. Negócio'!$F$11:$F$1510,'Lanç. Negócio'!$D$11:$D$1510,$B75,'Lanç. Negócio'!$B$11:$B$1510,"&gt;="&amp;C$15,'Lanç. Negócio'!$B$11:$B$1510,"&lt;"&amp;EDATE(C$15,1)))</f>
        <v>0</v>
      </c>
      <c r="D75" s="95">
        <f>IF($B75="",0,SUMIFS('Lanç. Negócio'!$F$11:$F$1510,'Lanç. Negócio'!$D$11:$D$1510,$B75,'Lanç. Negócio'!$B$11:$B$1510,"&gt;="&amp;D$15,'Lanç. Negócio'!$B$11:$B$1510,"&lt;"&amp;EDATE(D$15,1)))</f>
        <v>0</v>
      </c>
      <c r="E75" s="95">
        <f>IF($B75="",0,SUMIFS('Lanç. Negócio'!$F$11:$F$1510,'Lanç. Negócio'!$D$11:$D$1510,$B75,'Lanç. Negócio'!$B$11:$B$1510,"&gt;="&amp;E$15,'Lanç. Negócio'!$B$11:$B$1510,"&lt;"&amp;EDATE(E$15,1)))</f>
        <v>0</v>
      </c>
      <c r="F75" s="95">
        <f>IF($B75="",0,SUMIFS('Lanç. Negócio'!$F$11:$F$1510,'Lanç. Negócio'!$D$11:$D$1510,$B75,'Lanç. Negócio'!$B$11:$B$1510,"&gt;="&amp;F$15,'Lanç. Negócio'!$B$11:$B$1510,"&lt;"&amp;EDATE(F$15,1)))</f>
        <v>0</v>
      </c>
      <c r="G75" s="95">
        <f>IF($B75="",0,SUMIFS('Lanç. Negócio'!$F$11:$F$1510,'Lanç. Negócio'!$D$11:$D$1510,$B75,'Lanç. Negócio'!$B$11:$B$1510,"&gt;="&amp;G$15,'Lanç. Negócio'!$B$11:$B$1510,"&lt;"&amp;EDATE(G$15,1)))</f>
        <v>0</v>
      </c>
      <c r="H75" s="95">
        <f>IF($B75="",0,SUMIFS('Lanç. Negócio'!$F$11:$F$1510,'Lanç. Negócio'!$D$11:$D$1510,$B75,'Lanç. Negócio'!$B$11:$B$1510,"&gt;="&amp;H$15,'Lanç. Negócio'!$B$11:$B$1510,"&lt;"&amp;EDATE(H$15,1)))</f>
        <v>0</v>
      </c>
      <c r="I75" s="95">
        <f>IF($B75="",0,SUMIFS('Lanç. Negócio'!$F$11:$F$1510,'Lanç. Negócio'!$D$11:$D$1510,$B75,'Lanç. Negócio'!$B$11:$B$1510,"&gt;="&amp;I$15,'Lanç. Negócio'!$B$11:$B$1510,"&lt;"&amp;EDATE(I$15,1)))</f>
        <v>0</v>
      </c>
      <c r="J75" s="95">
        <f>IF($B75="",0,SUMIFS('Lanç. Negócio'!$F$11:$F$1510,'Lanç. Negócio'!$D$11:$D$1510,$B75,'Lanç. Negócio'!$B$11:$B$1510,"&gt;="&amp;J$15,'Lanç. Negócio'!$B$11:$B$1510,"&lt;"&amp;EDATE(J$15,1)))</f>
        <v>0</v>
      </c>
      <c r="K75" s="95">
        <f>IF($B75="",0,SUMIFS('Lanç. Negócio'!$F$11:$F$1510,'Lanç. Negócio'!$D$11:$D$1510,$B75,'Lanç. Negócio'!$B$11:$B$1510,"&gt;="&amp;K$15,'Lanç. Negócio'!$B$11:$B$1510,"&lt;"&amp;EDATE(K$15,1)))</f>
        <v>0</v>
      </c>
      <c r="L75" s="95">
        <f>IF($B75="",0,SUMIFS('Lanç. Negócio'!$F$11:$F$1510,'Lanç. Negócio'!$D$11:$D$1510,$B75,'Lanç. Negócio'!$B$11:$B$1510,"&gt;="&amp;L$15,'Lanç. Negócio'!$B$11:$B$1510,"&lt;"&amp;EDATE(L$15,1)))</f>
        <v>0</v>
      </c>
      <c r="M75" s="95">
        <f>IF($B75="",0,SUMIFS('Lanç. Negócio'!$F$11:$F$1510,'Lanç. Negócio'!$D$11:$D$1510,$B75,'Lanç. Negócio'!$B$11:$B$1510,"&gt;="&amp;M$15,'Lanç. Negócio'!$B$11:$B$1510,"&lt;"&amp;EDATE(M$15,1)))</f>
        <v>0</v>
      </c>
      <c r="N75" s="95">
        <f>IF($B75="",0,SUMIFS('Lanç. Negócio'!$F$11:$F$1510,'Lanç. Negócio'!$D$11:$D$1510,$B75,'Lanç. Negócio'!$B$11:$B$1510,"&gt;="&amp;N$15,'Lanç. Negócio'!$B$11:$B$1510,"&lt;"&amp;EDATE(N$15,1)))</f>
        <v>0</v>
      </c>
      <c r="O75" s="96">
        <f>SUM(C75:N75)</f>
        <v>0</v>
      </c>
    </row>
    <row r="76" spans="2:15" ht="16.5" customHeight="1">
      <c r="B76" s="85" t="str">
        <f>IF('Config'!$P$21="","",'Config'!$P$21)</f>
        <v>Terceiros / freelancers</v>
      </c>
      <c r="C76" s="95">
        <f>IF($B76="",0,SUMIFS('Lanç. Negócio'!$F$11:$F$1510,'Lanç. Negócio'!$D$11:$D$1510,$B76,'Lanç. Negócio'!$B$11:$B$1510,"&gt;="&amp;C$15,'Lanç. Negócio'!$B$11:$B$1510,"&lt;"&amp;EDATE(C$15,1)))</f>
        <v>0</v>
      </c>
      <c r="D76" s="95">
        <f>IF($B76="",0,SUMIFS('Lanç. Negócio'!$F$11:$F$1510,'Lanç. Negócio'!$D$11:$D$1510,$B76,'Lanç. Negócio'!$B$11:$B$1510,"&gt;="&amp;D$15,'Lanç. Negócio'!$B$11:$B$1510,"&lt;"&amp;EDATE(D$15,1)))</f>
        <v>0</v>
      </c>
      <c r="E76" s="95">
        <f>IF($B76="",0,SUMIFS('Lanç. Negócio'!$F$11:$F$1510,'Lanç. Negócio'!$D$11:$D$1510,$B76,'Lanç. Negócio'!$B$11:$B$1510,"&gt;="&amp;E$15,'Lanç. Negócio'!$B$11:$B$1510,"&lt;"&amp;EDATE(E$15,1)))</f>
        <v>600</v>
      </c>
      <c r="F76" s="95">
        <f>IF($B76="",0,SUMIFS('Lanç. Negócio'!$F$11:$F$1510,'Lanç. Negócio'!$D$11:$D$1510,$B76,'Lanç. Negócio'!$B$11:$B$1510,"&gt;="&amp;F$15,'Lanç. Negócio'!$B$11:$B$1510,"&lt;"&amp;EDATE(F$15,1)))</f>
        <v>0</v>
      </c>
      <c r="G76" s="95">
        <f>IF($B76="",0,SUMIFS('Lanç. Negócio'!$F$11:$F$1510,'Lanç. Negócio'!$D$11:$D$1510,$B76,'Lanç. Negócio'!$B$11:$B$1510,"&gt;="&amp;G$15,'Lanç. Negócio'!$B$11:$B$1510,"&lt;"&amp;EDATE(G$15,1)))</f>
        <v>0</v>
      </c>
      <c r="H76" s="95">
        <f>IF($B76="",0,SUMIFS('Lanç. Negócio'!$F$11:$F$1510,'Lanç. Negócio'!$D$11:$D$1510,$B76,'Lanç. Negócio'!$B$11:$B$1510,"&gt;="&amp;H$15,'Lanç. Negócio'!$B$11:$B$1510,"&lt;"&amp;EDATE(H$15,1)))</f>
        <v>0</v>
      </c>
      <c r="I76" s="95">
        <f>IF($B76="",0,SUMIFS('Lanç. Negócio'!$F$11:$F$1510,'Lanç. Negócio'!$D$11:$D$1510,$B76,'Lanç. Negócio'!$B$11:$B$1510,"&gt;="&amp;I$15,'Lanç. Negócio'!$B$11:$B$1510,"&lt;"&amp;EDATE(I$15,1)))</f>
        <v>600</v>
      </c>
      <c r="J76" s="95">
        <f>IF($B76="",0,SUMIFS('Lanç. Negócio'!$F$11:$F$1510,'Lanç. Negócio'!$D$11:$D$1510,$B76,'Lanç. Negócio'!$B$11:$B$1510,"&gt;="&amp;J$15,'Lanç. Negócio'!$B$11:$B$1510,"&lt;"&amp;EDATE(J$15,1)))</f>
        <v>0</v>
      </c>
      <c r="K76" s="95">
        <f>IF($B76="",0,SUMIFS('Lanç. Negócio'!$F$11:$F$1510,'Lanç. Negócio'!$D$11:$D$1510,$B76,'Lanç. Negócio'!$B$11:$B$1510,"&gt;="&amp;K$15,'Lanç. Negócio'!$B$11:$B$1510,"&lt;"&amp;EDATE(K$15,1)))</f>
        <v>0</v>
      </c>
      <c r="L76" s="95">
        <f>IF($B76="",0,SUMIFS('Lanç. Negócio'!$F$11:$F$1510,'Lanç. Negócio'!$D$11:$D$1510,$B76,'Lanç. Negócio'!$B$11:$B$1510,"&gt;="&amp;L$15,'Lanç. Negócio'!$B$11:$B$1510,"&lt;"&amp;EDATE(L$15,1)))</f>
        <v>0</v>
      </c>
      <c r="M76" s="95">
        <f>IF($B76="",0,SUMIFS('Lanç. Negócio'!$F$11:$F$1510,'Lanç. Negócio'!$D$11:$D$1510,$B76,'Lanç. Negócio'!$B$11:$B$1510,"&gt;="&amp;M$15,'Lanç. Negócio'!$B$11:$B$1510,"&lt;"&amp;EDATE(M$15,1)))</f>
        <v>0</v>
      </c>
      <c r="N76" s="95">
        <f>IF($B76="",0,SUMIFS('Lanç. Negócio'!$F$11:$F$1510,'Lanç. Negócio'!$D$11:$D$1510,$B76,'Lanç. Negócio'!$B$11:$B$1510,"&gt;="&amp;N$15,'Lanç. Negócio'!$B$11:$B$1510,"&lt;"&amp;EDATE(N$15,1)))</f>
        <v>0</v>
      </c>
      <c r="O76" s="96">
        <f>SUM(C76:N76)</f>
        <v>1200</v>
      </c>
    </row>
    <row r="77" spans="2:15" ht="16.5" customHeight="1">
      <c r="B77" s="85" t="str">
        <f>IF('Config'!$P$22="","",'Config'!$P$22)</f>
        <v>Seguros</v>
      </c>
      <c r="C77" s="95">
        <f>IF($B77="",0,SUMIFS('Lanç. Negócio'!$F$11:$F$1510,'Lanç. Negócio'!$D$11:$D$1510,$B77,'Lanç. Negócio'!$B$11:$B$1510,"&gt;="&amp;C$15,'Lanç. Negócio'!$B$11:$B$1510,"&lt;"&amp;EDATE(C$15,1)))</f>
        <v>380</v>
      </c>
      <c r="D77" s="95">
        <f>IF($B77="",0,SUMIFS('Lanç. Negócio'!$F$11:$F$1510,'Lanç. Negócio'!$D$11:$D$1510,$B77,'Lanç. Negócio'!$B$11:$B$1510,"&gt;="&amp;D$15,'Lanç. Negócio'!$B$11:$B$1510,"&lt;"&amp;EDATE(D$15,1)))</f>
        <v>0</v>
      </c>
      <c r="E77" s="95">
        <f>IF($B77="",0,SUMIFS('Lanç. Negócio'!$F$11:$F$1510,'Lanç. Negócio'!$D$11:$D$1510,$B77,'Lanç. Negócio'!$B$11:$B$1510,"&gt;="&amp;E$15,'Lanç. Negócio'!$B$11:$B$1510,"&lt;"&amp;EDATE(E$15,1)))</f>
        <v>0</v>
      </c>
      <c r="F77" s="95">
        <f>IF($B77="",0,SUMIFS('Lanç. Negócio'!$F$11:$F$1510,'Lanç. Negócio'!$D$11:$D$1510,$B77,'Lanç. Negócio'!$B$11:$B$1510,"&gt;="&amp;F$15,'Lanç. Negócio'!$B$11:$B$1510,"&lt;"&amp;EDATE(F$15,1)))</f>
        <v>0</v>
      </c>
      <c r="G77" s="95">
        <f>IF($B77="",0,SUMIFS('Lanç. Negócio'!$F$11:$F$1510,'Lanç. Negócio'!$D$11:$D$1510,$B77,'Lanç. Negócio'!$B$11:$B$1510,"&gt;="&amp;G$15,'Lanç. Negócio'!$B$11:$B$1510,"&lt;"&amp;EDATE(G$15,1)))</f>
        <v>0</v>
      </c>
      <c r="H77" s="95">
        <f>IF($B77="",0,SUMIFS('Lanç. Negócio'!$F$11:$F$1510,'Lanç. Negócio'!$D$11:$D$1510,$B77,'Lanç. Negócio'!$B$11:$B$1510,"&gt;="&amp;H$15,'Lanç. Negócio'!$B$11:$B$1510,"&lt;"&amp;EDATE(H$15,1)))</f>
        <v>0</v>
      </c>
      <c r="I77" s="95">
        <f>IF($B77="",0,SUMIFS('Lanç. Negócio'!$F$11:$F$1510,'Lanç. Negócio'!$D$11:$D$1510,$B77,'Lanç. Negócio'!$B$11:$B$1510,"&gt;="&amp;I$15,'Lanç. Negócio'!$B$11:$B$1510,"&lt;"&amp;EDATE(I$15,1)))</f>
        <v>0</v>
      </c>
      <c r="J77" s="95">
        <f>IF($B77="",0,SUMIFS('Lanç. Negócio'!$F$11:$F$1510,'Lanç. Negócio'!$D$11:$D$1510,$B77,'Lanç. Negócio'!$B$11:$B$1510,"&gt;="&amp;J$15,'Lanç. Negócio'!$B$11:$B$1510,"&lt;"&amp;EDATE(J$15,1)))</f>
        <v>0</v>
      </c>
      <c r="K77" s="95">
        <f>IF($B77="",0,SUMIFS('Lanç. Negócio'!$F$11:$F$1510,'Lanç. Negócio'!$D$11:$D$1510,$B77,'Lanç. Negócio'!$B$11:$B$1510,"&gt;="&amp;K$15,'Lanç. Negócio'!$B$11:$B$1510,"&lt;"&amp;EDATE(K$15,1)))</f>
        <v>0</v>
      </c>
      <c r="L77" s="95">
        <f>IF($B77="",0,SUMIFS('Lanç. Negócio'!$F$11:$F$1510,'Lanç. Negócio'!$D$11:$D$1510,$B77,'Lanç. Negócio'!$B$11:$B$1510,"&gt;="&amp;L$15,'Lanç. Negócio'!$B$11:$B$1510,"&lt;"&amp;EDATE(L$15,1)))</f>
        <v>0</v>
      </c>
      <c r="M77" s="95">
        <f>IF($B77="",0,SUMIFS('Lanç. Negócio'!$F$11:$F$1510,'Lanç. Negócio'!$D$11:$D$1510,$B77,'Lanç. Negócio'!$B$11:$B$1510,"&gt;="&amp;M$15,'Lanç. Negócio'!$B$11:$B$1510,"&lt;"&amp;EDATE(M$15,1)))</f>
        <v>0</v>
      </c>
      <c r="N77" s="95">
        <f>IF($B77="",0,SUMIFS('Lanç. Negócio'!$F$11:$F$1510,'Lanç. Negócio'!$D$11:$D$1510,$B77,'Lanç. Negócio'!$B$11:$B$1510,"&gt;="&amp;N$15,'Lanç. Negócio'!$B$11:$B$1510,"&lt;"&amp;EDATE(N$15,1)))</f>
        <v>0</v>
      </c>
      <c r="O77" s="96">
        <f>SUM(C77:N77)</f>
        <v>380</v>
      </c>
    </row>
    <row r="78" spans="2:15" ht="16.5" customHeight="1">
      <c r="B78" s="85" t="str">
        <f>IF('Config'!$P$23="","",'Config'!$P$23)</f>
        <v>Outras despesas</v>
      </c>
      <c r="C78" s="95">
        <f>IF($B78="",0,SUMIFS('Lanç. Negócio'!$F$11:$F$1510,'Lanç. Negócio'!$D$11:$D$1510,$B78,'Lanç. Negócio'!$B$11:$B$1510,"&gt;="&amp;C$15,'Lanç. Negócio'!$B$11:$B$1510,"&lt;"&amp;EDATE(C$15,1)))</f>
        <v>0</v>
      </c>
      <c r="D78" s="95">
        <f>IF($B78="",0,SUMIFS('Lanç. Negócio'!$F$11:$F$1510,'Lanç. Negócio'!$D$11:$D$1510,$B78,'Lanç. Negócio'!$B$11:$B$1510,"&gt;="&amp;D$15,'Lanç. Negócio'!$B$11:$B$1510,"&lt;"&amp;EDATE(D$15,1)))</f>
        <v>0</v>
      </c>
      <c r="E78" s="95">
        <f>IF($B78="",0,SUMIFS('Lanç. Negócio'!$F$11:$F$1510,'Lanç. Negócio'!$D$11:$D$1510,$B78,'Lanç. Negócio'!$B$11:$B$1510,"&gt;="&amp;E$15,'Lanç. Negócio'!$B$11:$B$1510,"&lt;"&amp;EDATE(E$15,1)))</f>
        <v>0</v>
      </c>
      <c r="F78" s="95">
        <f>IF($B78="",0,SUMIFS('Lanç. Negócio'!$F$11:$F$1510,'Lanç. Negócio'!$D$11:$D$1510,$B78,'Lanç. Negócio'!$B$11:$B$1510,"&gt;="&amp;F$15,'Lanç. Negócio'!$B$11:$B$1510,"&lt;"&amp;EDATE(F$15,1)))</f>
        <v>0</v>
      </c>
      <c r="G78" s="95">
        <f>IF($B78="",0,SUMIFS('Lanç. Negócio'!$F$11:$F$1510,'Lanç. Negócio'!$D$11:$D$1510,$B78,'Lanç. Negócio'!$B$11:$B$1510,"&gt;="&amp;G$15,'Lanç. Negócio'!$B$11:$B$1510,"&lt;"&amp;EDATE(G$15,1)))</f>
        <v>0</v>
      </c>
      <c r="H78" s="95">
        <f>IF($B78="",0,SUMIFS('Lanç. Negócio'!$F$11:$F$1510,'Lanç. Negócio'!$D$11:$D$1510,$B78,'Lanç. Negócio'!$B$11:$B$1510,"&gt;="&amp;H$15,'Lanç. Negócio'!$B$11:$B$1510,"&lt;"&amp;EDATE(H$15,1)))</f>
        <v>0</v>
      </c>
      <c r="I78" s="95">
        <f>IF($B78="",0,SUMIFS('Lanç. Negócio'!$F$11:$F$1510,'Lanç. Negócio'!$D$11:$D$1510,$B78,'Lanç. Negócio'!$B$11:$B$1510,"&gt;="&amp;I$15,'Lanç. Negócio'!$B$11:$B$1510,"&lt;"&amp;EDATE(I$15,1)))</f>
        <v>0</v>
      </c>
      <c r="J78" s="95">
        <f>IF($B78="",0,SUMIFS('Lanç. Negócio'!$F$11:$F$1510,'Lanç. Negócio'!$D$11:$D$1510,$B78,'Lanç. Negócio'!$B$11:$B$1510,"&gt;="&amp;J$15,'Lanç. Negócio'!$B$11:$B$1510,"&lt;"&amp;EDATE(J$15,1)))</f>
        <v>0</v>
      </c>
      <c r="K78" s="95">
        <f>IF($B78="",0,SUMIFS('Lanç. Negócio'!$F$11:$F$1510,'Lanç. Negócio'!$D$11:$D$1510,$B78,'Lanç. Negócio'!$B$11:$B$1510,"&gt;="&amp;K$15,'Lanç. Negócio'!$B$11:$B$1510,"&lt;"&amp;EDATE(K$15,1)))</f>
        <v>0</v>
      </c>
      <c r="L78" s="95">
        <f>IF($B78="",0,SUMIFS('Lanç. Negócio'!$F$11:$F$1510,'Lanç. Negócio'!$D$11:$D$1510,$B78,'Lanç. Negócio'!$B$11:$B$1510,"&gt;="&amp;L$15,'Lanç. Negócio'!$B$11:$B$1510,"&lt;"&amp;EDATE(L$15,1)))</f>
        <v>0</v>
      </c>
      <c r="M78" s="95">
        <f>IF($B78="",0,SUMIFS('Lanç. Negócio'!$F$11:$F$1510,'Lanç. Negócio'!$D$11:$D$1510,$B78,'Lanç. Negócio'!$B$11:$B$1510,"&gt;="&amp;M$15,'Lanç. Negócio'!$B$11:$B$1510,"&lt;"&amp;EDATE(M$15,1)))</f>
        <v>0</v>
      </c>
      <c r="N78" s="95">
        <f>IF($B78="",0,SUMIFS('Lanç. Negócio'!$F$11:$F$1510,'Lanç. Negócio'!$D$11:$D$1510,$B78,'Lanç. Negócio'!$B$11:$B$1510,"&gt;="&amp;N$15,'Lanç. Negócio'!$B$11:$B$1510,"&lt;"&amp;EDATE(N$15,1)))</f>
        <v>0</v>
      </c>
      <c r="O78" s="96">
        <f>SUM(C78:N78)</f>
        <v>0</v>
      </c>
    </row>
    <row r="79" spans="2:15" ht="16.5" customHeight="1">
      <c r="B79" s="156" t="s">
        <v>430</v>
      </c>
      <c r="C79" s="157">
        <f>SUM(C63:C78)</f>
        <v>6079.19</v>
      </c>
      <c r="D79" s="157">
        <f>SUM(D63:D78)</f>
        <v>5860.42</v>
      </c>
      <c r="E79" s="157">
        <f>SUM(E63:E78)</f>
        <v>6342.43</v>
      </c>
      <c r="F79" s="157">
        <f>SUM(F63:F78)</f>
        <v>6155.17</v>
      </c>
      <c r="G79" s="157">
        <f>SUM(G63:G78)</f>
        <v>5711.78</v>
      </c>
      <c r="H79" s="157">
        <f>SUM(H63:H78)</f>
        <v>7235.56</v>
      </c>
      <c r="I79" s="157">
        <f>SUM(I63:I78)</f>
        <v>6343.84</v>
      </c>
      <c r="J79" s="157">
        <f>SUM(J63:J78)</f>
        <v>5939.51</v>
      </c>
      <c r="K79" s="157">
        <f>SUM(K63:K78)</f>
        <v>5970.11</v>
      </c>
      <c r="L79" s="157">
        <f>SUM(L63:L78)</f>
        <v>0</v>
      </c>
      <c r="M79" s="157">
        <f>SUM(M63:M78)</f>
        <v>0</v>
      </c>
      <c r="N79" s="157">
        <f>SUM(N63:N78)</f>
        <v>0</v>
      </c>
      <c r="O79" s="157">
        <f>SUM(O63:O78)</f>
        <v>55638.01</v>
      </c>
    </row>
    <row r="80" spans="2:15" ht="16.5" customHeight="1">
      <c r="B80" s="156" t="s">
        <v>431</v>
      </c>
      <c r="C80" s="157">
        <f>SUM(C64:C78)</f>
        <v>1579.19</v>
      </c>
      <c r="D80" s="157">
        <f>SUM(D64:D78)</f>
        <v>1360.42</v>
      </c>
      <c r="E80" s="157">
        <f>SUM(E64:E78)</f>
        <v>1842.43</v>
      </c>
      <c r="F80" s="157">
        <f>SUM(F64:F78)</f>
        <v>1655.17</v>
      </c>
      <c r="G80" s="157">
        <f>SUM(G64:G78)</f>
        <v>1211.78</v>
      </c>
      <c r="H80" s="157">
        <f>SUM(H64:H78)</f>
        <v>2735.56</v>
      </c>
      <c r="I80" s="157">
        <f>SUM(I64:I78)</f>
        <v>1843.84</v>
      </c>
      <c r="J80" s="157">
        <f>SUM(J64:J78)</f>
        <v>1439.51</v>
      </c>
      <c r="K80" s="157">
        <f>SUM(K64:K78)</f>
        <v>1470.11</v>
      </c>
      <c r="L80" s="157">
        <f>SUM(L64:L78)</f>
        <v>0</v>
      </c>
      <c r="M80" s="157">
        <f>SUM(M64:M78)</f>
        <v>0</v>
      </c>
      <c r="N80" s="157">
        <f>SUM(N64:N78)</f>
        <v>0</v>
      </c>
      <c r="O80" s="157">
        <f>SUM(O64:O78)</f>
        <v>15138.01</v>
      </c>
    </row>
  </sheetData>
  <mergeCells count="25">
    <mergeCell ref="C1:E1"/>
    <mergeCell ref="F1:H1"/>
    <mergeCell ref="I1:L1"/>
    <mergeCell ref="M1:O1"/>
    <mergeCell ref="C2:E2"/>
    <mergeCell ref="F2:H2"/>
    <mergeCell ref="I2:L2"/>
    <mergeCell ref="M2:O2"/>
    <mergeCell ref="C3:D3"/>
    <mergeCell ref="E3:G3"/>
    <mergeCell ref="H3:J3"/>
    <mergeCell ref="K3:M3"/>
    <mergeCell ref="N3:O3"/>
    <mergeCell ref="B5:O5"/>
    <mergeCell ref="B6:O6"/>
    <mergeCell ref="B7:D7"/>
    <mergeCell ref="C8:D8"/>
    <mergeCell ref="C9:D9"/>
    <mergeCell ref="C11:D11"/>
    <mergeCell ref="C13:D13"/>
    <mergeCell ref="C10:D10"/>
    <mergeCell ref="C12:D12"/>
    <mergeCell ref="B50:O50"/>
    <mergeCell ref="B52:O52"/>
    <mergeCell ref="B62:O62"/>
  </mergeCells>
  <conditionalFormatting sqref="C16:N16">
    <cfRule type="expression" dxfId="6" priority="2">
      <formula>C$17="PROJETADO"</formula>
    </cfRule>
  </conditionalFormatting>
  <conditionalFormatting sqref="C17:N17">
    <cfRule type="cellIs" dxfId="18" priority="1" operator="equal">
      <formula>"PROJETADO"</formula>
    </cfRule>
  </conditionalFormatting>
  <conditionalFormatting sqref="C28:O28">
    <cfRule type="cellIs" dxfId="9" priority="3" operator="lessThan">
      <formula>0</formula>
    </cfRule>
    <cfRule type="cellIs" dxfId="10" priority="4" operator="greaterThan">
      <formula>0</formula>
    </cfRule>
  </conditionalFormatting>
  <conditionalFormatting sqref="C29:O29">
    <cfRule type="cellIs" dxfId="9" priority="5" operator="lessThan">
      <formula>0</formula>
    </cfRule>
    <cfRule type="cellIs" dxfId="10" priority="6" operator="greaterThan">
      <formula>0</formula>
    </cfRule>
  </conditionalFormatting>
  <conditionalFormatting sqref="C30:O30">
    <cfRule type="cellIs" dxfId="9" priority="7" operator="lessThan">
      <formula>0</formula>
    </cfRule>
    <cfRule type="cellIs" dxfId="10" priority="8" operator="greaterThan">
      <formula>0</formula>
    </cfRule>
  </conditionalFormatting>
  <conditionalFormatting sqref="C31:O31">
    <cfRule type="expression" dxfId="5" priority="9">
      <formula>AND(ISNUMBER(C31),C31&lt;0)</formula>
    </cfRule>
    <cfRule type="expression" dxfId="4" priority="10">
      <formula>AND(ISNUMBER(C31),C31&gt;=0.3)</formula>
    </cfRule>
    <cfRule type="expression" dxfId="6" priority="11">
      <formula>AND(ISNUMBER(C31),C31&gt;=0,C31&lt;0.3)</formula>
    </cfRule>
  </conditionalFormatting>
  <hyperlinks>
    <hyperlink ref="B1" location="'Início'!A1" display="🏠 Início"/>
    <hyperlink ref="C1" location="'Painel Geral'!A1" display="📊 Painel Geral"/>
    <hyperlink ref="F1" location="'Painel Pessoal'!A1" display="👤 Painel Pessoal"/>
    <hyperlink ref="I1" location="'Painel Negócio'!A1" display="💼 Painel Negócio"/>
    <hyperlink ref="M1" location="'Config'!A1" display="⚙ Config"/>
    <hyperlink ref="C2" location="'Lanç. Pessoal'!A1" display="📝 Lançamentos"/>
    <hyperlink ref="F2" location="'Orçamento Pessoal'!A1" display="💳 Orçamento"/>
    <hyperlink ref="I2" location="'Resumo Pessoal'!A1" display="📅 Resumo anual"/>
    <hyperlink ref="M2" location="'Metas'!A1" display="🎯 Metas"/>
    <hyperlink ref="C3" location="'Lanç. Negócio'!A1" display="📝 Lançamentos"/>
    <hyperlink ref="E3" location="'Clientes'!A1" display="🤝 Clientes"/>
    <hyperlink ref="H3" location="'Recebimentos'!A1" display="💰 Recebimentos"/>
    <hyperlink ref="K3" location="'Impostos'!A1" display="🧾 Impostos"/>
    <hyperlink ref="N3" location="'Fluxo de Caixa'!A1" display="📈 Fluxo de Caixa"/>
  </hyperlinks>
  <pageMargins left="0.4" right="0.4" top="0.5" bottom="0.5" header="0.3" footer="0.3"/>
  <pageSetup paperSize="9"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4A3B8"/>
    <pageSetUpPr fitToPage="1"/>
  </sheetPr>
  <dimension ref="A1:P29"/>
  <sheetViews>
    <sheetView showGridLines="0" workbookViewId="0">
      <pane ySplit="6" topLeftCell="A7" activePane="bottomLeft" state="frozen"/>
      <selection pane="bottomLeft"/>
    </sheetView>
  </sheetViews>
  <sheetFormatPr defaultRowHeight="16.5" customHeight="1"/>
  <cols>
    <col min="1" max="1" width="2.7109375" customWidth="1"/>
    <col min="2" max="2" width="38.7109375" customWidth="1"/>
    <col min="3" max="3" width="18.7109375" customWidth="1"/>
    <col min="4" max="4" width="3.7109375" customWidth="1"/>
    <col min="5" max="5" width="32.7109375" customWidth="1"/>
    <col min="6" max="6" width="3.7109375" customWidth="1"/>
    <col min="7" max="7" width="32.7109375" customWidth="1"/>
    <col min="8" max="8" width="3.7109375" customWidth="1"/>
    <col min="9" max="9" width="22.7109375" customWidth="1"/>
    <col min="10" max="10" width="3.7109375" customWidth="1"/>
    <col min="11" max="11" width="14.7109375" customWidth="1"/>
    <col min="12" max="12" width="10.7109375" customWidth="1"/>
    <col min="13" max="13" width="3.7109375" customWidth="1"/>
    <col min="14" max="14" width="34.7109375" customWidth="1"/>
    <col min="15" max="15" width="3.7109375" customWidth="1"/>
    <col min="16" max="16" width="34.7109375" customWidth="1"/>
  </cols>
  <sheetData>
    <row r="1" spans="2:16" ht="22" customHeight="1">
      <c r="B1" s="3" t="s">
        <v>0</v>
      </c>
      <c r="C1" s="3" t="s">
        <v>1</v>
      </c>
      <c r="D1" s="3"/>
      <c r="E1" s="3"/>
      <c r="F1" s="3"/>
      <c r="G1" s="3" t="s">
        <v>2</v>
      </c>
      <c r="H1" s="3"/>
      <c r="I1" s="3"/>
      <c r="J1" s="3"/>
      <c r="K1" s="3" t="s">
        <v>3</v>
      </c>
      <c r="L1" s="3"/>
      <c r="M1" s="3"/>
      <c r="N1" s="3"/>
      <c r="O1" s="2" t="s">
        <v>4</v>
      </c>
      <c r="P1" s="2"/>
    </row>
    <row r="2" spans="2:16" ht="22" customHeight="1">
      <c r="B2" s="4" t="s">
        <v>5</v>
      </c>
      <c r="C2" s="5" t="s">
        <v>6</v>
      </c>
      <c r="D2" s="5"/>
      <c r="E2" s="5"/>
      <c r="F2" s="5"/>
      <c r="G2" s="5" t="s">
        <v>7</v>
      </c>
      <c r="H2" s="5"/>
      <c r="I2" s="5"/>
      <c r="J2" s="5"/>
      <c r="K2" s="5" t="s">
        <v>8</v>
      </c>
      <c r="L2" s="5"/>
      <c r="M2" s="5"/>
      <c r="N2" s="5"/>
      <c r="O2" s="5" t="s">
        <v>9</v>
      </c>
      <c r="P2" s="5"/>
    </row>
    <row r="3" spans="2:16" ht="22" customHeight="1">
      <c r="B3" s="6" t="s">
        <v>10</v>
      </c>
      <c r="C3" s="7" t="s">
        <v>6</v>
      </c>
      <c r="D3" s="7"/>
      <c r="E3" s="7"/>
      <c r="F3" s="7" t="s">
        <v>11</v>
      </c>
      <c r="G3" s="7"/>
      <c r="H3" s="7"/>
      <c r="I3" s="7" t="s">
        <v>12</v>
      </c>
      <c r="J3" s="7"/>
      <c r="K3" s="7"/>
      <c r="L3" s="7" t="s">
        <v>13</v>
      </c>
      <c r="M3" s="7"/>
      <c r="N3" s="7"/>
      <c r="O3" s="7" t="s">
        <v>14</v>
      </c>
      <c r="P3" s="7"/>
    </row>
    <row r="4" spans="2:16" ht="6" customHeight="1"/>
    <row r="5" spans="2:16" ht="38" customHeight="1">
      <c r="B5" s="8" t="s">
        <v>15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2:16" ht="20" customHeight="1">
      <c r="B6" s="68" t="s">
        <v>16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</row>
    <row r="7" spans="2:16" ht="16.5" customHeight="1">
      <c r="B7" s="39" t="s">
        <v>17</v>
      </c>
      <c r="C7" s="39"/>
      <c r="E7" s="39" t="s">
        <v>27</v>
      </c>
      <c r="G7" s="39" t="s">
        <v>36</v>
      </c>
      <c r="I7" s="39" t="s">
        <v>53</v>
      </c>
      <c r="K7" s="39" t="s">
        <v>87</v>
      </c>
      <c r="L7" s="39" t="s">
        <v>88</v>
      </c>
      <c r="N7" s="39" t="s">
        <v>62</v>
      </c>
      <c r="P7" s="39" t="s">
        <v>70</v>
      </c>
    </row>
    <row r="8" spans="2:16" ht="16.5" customHeight="1">
      <c r="B8" s="98" t="s">
        <v>18</v>
      </c>
      <c r="C8" s="159">
        <v>2026</v>
      </c>
      <c r="E8" s="110" t="s">
        <v>28</v>
      </c>
      <c r="G8" s="110" t="s">
        <v>37</v>
      </c>
      <c r="I8" s="110" t="s">
        <v>54</v>
      </c>
      <c r="K8" s="160" t="s">
        <v>89</v>
      </c>
      <c r="L8" s="160" t="s">
        <v>90</v>
      </c>
      <c r="N8" s="110" t="s">
        <v>63</v>
      </c>
      <c r="P8" s="110" t="s">
        <v>71</v>
      </c>
    </row>
    <row r="9" spans="2:16" ht="16.5" customHeight="1">
      <c r="B9" s="98" t="s">
        <v>19</v>
      </c>
      <c r="C9" s="161">
        <v>46295</v>
      </c>
      <c r="E9" s="110" t="s">
        <v>29</v>
      </c>
      <c r="G9" s="110" t="s">
        <v>38</v>
      </c>
      <c r="I9" s="110" t="s">
        <v>55</v>
      </c>
      <c r="K9" s="160" t="s">
        <v>91</v>
      </c>
      <c r="L9" s="160" t="s">
        <v>92</v>
      </c>
      <c r="N9" s="110" t="s">
        <v>64</v>
      </c>
      <c r="P9" s="110" t="s">
        <v>72</v>
      </c>
    </row>
    <row r="10" spans="2:16" ht="16.5" customHeight="1">
      <c r="B10" s="98" t="s">
        <v>20</v>
      </c>
      <c r="C10" s="110" t="s">
        <v>21</v>
      </c>
      <c r="E10" s="110" t="s">
        <v>30</v>
      </c>
      <c r="G10" s="110" t="s">
        <v>39</v>
      </c>
      <c r="I10" s="110" t="s">
        <v>56</v>
      </c>
      <c r="K10" s="160" t="s">
        <v>93</v>
      </c>
      <c r="L10" s="160" t="s">
        <v>94</v>
      </c>
      <c r="N10" s="110" t="s">
        <v>65</v>
      </c>
      <c r="P10" s="110" t="s">
        <v>73</v>
      </c>
    </row>
    <row r="11" spans="2:16" ht="16.5" customHeight="1">
      <c r="B11" s="98" t="s">
        <v>22</v>
      </c>
      <c r="C11" s="162">
        <v>0.2</v>
      </c>
      <c r="E11" s="110" t="s">
        <v>31</v>
      </c>
      <c r="G11" s="110" t="s">
        <v>40</v>
      </c>
      <c r="I11" s="110" t="s">
        <v>57</v>
      </c>
      <c r="K11" s="160" t="s">
        <v>95</v>
      </c>
      <c r="L11" s="160" t="s">
        <v>96</v>
      </c>
      <c r="N11" s="110" t="s">
        <v>66</v>
      </c>
      <c r="P11" s="110" t="s">
        <v>74</v>
      </c>
    </row>
    <row r="12" spans="2:16" ht="16.5" customHeight="1">
      <c r="B12" s="98" t="s">
        <v>23</v>
      </c>
      <c r="C12" s="163">
        <v>2500</v>
      </c>
      <c r="E12" s="110" t="s">
        <v>32</v>
      </c>
      <c r="G12" s="110" t="s">
        <v>41</v>
      </c>
      <c r="I12" s="110" t="s">
        <v>58</v>
      </c>
      <c r="K12" s="160" t="s">
        <v>97</v>
      </c>
      <c r="L12" s="160" t="s">
        <v>98</v>
      </c>
      <c r="N12" s="110" t="s">
        <v>67</v>
      </c>
      <c r="P12" s="110" t="s">
        <v>75</v>
      </c>
    </row>
    <row r="13" spans="2:16" ht="16.5" customHeight="1">
      <c r="B13" s="98" t="s">
        <v>24</v>
      </c>
      <c r="C13" s="110" t="s">
        <v>25</v>
      </c>
      <c r="E13" s="110" t="s">
        <v>33</v>
      </c>
      <c r="G13" s="110" t="s">
        <v>42</v>
      </c>
      <c r="I13" s="110" t="s">
        <v>59</v>
      </c>
      <c r="K13" s="160" t="s">
        <v>99</v>
      </c>
      <c r="L13" s="160" t="s">
        <v>100</v>
      </c>
      <c r="N13" s="110" t="s">
        <v>68</v>
      </c>
      <c r="P13" s="110" t="s">
        <v>76</v>
      </c>
    </row>
    <row r="14" spans="2:16" ht="16.5" customHeight="1">
      <c r="B14" s="141" t="s">
        <v>26</v>
      </c>
      <c r="C14" s="141"/>
      <c r="E14" s="110" t="s">
        <v>34</v>
      </c>
      <c r="G14" s="110" t="s">
        <v>43</v>
      </c>
      <c r="I14" s="110" t="s">
        <v>60</v>
      </c>
      <c r="K14" s="160" t="s">
        <v>101</v>
      </c>
      <c r="L14" s="160" t="s">
        <v>102</v>
      </c>
      <c r="N14" s="110" t="s">
        <v>69</v>
      </c>
      <c r="P14" s="110" t="s">
        <v>77</v>
      </c>
    </row>
    <row r="15" spans="2:16" ht="16.5" customHeight="1">
      <c r="B15" s="141"/>
      <c r="C15" s="141"/>
      <c r="E15" s="110" t="s">
        <v>35</v>
      </c>
      <c r="G15" s="110" t="s">
        <v>44</v>
      </c>
      <c r="I15" s="110" t="s">
        <v>61</v>
      </c>
      <c r="K15" s="160" t="s">
        <v>103</v>
      </c>
      <c r="L15" s="160" t="s">
        <v>104</v>
      </c>
      <c r="N15" s="110" t="s">
        <v>35</v>
      </c>
      <c r="P15" s="110" t="s">
        <v>78</v>
      </c>
    </row>
    <row r="16" spans="2:16" ht="16.5" customHeight="1">
      <c r="B16" s="141"/>
      <c r="C16" s="141"/>
      <c r="G16" s="110" t="s">
        <v>45</v>
      </c>
      <c r="K16" s="160" t="s">
        <v>105</v>
      </c>
      <c r="L16" s="160" t="s">
        <v>106</v>
      </c>
      <c r="P16" s="110" t="s">
        <v>79</v>
      </c>
    </row>
    <row r="17" spans="2:16" ht="16.5" customHeight="1">
      <c r="B17" s="141"/>
      <c r="C17" s="141"/>
      <c r="G17" s="110" t="s">
        <v>46</v>
      </c>
      <c r="K17" s="160" t="s">
        <v>107</v>
      </c>
      <c r="L17" s="160" t="s">
        <v>108</v>
      </c>
      <c r="P17" s="110" t="s">
        <v>80</v>
      </c>
    </row>
    <row r="18" spans="2:16" ht="16.5" customHeight="1">
      <c r="B18" s="141"/>
      <c r="C18" s="141"/>
      <c r="G18" s="110" t="s">
        <v>47</v>
      </c>
      <c r="K18" s="160" t="s">
        <v>109</v>
      </c>
      <c r="L18" s="160" t="s">
        <v>110</v>
      </c>
      <c r="P18" s="110" t="s">
        <v>81</v>
      </c>
    </row>
    <row r="19" spans="2:16" ht="16.5" customHeight="1">
      <c r="B19" s="141"/>
      <c r="C19" s="141"/>
      <c r="G19" s="110" t="s">
        <v>48</v>
      </c>
      <c r="K19" s="160" t="s">
        <v>111</v>
      </c>
      <c r="L19" s="160" t="s">
        <v>112</v>
      </c>
      <c r="P19" s="110" t="s">
        <v>82</v>
      </c>
    </row>
    <row r="20" spans="2:16" ht="16.5" customHeight="1">
      <c r="B20" s="141"/>
      <c r="C20" s="141"/>
      <c r="G20" s="110" t="s">
        <v>49</v>
      </c>
      <c r="P20" s="110" t="s">
        <v>83</v>
      </c>
    </row>
    <row r="21" spans="2:16" ht="16.5" customHeight="1">
      <c r="B21" s="141"/>
      <c r="C21" s="141"/>
      <c r="G21" s="110" t="s">
        <v>50</v>
      </c>
      <c r="P21" s="110" t="s">
        <v>84</v>
      </c>
    </row>
    <row r="22" spans="2:16" ht="16.5" customHeight="1">
      <c r="B22" s="141"/>
      <c r="C22" s="141"/>
      <c r="G22" s="110" t="s">
        <v>51</v>
      </c>
      <c r="P22" s="110" t="s">
        <v>85</v>
      </c>
    </row>
    <row r="23" spans="2:16" ht="16.5" customHeight="1">
      <c r="B23" s="141"/>
      <c r="C23" s="141"/>
      <c r="G23" s="110" t="s">
        <v>52</v>
      </c>
      <c r="P23" s="110" t="s">
        <v>86</v>
      </c>
    </row>
    <row r="24" spans="2:16" ht="16.5" customHeight="1">
      <c r="B24" s="141"/>
      <c r="C24" s="141"/>
    </row>
    <row r="25" spans="2:16" ht="16.5" customHeight="1">
      <c r="B25" s="141"/>
      <c r="C25" s="141"/>
      <c r="P25" s="141" t="s">
        <v>113</v>
      </c>
    </row>
    <row r="26" spans="2:16" ht="16.5" customHeight="1">
      <c r="B26" s="141"/>
      <c r="C26" s="141"/>
      <c r="P26" s="141"/>
    </row>
    <row r="27" spans="2:16" ht="16.5" customHeight="1">
      <c r="B27" s="141"/>
      <c r="C27" s="141"/>
      <c r="P27" s="141"/>
    </row>
    <row r="28" spans="2:16" ht="16.5" customHeight="1">
      <c r="P28" s="141"/>
    </row>
    <row r="29" spans="2:16" ht="16.5" customHeight="1">
      <c r="P29" s="141"/>
    </row>
  </sheetData>
  <mergeCells count="18">
    <mergeCell ref="C1:F1"/>
    <mergeCell ref="G1:J1"/>
    <mergeCell ref="K1:N1"/>
    <mergeCell ref="O1:P1"/>
    <mergeCell ref="C2:F2"/>
    <mergeCell ref="G2:J2"/>
    <mergeCell ref="K2:N2"/>
    <mergeCell ref="O2:P2"/>
    <mergeCell ref="C3:E3"/>
    <mergeCell ref="F3:H3"/>
    <mergeCell ref="I3:K3"/>
    <mergeCell ref="L3:N3"/>
    <mergeCell ref="O3:P3"/>
    <mergeCell ref="B5:P5"/>
    <mergeCell ref="B6:P6"/>
    <mergeCell ref="B7:C7"/>
    <mergeCell ref="B14:C27"/>
    <mergeCell ref="P25:P29"/>
  </mergeCells>
  <dataValidations count="2">
    <dataValidation type="whole" allowBlank="1" showInputMessage="1" showErrorMessage="1" error="Digite um ano entre 2000 e 2100." sqref="C8">
      <formula1>2000</formula1>
      <formula2>2100</formula2>
    </dataValidation>
    <dataValidation type="decimal" allowBlank="1" showInputMessage="1" showErrorMessage="1" error="Digite um percentual entre 0% e 100%." sqref="C11">
      <formula1>0</formula1>
      <formula2>1</formula2>
    </dataValidation>
  </dataValidations>
  <hyperlinks>
    <hyperlink ref="B1" location="'Início'!A1" display="🏠 Início"/>
    <hyperlink ref="C1" location="'Painel Geral'!A1" display="📊 Painel Geral"/>
    <hyperlink ref="G1" location="'Painel Pessoal'!A1" display="👤 Painel Pessoal"/>
    <hyperlink ref="K1" location="'Painel Negócio'!A1" display="💼 Painel Negócio"/>
    <hyperlink ref="O1" location="'Config'!A1" display="⚙ Config"/>
    <hyperlink ref="C2" location="'Lanç. Pessoal'!A1" display="📝 Lançamentos"/>
    <hyperlink ref="G2" location="'Orçamento Pessoal'!A1" display="💳 Orçamento"/>
    <hyperlink ref="K2" location="'Resumo Pessoal'!A1" display="📅 Resumo anual"/>
    <hyperlink ref="O2" location="'Metas'!A1" display="🎯 Metas"/>
    <hyperlink ref="C3" location="'Lanç. Negócio'!A1" display="📝 Lançamentos"/>
    <hyperlink ref="F3" location="'Clientes'!A1" display="🤝 Clientes"/>
    <hyperlink ref="I3" location="'Recebimentos'!A1" display="💰 Recebimentos"/>
    <hyperlink ref="L3" location="'Impostos'!A1" display="🧾 Impostos"/>
    <hyperlink ref="O3" location="'Fluxo de Caixa'!A1" display="📈 Fluxo de Caixa"/>
  </hyperlinks>
  <pageMargins left="0.4" right="0.4" top="0.5" bottom="0.5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CBD5E1"/>
    <pageSetUpPr fitToPage="1"/>
  </sheetPr>
  <dimension ref="A1:S128"/>
  <sheetViews>
    <sheetView showGridLines="0" workbookViewId="0"/>
  </sheetViews>
  <sheetFormatPr defaultRowHeight="16.5" customHeight="1"/>
  <cols>
    <col min="1" max="1" width="2.7109375" customWidth="1"/>
    <col min="2" max="2" width="34.7109375" customWidth="1"/>
    <col min="3" max="6" width="14.7109375" customWidth="1"/>
    <col min="7" max="7" width="4.7109375" customWidth="1"/>
    <col min="8" max="8" width="6.7109375" customWidth="1"/>
    <col min="9" max="9" width="8.7109375" customWidth="1"/>
    <col min="10" max="10" width="28.7109375" customWidth="1"/>
    <col min="11" max="12" width="14.7109375" customWidth="1"/>
    <col min="13" max="13" width="4.7109375" customWidth="1"/>
    <col min="14" max="14" width="26.7109375" customWidth="1"/>
    <col min="15" max="15" width="14.7109375" customWidth="1"/>
    <col min="16" max="16" width="4.7109375" customWidth="1"/>
    <col min="17" max="17" width="30.7109375" customWidth="1"/>
    <col min="18" max="18" width="4.7109375" customWidth="1"/>
    <col min="19" max="19" width="30.7109375" customWidth="1"/>
  </cols>
  <sheetData>
    <row r="1" spans="2:19" ht="22" customHeight="1">
      <c r="B1" s="3" t="s">
        <v>0</v>
      </c>
      <c r="C1" s="3"/>
      <c r="D1" s="3" t="s">
        <v>1</v>
      </c>
      <c r="E1" s="3"/>
      <c r="F1" s="3"/>
      <c r="G1" s="3"/>
      <c r="H1" s="3"/>
      <c r="I1" s="3"/>
      <c r="J1" s="3" t="s">
        <v>2</v>
      </c>
      <c r="K1" s="3"/>
      <c r="L1" s="3"/>
      <c r="M1" s="3" t="s">
        <v>3</v>
      </c>
      <c r="N1" s="3"/>
      <c r="O1" s="3"/>
      <c r="P1" s="3"/>
      <c r="Q1" s="3" t="s">
        <v>4</v>
      </c>
      <c r="R1" s="3"/>
      <c r="S1" s="3"/>
    </row>
    <row r="2" spans="2:19" ht="22" customHeight="1">
      <c r="B2" s="4" t="s">
        <v>5</v>
      </c>
      <c r="C2" s="4"/>
      <c r="D2" s="5" t="s">
        <v>6</v>
      </c>
      <c r="E2" s="5"/>
      <c r="F2" s="5"/>
      <c r="G2" s="5"/>
      <c r="H2" s="5"/>
      <c r="I2" s="5"/>
      <c r="J2" s="5" t="s">
        <v>7</v>
      </c>
      <c r="K2" s="5"/>
      <c r="L2" s="5"/>
      <c r="M2" s="5" t="s">
        <v>8</v>
      </c>
      <c r="N2" s="5"/>
      <c r="O2" s="5"/>
      <c r="P2" s="5"/>
      <c r="Q2" s="5" t="s">
        <v>9</v>
      </c>
      <c r="R2" s="5"/>
      <c r="S2" s="5"/>
    </row>
    <row r="3" spans="2:19" ht="22" customHeight="1">
      <c r="B3" s="6" t="s">
        <v>10</v>
      </c>
      <c r="C3" s="6"/>
      <c r="D3" s="7" t="s">
        <v>6</v>
      </c>
      <c r="E3" s="7"/>
      <c r="F3" s="7"/>
      <c r="G3" s="7"/>
      <c r="H3" s="7"/>
      <c r="I3" s="7" t="s">
        <v>11</v>
      </c>
      <c r="J3" s="7"/>
      <c r="K3" s="7"/>
      <c r="L3" s="7" t="s">
        <v>12</v>
      </c>
      <c r="M3" s="7"/>
      <c r="N3" s="7"/>
      <c r="O3" s="7" t="s">
        <v>13</v>
      </c>
      <c r="P3" s="7"/>
      <c r="Q3" s="7"/>
      <c r="R3" s="7" t="s">
        <v>14</v>
      </c>
      <c r="S3" s="7"/>
    </row>
    <row r="4" spans="2:19" ht="6" customHeight="1"/>
    <row r="5" spans="2:19" ht="38" customHeight="1">
      <c r="B5" s="8" t="s">
        <v>114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2:19" ht="20" customHeight="1">
      <c r="B6" s="68" t="s">
        <v>115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</row>
    <row r="7" spans="2:19" ht="16.5" customHeight="1">
      <c r="B7" s="39" t="s">
        <v>116</v>
      </c>
      <c r="C7" s="39"/>
      <c r="Q7" s="39" t="s">
        <v>122</v>
      </c>
      <c r="S7" s="57" t="s">
        <v>436</v>
      </c>
    </row>
    <row r="8" spans="2:19" ht="16.5" customHeight="1">
      <c r="B8" s="98" t="s">
        <v>117</v>
      </c>
      <c r="C8" s="164">
        <f>IFERROR(MATCH('Painel Pessoal'!$D$7,'Config'!$K$8:$K$19,0),1)</f>
        <v>9</v>
      </c>
      <c r="Q8" s="98" t="str">
        <f>IF('Config'!$E$8="","",'Config'!$E$8)</f>
        <v>Pró-labore / Retirada do negócio</v>
      </c>
      <c r="S8" s="98" t="str">
        <f>IF('Config'!$N$8="","",'Config'!$N$8)</f>
        <v>Receita avulsa (vendas/serviços)</v>
      </c>
    </row>
    <row r="9" spans="2:19" ht="16.5" customHeight="1">
      <c r="B9" s="98" t="s">
        <v>118</v>
      </c>
      <c r="C9" s="164">
        <f>IFERROR(MATCH('Orçamento Pessoal'!$C$7,'Config'!$K$8:$K$19,0),1)</f>
        <v>9</v>
      </c>
      <c r="Q9" s="98" t="str">
        <f>IF('Config'!$E$9="","",'Config'!$E$9)</f>
        <v>Salário / Renda fixa</v>
      </c>
      <c r="S9" s="98" t="str">
        <f>IF('Config'!$N$9="","",'Config'!$N$9)</f>
        <v>Aporte do sócio</v>
      </c>
    </row>
    <row r="10" spans="2:19" ht="16.5" customHeight="1">
      <c r="B10" s="98" t="s">
        <v>119</v>
      </c>
      <c r="C10" s="164">
        <f>IF(YEAR('Config'!$C$9)&lt;'Config'!$C$8,0,IF(YEAR('Config'!$C$9)&gt;'Config'!$C$8,12,MONTH('Config'!$C$9)))</f>
        <v>9</v>
      </c>
      <c r="Q10" s="98" t="str">
        <f>IF('Config'!$E$10="","",'Config'!$E$10)</f>
        <v>Renda extra</v>
      </c>
      <c r="S10" s="98" t="str">
        <f>IF('Config'!$N$10="","",'Config'!$N$10)</f>
        <v>Rendimentos do caixa</v>
      </c>
    </row>
    <row r="11" spans="2:19" ht="16.5" customHeight="1">
      <c r="B11" s="98" t="s">
        <v>120</v>
      </c>
      <c r="C11" s="164">
        <f>MAX(1,SUMPRODUCT(--(('Resumo Pessoal'!$C$18:$N$18+'Resumo Pessoal'!$C$36:$N$36)&gt;0)))</f>
        <v>9</v>
      </c>
      <c r="Q11" s="98" t="str">
        <f>IF('Config'!$E$11="","",'Config'!$E$11)</f>
        <v>Rendimentos de investimentos</v>
      </c>
      <c r="S11" s="98" t="str">
        <f>IF('Config'!$N$11="","",'Config'!$N$11)</f>
        <v>Reembolsos recebidos</v>
      </c>
    </row>
    <row r="12" spans="2:19" ht="16.5" customHeight="1">
      <c r="B12" s="98" t="s">
        <v>121</v>
      </c>
      <c r="C12" s="81">
        <f>INDEX('Resumo Pessoal'!$C$36:$N$36,$C$8)</f>
        <v>3992.84</v>
      </c>
      <c r="Q12" s="98" t="str">
        <f>IF('Config'!$E$12="","",'Config'!$E$12)</f>
        <v>Reembolsos</v>
      </c>
      <c r="S12" s="98" t="str">
        <f>IF('Config'!$N$12="","",'Config'!$N$12)</f>
        <v>Venda de equipamentos</v>
      </c>
    </row>
    <row r="13" spans="2:19" ht="16.5" customHeight="1">
      <c r="B13" s="98" t="s">
        <v>128</v>
      </c>
      <c r="C13" s="164">
        <f>SUM($F$18:$F$33)</f>
        <v>2</v>
      </c>
      <c r="Q13" s="98" t="str">
        <f>IF('Config'!$E$13="","",'Config'!$E$13)</f>
        <v>Aluguéis recebidos</v>
      </c>
      <c r="S13" s="98" t="str">
        <f>IF('Config'!$N$13="","",'Config'!$N$13)</f>
        <v>Estornos e devoluções</v>
      </c>
    </row>
    <row r="14" spans="2:19" ht="16.5" customHeight="1">
      <c r="B14" s="98" t="s">
        <v>136</v>
      </c>
      <c r="C14" s="98" t="str">
        <f>"Para onde foi o dinheiro — "&amp;INDEX('Config'!$K$8:$K$19,$C$8)</f>
        <v>Para onde foi o dinheiro — Setembro</v>
      </c>
      <c r="Q14" s="98" t="str">
        <f>IF('Config'!$E$14="","",'Config'!$E$14)</f>
        <v>Presentes recebidos</v>
      </c>
      <c r="S14" s="98" t="str">
        <f>IF('Config'!$N$14="","",'Config'!$N$14)</f>
        <v>Subsídios e prêmios</v>
      </c>
    </row>
    <row r="15" spans="2:19" ht="16.5" customHeight="1">
      <c r="Q15" s="98" t="str">
        <f>IF('Config'!$E$15="","",'Config'!$E$15)</f>
        <v>Outras entradas</v>
      </c>
      <c r="S15" s="98" t="str">
        <f>IF('Config'!$N$15="","",'Config'!$N$15)</f>
        <v>Outras entradas</v>
      </c>
    </row>
    <row r="16" spans="2:19" ht="16.5" customHeight="1">
      <c r="Q16" s="98" t="str">
        <f>IF('Config'!$G$8="","",'Config'!$G$8)</f>
        <v>Moradia</v>
      </c>
      <c r="S16" s="98" t="str">
        <f>IF('Config'!$P$8="","",'Config'!$P$8)</f>
        <v>Pró-labore / Retirada</v>
      </c>
    </row>
    <row r="17" spans="2:19" ht="16.5" customHeight="1">
      <c r="B17" s="165" t="s">
        <v>123</v>
      </c>
      <c r="C17" s="165" t="s">
        <v>124</v>
      </c>
      <c r="D17" s="165" t="s">
        <v>125</v>
      </c>
      <c r="E17" s="165" t="s">
        <v>126</v>
      </c>
      <c r="F17" s="165" t="s">
        <v>127</v>
      </c>
      <c r="H17" s="165" t="s">
        <v>129</v>
      </c>
      <c r="I17" s="165" t="s">
        <v>130</v>
      </c>
      <c r="J17" s="165" t="s">
        <v>131</v>
      </c>
      <c r="K17" s="165" t="s">
        <v>132</v>
      </c>
      <c r="L17" s="165" t="s">
        <v>125</v>
      </c>
      <c r="M17" s="165" t="s">
        <v>133</v>
      </c>
      <c r="N17" s="165" t="s">
        <v>134</v>
      </c>
      <c r="Q17" s="98" t="str">
        <f>IF('Config'!$G$9="","",'Config'!$G$9)</f>
        <v>Contas da casa</v>
      </c>
      <c r="S17" s="98" t="str">
        <f>IF('Config'!$P$9="","",'Config'!$P$9)</f>
        <v>Materiais e insumos</v>
      </c>
    </row>
    <row r="18" spans="2:19" ht="16.5" customHeight="1">
      <c r="B18" s="98" t="str">
        <f>IF('Config'!$G$8="","",'Config'!$G$8)</f>
        <v>Moradia</v>
      </c>
      <c r="C18" s="81">
        <f>IF(B18="",0,INDEX('Resumo Pessoal'!$C$20:$N$20,$C$8))</f>
        <v>1100</v>
      </c>
      <c r="D18" s="81">
        <f>IF(B18="",0,'Orçamento Pessoal'!$C$12)</f>
        <v>1100</v>
      </c>
      <c r="E18" s="166">
        <f>IF(C18&gt;0,C18+ROW()/1000000,0)</f>
        <v>1100.000018</v>
      </c>
      <c r="F18" s="164">
        <f>IF(AND(D18&gt;0,C18&gt;D18),1,0)</f>
        <v>0</v>
      </c>
      <c r="H18" s="114">
        <v>1</v>
      </c>
      <c r="I18" s="164">
        <f>IF(LARGE($E$18:$E$33,1)&gt;0,MATCH(LARGE($E$18:$E$33,1),$E$18:$E$33,0),0)</f>
        <v>1</v>
      </c>
      <c r="J18" s="98" t="str">
        <f>IF(I18&gt;0,INDEX($B$18:$B$33,I18),"—")</f>
        <v>Moradia</v>
      </c>
      <c r="K18" s="81">
        <f>IF(I18&gt;0,INDEX($C$18:$C$33,I18),0)</f>
        <v>1100</v>
      </c>
      <c r="L18" s="81">
        <f>IF(I18&gt;0,INDEX($D$18:$D$33,I18),0)</f>
        <v>1100</v>
      </c>
      <c r="M18" s="98" t="str">
        <f>J18</f>
        <v>Moradia</v>
      </c>
      <c r="N18" s="81">
        <f>K18</f>
        <v>1100</v>
      </c>
      <c r="Q18" s="98" t="str">
        <f>IF('Config'!$G$10="","",'Config'!$G$10)</f>
        <v>Alimentação</v>
      </c>
      <c r="S18" s="98" t="str">
        <f>IF('Config'!$P$10="","",'Config'!$P$10)</f>
        <v>Software e assinaturas</v>
      </c>
    </row>
    <row r="19" spans="2:19" ht="16.5" customHeight="1">
      <c r="B19" s="98" t="str">
        <f>IF('Config'!$G$9="","",'Config'!$G$9)</f>
        <v>Contas da casa</v>
      </c>
      <c r="C19" s="81">
        <f>IF(B19="",0,INDEX('Resumo Pessoal'!$C$21:$N$21,$C$8))</f>
        <v>289.91</v>
      </c>
      <c r="D19" s="81">
        <f>IF(B19="",0,'Orçamento Pessoal'!$C$13)</f>
        <v>360</v>
      </c>
      <c r="E19" s="166">
        <f>IF(C19&gt;0,C19+ROW()/1000000,0)</f>
        <v>289.910019</v>
      </c>
      <c r="F19" s="164">
        <f>IF(AND(D19&gt;0,C19&gt;D19),1,0)</f>
        <v>0</v>
      </c>
      <c r="H19" s="114">
        <v>2</v>
      </c>
      <c r="I19" s="164">
        <f>IF(LARGE($E$18:$E$33,2)&gt;0,MATCH(LARGE($E$18:$E$33,2),$E$18:$E$33,0),0)</f>
        <v>3</v>
      </c>
      <c r="J19" s="98" t="str">
        <f>IF(I19&gt;0,INDEX($B$18:$B$33,I19),"—")</f>
        <v>Alimentação</v>
      </c>
      <c r="K19" s="81">
        <f>IF(I19&gt;0,INDEX($C$18:$C$33,I19),0)</f>
        <v>627.27</v>
      </c>
      <c r="L19" s="81">
        <f>IF(I19&gt;0,INDEX($D$18:$D$33,I19),0)</f>
        <v>650</v>
      </c>
      <c r="M19" s="98" t="str">
        <f>J19</f>
        <v>Alimentação</v>
      </c>
      <c r="N19" s="81">
        <f>K19</f>
        <v>627.27</v>
      </c>
      <c r="Q19" s="98" t="str">
        <f>IF('Config'!$G$11="","",'Config'!$G$11)</f>
        <v>Transporte</v>
      </c>
      <c r="S19" s="98" t="str">
        <f>IF('Config'!$P$11="","",'Config'!$P$11)</f>
        <v>Marketing e anúncios</v>
      </c>
    </row>
    <row r="20" spans="2:19" ht="16.5" customHeight="1">
      <c r="B20" s="98" t="str">
        <f>IF('Config'!$G$10="","",'Config'!$G$10)</f>
        <v>Alimentação</v>
      </c>
      <c r="C20" s="81">
        <f>IF(B20="",0,INDEX('Resumo Pessoal'!$C$22:$N$22,$C$8))</f>
        <v>627.27</v>
      </c>
      <c r="D20" s="81">
        <f>IF(B20="",0,'Orçamento Pessoal'!$C$14)</f>
        <v>650</v>
      </c>
      <c r="E20" s="166">
        <f>IF(C20&gt;0,C20+ROW()/1000000,0)</f>
        <v>627.27002</v>
      </c>
      <c r="F20" s="164">
        <f>IF(AND(D20&gt;0,C20&gt;D20),1,0)</f>
        <v>0</v>
      </c>
      <c r="H20" s="114">
        <v>3</v>
      </c>
      <c r="I20" s="164">
        <f>IF(LARGE($E$18:$E$33,3)&gt;0,MATCH(LARGE($E$18:$E$33,3),$E$18:$E$33,0),0)</f>
        <v>14</v>
      </c>
      <c r="J20" s="98" t="str">
        <f>IF(I20&gt;0,INDEX($B$18:$B$33,I20),"—")</f>
        <v>Reserva e Metas</v>
      </c>
      <c r="K20" s="81">
        <f>IF(I20&gt;0,INDEX($C$18:$C$33,I20),0)</f>
        <v>600</v>
      </c>
      <c r="L20" s="81">
        <f>IF(I20&gt;0,INDEX($D$18:$D$33,I20),0)</f>
        <v>600</v>
      </c>
      <c r="M20" s="98" t="str">
        <f>J20</f>
        <v>Reserva e Metas</v>
      </c>
      <c r="N20" s="81">
        <f>K20</f>
        <v>600</v>
      </c>
      <c r="Q20" s="98" t="str">
        <f>IF('Config'!$G$12="","",'Config'!$G$12)</f>
        <v>Saúde</v>
      </c>
      <c r="S20" s="98" t="str">
        <f>IF('Config'!$P$12="","",'Config'!$P$12)</f>
        <v>Equipamentos</v>
      </c>
    </row>
    <row r="21" spans="2:19" ht="16.5" customHeight="1">
      <c r="B21" s="98" t="str">
        <f>IF('Config'!$G$11="","",'Config'!$G$11)</f>
        <v>Transporte</v>
      </c>
      <c r="C21" s="81">
        <f>IF(B21="",0,INDEX('Resumo Pessoal'!$C$23:$N$23,$C$8))</f>
        <v>264.51</v>
      </c>
      <c r="D21" s="81">
        <f>IF(B21="",0,'Orçamento Pessoal'!$C$15)</f>
        <v>420</v>
      </c>
      <c r="E21" s="166">
        <f>IF(C21&gt;0,C21+ROW()/1000000,0)</f>
        <v>264.510021</v>
      </c>
      <c r="F21" s="164">
        <f>IF(AND(D21&gt;0,C21&gt;D21),1,0)</f>
        <v>0</v>
      </c>
      <c r="H21" s="114">
        <v>4</v>
      </c>
      <c r="I21" s="164">
        <f>IF(LARGE($E$18:$E$33,4)&gt;0,MATCH(LARGE($E$18:$E$33,4),$E$18:$E$33,0),0)</f>
        <v>2</v>
      </c>
      <c r="J21" s="98" t="str">
        <f>IF(I21&gt;0,INDEX($B$18:$B$33,I21),"—")</f>
        <v>Contas da casa</v>
      </c>
      <c r="K21" s="81">
        <f>IF(I21&gt;0,INDEX($C$18:$C$33,I21),0)</f>
        <v>289.91</v>
      </c>
      <c r="L21" s="81">
        <f>IF(I21&gt;0,INDEX($D$18:$D$33,I21),0)</f>
        <v>360</v>
      </c>
      <c r="M21" s="98" t="str">
        <f>J21</f>
        <v>Contas da casa</v>
      </c>
      <c r="N21" s="81">
        <f>K21</f>
        <v>289.91</v>
      </c>
      <c r="Q21" s="98" t="str">
        <f>IF('Config'!$G$13="","",'Config'!$G$13)</f>
        <v>Educação</v>
      </c>
      <c r="S21" s="98" t="str">
        <f>IF('Config'!$P$13="","",'Config'!$P$13)</f>
        <v>Transporte e viagens</v>
      </c>
    </row>
    <row r="22" spans="2:19" ht="16.5" customHeight="1">
      <c r="B22" s="98" t="str">
        <f>IF('Config'!$G$12="","",'Config'!$G$12)</f>
        <v>Saúde</v>
      </c>
      <c r="C22" s="81">
        <f>IF(B22="",0,INDEX('Resumo Pessoal'!$C$24:$N$24,$C$8))</f>
        <v>255.85</v>
      </c>
      <c r="D22" s="81">
        <f>IF(B22="",0,'Orçamento Pessoal'!$C$16)</f>
        <v>250</v>
      </c>
      <c r="E22" s="166">
        <f>IF(C22&gt;0,C22+ROW()/1000000,0)</f>
        <v>255.850022</v>
      </c>
      <c r="F22" s="164">
        <f>IF(AND(D22&gt;0,C22&gt;D22),1,0)</f>
        <v>1</v>
      </c>
      <c r="H22" s="114">
        <v>5</v>
      </c>
      <c r="I22" s="164">
        <f>IF(LARGE($E$18:$E$33,5)&gt;0,MATCH(LARGE($E$18:$E$33,5),$E$18:$E$33,0),0)</f>
        <v>4</v>
      </c>
      <c r="J22" s="98" t="str">
        <f>IF(I22&gt;0,INDEX($B$18:$B$33,I22),"—")</f>
        <v>Transporte</v>
      </c>
      <c r="K22" s="81">
        <f>IF(I22&gt;0,INDEX($C$18:$C$33,I22),0)</f>
        <v>264.51</v>
      </c>
      <c r="L22" s="81">
        <f>IF(I22&gt;0,INDEX($D$18:$D$33,I22),0)</f>
        <v>420</v>
      </c>
      <c r="M22" s="98" t="str">
        <f>J22</f>
        <v>Transporte</v>
      </c>
      <c r="N22" s="81">
        <f>K22</f>
        <v>264.51</v>
      </c>
      <c r="Q22" s="98" t="str">
        <f>IF('Config'!$G$14="","",'Config'!$G$14)</f>
        <v>Lazer</v>
      </c>
      <c r="S22" s="98" t="str">
        <f>IF('Config'!$P$14="","",'Config'!$P$14)</f>
        <v>Alimentação a trabalho</v>
      </c>
    </row>
    <row r="23" spans="2:19" ht="16.5" customHeight="1">
      <c r="B23" s="98" t="str">
        <f>IF('Config'!$G$13="","",'Config'!$G$13)</f>
        <v>Educação</v>
      </c>
      <c r="C23" s="81">
        <f>IF(B23="",0,INDEX('Resumo Pessoal'!$C$25:$N$25,$C$8))</f>
        <v>149</v>
      </c>
      <c r="D23" s="81">
        <f>IF(B23="",0,'Orçamento Pessoal'!$C$17)</f>
        <v>150</v>
      </c>
      <c r="E23" s="166">
        <f>IF(C23&gt;0,C23+ROW()/1000000,0)</f>
        <v>149.000023</v>
      </c>
      <c r="F23" s="164">
        <f>IF(AND(D23&gt;0,C23&gt;D23),1,0)</f>
        <v>0</v>
      </c>
      <c r="H23" s="114">
        <v>6</v>
      </c>
      <c r="I23" s="164">
        <f>IF(LARGE($E$18:$E$33,6)&gt;0,MATCH(LARGE($E$18:$E$33,6),$E$18:$E$33,0),0)</f>
        <v>5</v>
      </c>
      <c r="J23" s="98" t="str">
        <f>IF(I23&gt;0,INDEX($B$18:$B$33,I23),"—")</f>
        <v>Saúde</v>
      </c>
      <c r="K23" s="81">
        <f>IF(I23&gt;0,INDEX($C$18:$C$33,I23),0)</f>
        <v>255.85</v>
      </c>
      <c r="L23" s="81">
        <f>IF(I23&gt;0,INDEX($D$18:$D$33,I23),0)</f>
        <v>250</v>
      </c>
      <c r="M23" s="98" t="str">
        <f>J23</f>
        <v>Saúde</v>
      </c>
      <c r="N23" s="81">
        <f>K23</f>
        <v>255.85</v>
      </c>
      <c r="Q23" s="98" t="str">
        <f>IF('Config'!$G$15="","",'Config'!$G$15)</f>
        <v>Vestuário</v>
      </c>
      <c r="S23" s="98" t="str">
        <f>IF('Config'!$P$15="","",'Config'!$P$15)</f>
        <v>Aluguel / coworking</v>
      </c>
    </row>
    <row r="24" spans="2:19" ht="16.5" customHeight="1">
      <c r="B24" s="98" t="str">
        <f>IF('Config'!$G$14="","",'Config'!$G$14)</f>
        <v>Lazer</v>
      </c>
      <c r="C24" s="81">
        <f>IF(B24="",0,INDEX('Resumo Pessoal'!$C$26:$N$26,$C$8))</f>
        <v>201.67</v>
      </c>
      <c r="D24" s="81">
        <f>IF(B24="",0,'Orçamento Pessoal'!$C$18)</f>
        <v>250</v>
      </c>
      <c r="E24" s="166">
        <f>IF(C24&gt;0,C24+ROW()/1000000,0)</f>
        <v>201.670024</v>
      </c>
      <c r="F24" s="164">
        <f>IF(AND(D24&gt;0,C24&gt;D24),1,0)</f>
        <v>0</v>
      </c>
      <c r="H24" s="114">
        <v>7</v>
      </c>
      <c r="I24" s="164">
        <f>IF(LARGE($E$18:$E$33,7)&gt;0,MATCH(LARGE($E$18:$E$33,7),$E$18:$E$33,0),0)</f>
        <v>7</v>
      </c>
      <c r="J24" s="98" t="str">
        <f>IF(I24&gt;0,INDEX($B$18:$B$33,I24),"—")</f>
        <v>Lazer</v>
      </c>
      <c r="K24" s="81">
        <f>IF(I24&gt;0,INDEX($C$18:$C$33,I24),0)</f>
        <v>201.67</v>
      </c>
      <c r="L24" s="81">
        <f>IF(I24&gt;0,INDEX($D$18:$D$33,I24),0)</f>
        <v>250</v>
      </c>
      <c r="M24" s="98" t="str">
        <f>J24</f>
        <v>Lazer</v>
      </c>
      <c r="N24" s="81">
        <f>K24</f>
        <v>201.67</v>
      </c>
      <c r="Q24" s="98" t="str">
        <f>IF('Config'!$G$16="","",'Config'!$G$16)</f>
        <v>Assinaturas</v>
      </c>
      <c r="S24" s="98" t="str">
        <f>IF('Config'!$P$16="","",'Config'!$P$16)</f>
        <v>Internet e telefone</v>
      </c>
    </row>
    <row r="25" spans="2:19" ht="16.5" customHeight="1">
      <c r="B25" s="98" t="str">
        <f>IF('Config'!$G$15="","",'Config'!$G$15)</f>
        <v>Vestuário</v>
      </c>
      <c r="C25" s="81">
        <f>IF(B25="",0,INDEX('Resumo Pessoal'!$C$27:$N$27,$C$8))</f>
        <v>138.36</v>
      </c>
      <c r="D25" s="81">
        <f>IF(B25="",0,'Orçamento Pessoal'!$C$19)</f>
        <v>100</v>
      </c>
      <c r="E25" s="166">
        <f>IF(C25&gt;0,C25+ROW()/1000000,0)</f>
        <v>138.360025</v>
      </c>
      <c r="F25" s="164">
        <f>IF(AND(D25&gt;0,C25&gt;D25),1,0)</f>
        <v>1</v>
      </c>
      <c r="H25" s="114">
        <v>8</v>
      </c>
      <c r="I25" s="164">
        <f>IF(LARGE($E$18:$E$33,8)&gt;0,MATCH(LARGE($E$18:$E$33,8),$E$18:$E$33,0),0)</f>
        <v>10</v>
      </c>
      <c r="J25" s="98" t="str">
        <f>IF(I25&gt;0,INDEX($B$18:$B$33,I25),"—")</f>
        <v>Cuidados pessoais</v>
      </c>
      <c r="K25" s="81">
        <f>IF(I25&gt;0,INDEX($C$18:$C$33,I25),0)</f>
        <v>175.11</v>
      </c>
      <c r="L25" s="81">
        <f>IF(I25&gt;0,INDEX($D$18:$D$33,I25),0)</f>
        <v>200</v>
      </c>
      <c r="M25" s="98" t="s">
        <v>135</v>
      </c>
      <c r="N25" s="81">
        <f>MAX(0,$C$12-SUM(N18:N24))</f>
        <v>653.63</v>
      </c>
      <c r="Q25" s="98" t="str">
        <f>IF('Config'!$G$17="","",'Config'!$G$17)</f>
        <v>Cuidados pessoais</v>
      </c>
      <c r="S25" s="98" t="str">
        <f>IF('Config'!$P$17="","",'Config'!$P$17)</f>
        <v>Contabilidade</v>
      </c>
    </row>
    <row r="26" spans="2:19" ht="16.5" customHeight="1">
      <c r="B26" s="98" t="str">
        <f>IF('Config'!$G$16="","",'Config'!$G$16)</f>
        <v>Assinaturas</v>
      </c>
      <c r="C26" s="81">
        <f>IF(B26="",0,INDEX('Resumo Pessoal'!$C$28:$N$28,$C$8))</f>
        <v>87.7</v>
      </c>
      <c r="D26" s="81">
        <f>IF(B26="",0,'Orçamento Pessoal'!$C$20)</f>
        <v>90</v>
      </c>
      <c r="E26" s="166">
        <f>IF(C26&gt;0,C26+ROW()/1000000,0)</f>
        <v>87.700026</v>
      </c>
      <c r="F26" s="164">
        <f>IF(AND(D26&gt;0,C26&gt;D26),1,0)</f>
        <v>0</v>
      </c>
      <c r="Q26" s="98" t="str">
        <f>IF('Config'!$G$18="","",'Config'!$G$18)</f>
        <v>Pets</v>
      </c>
      <c r="S26" s="98" t="str">
        <f>IF('Config'!$P$18="","",'Config'!$P$18)</f>
        <v>Taxas e tarifas</v>
      </c>
    </row>
    <row r="27" spans="2:19" ht="16.5" customHeight="1">
      <c r="B27" s="98" t="str">
        <f>IF('Config'!$G$17="","",'Config'!$G$17)</f>
        <v>Cuidados pessoais</v>
      </c>
      <c r="C27" s="81">
        <f>IF(B27="",0,INDEX('Resumo Pessoal'!$C$29:$N$29,$C$8))</f>
        <v>175.11</v>
      </c>
      <c r="D27" s="81">
        <f>IF(B27="",0,'Orçamento Pessoal'!$C$21)</f>
        <v>200</v>
      </c>
      <c r="E27" s="166">
        <f>IF(C27&gt;0,C27+ROW()/1000000,0)</f>
        <v>175.110027</v>
      </c>
      <c r="F27" s="164">
        <f>IF(AND(D27&gt;0,C27&gt;D27),1,0)</f>
        <v>0</v>
      </c>
      <c r="Q27" s="98" t="str">
        <f>IF('Config'!$G$19="","",'Config'!$G$19)</f>
        <v>Presentes e doações</v>
      </c>
      <c r="S27" s="98" t="str">
        <f>IF('Config'!$P$19="","",'Config'!$P$19)</f>
        <v>Capacitação e cursos</v>
      </c>
    </row>
    <row r="28" spans="2:19" ht="16.5" customHeight="1">
      <c r="B28" s="98" t="str">
        <f>IF('Config'!$G$18="","",'Config'!$G$18)</f>
        <v>Pets</v>
      </c>
      <c r="C28" s="81">
        <f>IF(B28="",0,INDEX('Resumo Pessoal'!$C$30:$N$30,$C$8))</f>
        <v>0</v>
      </c>
      <c r="D28" s="81">
        <f>IF(B28="",0,'Orçamento Pessoal'!$C$22)</f>
        <v>0</v>
      </c>
      <c r="E28" s="166">
        <f>IF(C28&gt;0,C28+ROW()/1000000,0)</f>
        <v>0</v>
      </c>
      <c r="F28" s="164">
        <f>IF(AND(D28&gt;0,C28&gt;D28),1,0)</f>
        <v>0</v>
      </c>
      <c r="Q28" s="98" t="str">
        <f>IF('Config'!$G$20="","",'Config'!$G$20)</f>
        <v>Dívidas e financiamentos</v>
      </c>
      <c r="S28" s="98" t="str">
        <f>IF('Config'!$P$20="","",'Config'!$P$20)</f>
        <v>Outros impostos e taxas</v>
      </c>
    </row>
    <row r="29" spans="2:19" ht="16.5" customHeight="1">
      <c r="B29" s="98" t="str">
        <f>IF('Config'!$G$19="","",'Config'!$G$19)</f>
        <v>Presentes e doações</v>
      </c>
      <c r="C29" s="81">
        <f>IF(B29="",0,INDEX('Resumo Pessoal'!$C$31:$N$31,$C$8))</f>
        <v>50</v>
      </c>
      <c r="D29" s="81">
        <f>IF(B29="",0,'Orçamento Pessoal'!$C$23)</f>
        <v>80</v>
      </c>
      <c r="E29" s="166">
        <f>IF(C29&gt;0,C29+ROW()/1000000,0)</f>
        <v>50.000029</v>
      </c>
      <c r="F29" s="164">
        <f>IF(AND(D29&gt;0,C29&gt;D29),1,0)</f>
        <v>0</v>
      </c>
      <c r="Q29" s="98" t="str">
        <f>IF('Config'!$G$21="","",'Config'!$G$21)</f>
        <v>Reserva e Metas</v>
      </c>
      <c r="S29" s="98" t="str">
        <f>IF('Config'!$P$21="","",'Config'!$P$21)</f>
        <v>Terceiros / freelancers</v>
      </c>
    </row>
    <row r="30" spans="2:19" ht="16.5" customHeight="1">
      <c r="B30" s="98" t="str">
        <f>IF('Config'!$G$20="","",'Config'!$G$20)</f>
        <v>Dívidas e financiamentos</v>
      </c>
      <c r="C30" s="81">
        <f>IF(B30="",0,INDEX('Resumo Pessoal'!$C$32:$N$32,$C$8))</f>
        <v>0</v>
      </c>
      <c r="D30" s="81">
        <f>IF(B30="",0,'Orçamento Pessoal'!$C$24)</f>
        <v>0</v>
      </c>
      <c r="E30" s="166">
        <f>IF(C30&gt;0,C30+ROW()/1000000,0)</f>
        <v>0</v>
      </c>
      <c r="F30" s="164">
        <f>IF(AND(D30&gt;0,C30&gt;D30),1,0)</f>
        <v>0</v>
      </c>
      <c r="Q30" s="98" t="str">
        <f>IF('Config'!$G$22="","",'Config'!$G$22)</f>
        <v>Impostos pessoais</v>
      </c>
      <c r="S30" s="98" t="str">
        <f>IF('Config'!$P$22="","",'Config'!$P$22)</f>
        <v>Seguros</v>
      </c>
    </row>
    <row r="31" spans="2:19" ht="16.5" customHeight="1">
      <c r="B31" s="98" t="str">
        <f>IF('Config'!$G$21="","",'Config'!$G$21)</f>
        <v>Reserva e Metas</v>
      </c>
      <c r="C31" s="81">
        <f>IF(B31="",0,INDEX('Resumo Pessoal'!$C$33:$N$33,$C$8))</f>
        <v>600</v>
      </c>
      <c r="D31" s="81">
        <f>IF(B31="",0,'Orçamento Pessoal'!$C$25)</f>
        <v>600</v>
      </c>
      <c r="E31" s="166">
        <f>IF(C31&gt;0,C31+ROW()/1000000,0)</f>
        <v>600.000031</v>
      </c>
      <c r="F31" s="164">
        <f>0</f>
        <v>0</v>
      </c>
      <c r="Q31" s="98" t="str">
        <f>IF('Config'!$G$23="","",'Config'!$G$23)</f>
        <v>Outros</v>
      </c>
      <c r="S31" s="98" t="str">
        <f>IF('Config'!$P$23="","",'Config'!$P$23)</f>
        <v>Outras despesas</v>
      </c>
    </row>
    <row r="32" spans="2:19" ht="16.5" customHeight="1">
      <c r="B32" s="98" t="str">
        <f>IF('Config'!$G$22="","",'Config'!$G$22)</f>
        <v>Impostos pessoais</v>
      </c>
      <c r="C32" s="81">
        <f>IF(B32="",0,INDEX('Resumo Pessoal'!$C$34:$N$34,$C$8))</f>
        <v>0</v>
      </c>
      <c r="D32" s="81">
        <f>IF(B32="",0,'Orçamento Pessoal'!$C$26)</f>
        <v>80</v>
      </c>
      <c r="E32" s="166">
        <f>IF(C32&gt;0,C32+ROW()/1000000,0)</f>
        <v>0</v>
      </c>
      <c r="F32" s="164">
        <f>IF(AND(D32&gt;0,C32&gt;D32),1,0)</f>
        <v>0</v>
      </c>
    </row>
    <row r="33" spans="2:14" ht="16.5" customHeight="1">
      <c r="B33" s="98" t="str">
        <f>IF('Config'!$G$23="","",'Config'!$G$23)</f>
        <v>Outros</v>
      </c>
      <c r="C33" s="81">
        <f>IF(B33="",0,INDEX('Resumo Pessoal'!$C$35:$N$35,$C$8))</f>
        <v>53.46</v>
      </c>
      <c r="D33" s="81">
        <f>IF(B33="",0,'Orçamento Pessoal'!$C$27)</f>
        <v>80</v>
      </c>
      <c r="E33" s="166">
        <f>IF(C33&gt;0,C33+ROW()/1000000,0)</f>
        <v>53.460033</v>
      </c>
      <c r="F33" s="164">
        <f>IF(AND(D33&gt;0,C33&gt;D33),1,0)</f>
        <v>0</v>
      </c>
    </row>
    <row r="39" spans="2:14" ht="16.5" customHeight="1">
      <c r="B39" s="57" t="s">
        <v>432</v>
      </c>
      <c r="C39" s="57"/>
    </row>
    <row r="40" spans="2:14" ht="16.5" customHeight="1">
      <c r="B40" s="98" t="s">
        <v>433</v>
      </c>
      <c r="C40" s="164">
        <f>IFERROR(MATCH('Painel Negócio'!$D$7,'Config'!$K$8:$K$19,0),1)</f>
        <v>9</v>
      </c>
    </row>
    <row r="41" spans="2:14" ht="16.5" customHeight="1">
      <c r="B41" s="98" t="s">
        <v>434</v>
      </c>
      <c r="C41" s="164">
        <f>IFERROR(MATCH('Painel Geral'!$D$7,'Config'!$K$8:$K$19,0),1)</f>
        <v>9</v>
      </c>
    </row>
    <row r="42" spans="2:14" ht="16.5" customHeight="1">
      <c r="B42" s="98" t="s">
        <v>435</v>
      </c>
      <c r="C42" s="164">
        <f>MIN($C$118:$N$118)</f>
        <v>99</v>
      </c>
    </row>
    <row r="43" spans="2:14" ht="16.5" customHeight="1">
      <c r="B43" s="98" t="s">
        <v>442</v>
      </c>
      <c r="C43" s="81">
        <f>SUM($C$48:$C$63)</f>
        <v>1556.16</v>
      </c>
    </row>
    <row r="44" spans="2:14" ht="16.5" customHeight="1">
      <c r="B44" s="98" t="s">
        <v>443</v>
      </c>
      <c r="C44" s="98" t="str">
        <f>"Onde o negócio gastou — "&amp;INDEX('Config'!$K$8:$K$19,'Dados'!$C$40)</f>
        <v>Onde o negócio gastou — Setembro</v>
      </c>
    </row>
    <row r="47" spans="2:14" ht="16.5" customHeight="1">
      <c r="B47" s="120" t="s">
        <v>437</v>
      </c>
      <c r="C47" s="120" t="s">
        <v>124</v>
      </c>
      <c r="D47" s="120" t="s">
        <v>126</v>
      </c>
      <c r="H47" s="120" t="s">
        <v>129</v>
      </c>
      <c r="I47" s="120" t="s">
        <v>439</v>
      </c>
      <c r="J47" s="120" t="s">
        <v>440</v>
      </c>
      <c r="K47" s="120" t="s">
        <v>134</v>
      </c>
      <c r="M47" s="120" t="s">
        <v>441</v>
      </c>
      <c r="N47" s="120" t="s">
        <v>134</v>
      </c>
    </row>
    <row r="48" spans="2:14" ht="16.5" customHeight="1">
      <c r="B48" s="98" t="str">
        <f>IF('Config'!$P$9="","",'Config'!$P$9)</f>
        <v>Materiais e insumos</v>
      </c>
      <c r="C48" s="81">
        <f>IF(B48="",0,IF('Dados'!$C$40&lt;='Dados'!$C$10,INDEX('Fluxo de Caixa'!$C$64:$N$64,'Dados'!$C$40),0))</f>
        <v>0</v>
      </c>
      <c r="D48" s="166">
        <f>IF(C48&gt;0,C48+ROW()/1000000,0)</f>
        <v>0</v>
      </c>
      <c r="H48" s="114">
        <v>1</v>
      </c>
      <c r="I48" s="164">
        <f>IF(LARGE($D$48:$D$63,1)&gt;0,MATCH(LARGE($D$48:$D$63,1),$D$48:$D$63,0),0)</f>
        <v>7</v>
      </c>
      <c r="J48" s="98" t="str">
        <f>IF(I48&gt;0,INDEX($B$48:$B$63,I48),"—")</f>
        <v>Aluguel / coworking</v>
      </c>
      <c r="K48" s="81">
        <f>IF(I48&gt;0,INDEX($C$48:$C$63,I48),0)</f>
        <v>450</v>
      </c>
      <c r="M48" s="98" t="str">
        <f>J48</f>
        <v>Aluguel / coworking</v>
      </c>
      <c r="N48" s="81">
        <f>K48</f>
        <v>450</v>
      </c>
    </row>
    <row r="49" spans="2:14" ht="16.5" customHeight="1">
      <c r="B49" s="98" t="str">
        <f>IF('Config'!$P$10="","",'Config'!$P$10)</f>
        <v>Software e assinaturas</v>
      </c>
      <c r="C49" s="81">
        <f>IF(B49="",0,IF('Dados'!$C$40&lt;='Dados'!$C$10,INDEX('Fluxo de Caixa'!$C$65:$N$65,'Dados'!$C$40),0))</f>
        <v>218.8</v>
      </c>
      <c r="D49" s="166">
        <f>IF(C49&gt;0,C49+ROW()/1000000,0)</f>
        <v>218.800049</v>
      </c>
      <c r="H49" s="114">
        <v>2</v>
      </c>
      <c r="I49" s="164">
        <f>IF(LARGE($D$48:$D$63,2)&gt;0,MATCH(LARGE($D$48:$D$63,2),$D$48:$D$63,0),0)</f>
        <v>11</v>
      </c>
      <c r="J49" s="98" t="str">
        <f>IF(I49&gt;0,INDEX($B$48:$B$63,I49),"—")</f>
        <v>Capacitação e cursos</v>
      </c>
      <c r="K49" s="81">
        <f>IF(I49&gt;0,INDEX($C$48:$C$63,I49),0)</f>
        <v>320</v>
      </c>
      <c r="M49" s="98" t="str">
        <f>J49</f>
        <v>Capacitação e cursos</v>
      </c>
      <c r="N49" s="81">
        <f>K49</f>
        <v>320</v>
      </c>
    </row>
    <row r="50" spans="2:14" ht="16.5" customHeight="1">
      <c r="B50" s="98" t="str">
        <f>IF('Config'!$P$11="","",'Config'!$P$11)</f>
        <v>Marketing e anúncios</v>
      </c>
      <c r="C50" s="81">
        <f>IF(B50="",0,IF('Dados'!$C$40&lt;='Dados'!$C$10,INDEX('Fluxo de Caixa'!$C$66:$N$66,'Dados'!$C$40),0))</f>
        <v>165.34</v>
      </c>
      <c r="D50" s="166">
        <f>IF(C50&gt;0,C50+ROW()/1000000,0)</f>
        <v>165.34005</v>
      </c>
      <c r="H50" s="114">
        <v>3</v>
      </c>
      <c r="I50" s="164">
        <f>IF(LARGE($D$48:$D$63,3)&gt;0,MATCH(LARGE($D$48:$D$63,3),$D$48:$D$63,0),0)</f>
        <v>2</v>
      </c>
      <c r="J50" s="98" t="str">
        <f>IF(I50&gt;0,INDEX($B$48:$B$63,I50),"—")</f>
        <v>Software e assinaturas</v>
      </c>
      <c r="K50" s="81">
        <f>IF(I50&gt;0,INDEX($C$48:$C$63,I50),0)</f>
        <v>218.8</v>
      </c>
      <c r="M50" s="98" t="str">
        <f>J50</f>
        <v>Software e assinaturas</v>
      </c>
      <c r="N50" s="81">
        <f>K50</f>
        <v>218.8</v>
      </c>
    </row>
    <row r="51" spans="2:14" ht="16.5" customHeight="1">
      <c r="B51" s="98" t="str">
        <f>IF('Config'!$P$12="","",'Config'!$P$12)</f>
        <v>Equipamentos</v>
      </c>
      <c r="C51" s="81">
        <f>IF(B51="",0,IF('Dados'!$C$40&lt;='Dados'!$C$10,INDEX('Fluxo de Caixa'!$C$67:$N$67,'Dados'!$C$40),0))</f>
        <v>0</v>
      </c>
      <c r="D51" s="166">
        <f>IF(C51&gt;0,C51+ROW()/1000000,0)</f>
        <v>0</v>
      </c>
      <c r="H51" s="114">
        <v>4</v>
      </c>
      <c r="I51" s="164">
        <f>IF(LARGE($D$48:$D$63,4)&gt;0,MATCH(LARGE($D$48:$D$63,4),$D$48:$D$63,0),0)</f>
        <v>3</v>
      </c>
      <c r="J51" s="98" t="str">
        <f>IF(I51&gt;0,INDEX($B$48:$B$63,I51),"—")</f>
        <v>Marketing e anúncios</v>
      </c>
      <c r="K51" s="81">
        <f>IF(I51&gt;0,INDEX($C$48:$C$63,I51),0)</f>
        <v>165.34</v>
      </c>
      <c r="M51" s="98" t="str">
        <f>J51</f>
        <v>Marketing e anúncios</v>
      </c>
      <c r="N51" s="81">
        <f>K51</f>
        <v>165.34</v>
      </c>
    </row>
    <row r="52" spans="2:14" ht="16.5" customHeight="1">
      <c r="B52" s="98" t="str">
        <f>IF('Config'!$P$13="","",'Config'!$P$13)</f>
        <v>Transporte e viagens</v>
      </c>
      <c r="C52" s="81">
        <f>IF(B52="",0,IF('Dados'!$C$40&lt;='Dados'!$C$10,INDEX('Fluxo de Caixa'!$C$68:$N$68,'Dados'!$C$40),0))</f>
        <v>141.83</v>
      </c>
      <c r="D52" s="166">
        <f>IF(C52&gt;0,C52+ROW()/1000000,0)</f>
        <v>141.830052</v>
      </c>
      <c r="H52" s="114">
        <v>5</v>
      </c>
      <c r="I52" s="164">
        <f>IF(LARGE($D$48:$D$63,5)&gt;0,MATCH(LARGE($D$48:$D$63,5),$D$48:$D$63,0),0)</f>
        <v>5</v>
      </c>
      <c r="J52" s="98" t="str">
        <f>IF(I52&gt;0,INDEX($B$48:$B$63,I52),"—")</f>
        <v>Transporte e viagens</v>
      </c>
      <c r="K52" s="81">
        <f>IF(I52&gt;0,INDEX($C$48:$C$63,I52),0)</f>
        <v>141.83</v>
      </c>
      <c r="M52" s="98" t="str">
        <f>J52</f>
        <v>Transporte e viagens</v>
      </c>
      <c r="N52" s="81">
        <f>K52</f>
        <v>141.83</v>
      </c>
    </row>
    <row r="53" spans="2:14" ht="16.5" customHeight="1">
      <c r="B53" s="98" t="str">
        <f>IF('Config'!$P$14="","",'Config'!$P$14)</f>
        <v>Alimentação a trabalho</v>
      </c>
      <c r="C53" s="81">
        <f>IF(B53="",0,IF('Dados'!$C$40&lt;='Dados'!$C$10,INDEX('Fluxo de Caixa'!$C$69:$N$69,'Dados'!$C$40),0))</f>
        <v>0</v>
      </c>
      <c r="D53" s="166">
        <f>IF(C53&gt;0,C53+ROW()/1000000,0)</f>
        <v>0</v>
      </c>
      <c r="H53" s="114">
        <v>6</v>
      </c>
      <c r="I53" s="164">
        <f>IF(LARGE($D$48:$D$63,6)&gt;0,MATCH(LARGE($D$48:$D$63,6),$D$48:$D$63,0),0)</f>
        <v>8</v>
      </c>
      <c r="J53" s="98" t="str">
        <f>IF(I53&gt;0,INDEX($B$48:$B$63,I53),"—")</f>
        <v>Internet e telefone</v>
      </c>
      <c r="K53" s="81">
        <f>IF(I53&gt;0,INDEX($C$48:$C$63,I53),0)</f>
        <v>140</v>
      </c>
      <c r="M53" s="98" t="str">
        <f>J53</f>
        <v>Internet e telefone</v>
      </c>
      <c r="N53" s="81">
        <f>K53</f>
        <v>140</v>
      </c>
    </row>
    <row r="54" spans="2:14" ht="16.5" customHeight="1">
      <c r="B54" s="98" t="str">
        <f>IF('Config'!$P$15="","",'Config'!$P$15)</f>
        <v>Aluguel / coworking</v>
      </c>
      <c r="C54" s="81">
        <f>IF(B54="",0,IF('Dados'!$C$40&lt;='Dados'!$C$10,INDEX('Fluxo de Caixa'!$C$70:$N$70,'Dados'!$C$40),0))</f>
        <v>450</v>
      </c>
      <c r="D54" s="166">
        <f>IF(C54&gt;0,C54+ROW()/1000000,0)</f>
        <v>450.000054</v>
      </c>
      <c r="H54" s="114">
        <v>7</v>
      </c>
      <c r="I54" s="164">
        <f>IF(LARGE($D$48:$D$63,7)&gt;0,MATCH(LARGE($D$48:$D$63,7),$D$48:$D$63,0),0)</f>
        <v>16</v>
      </c>
      <c r="J54" s="98" t="str">
        <f>IF(I54&gt;0,INDEX($B$48:$B$63,I54),"—")</f>
        <v>Impostos (DAS)</v>
      </c>
      <c r="K54" s="81">
        <f>IF(I54&gt;0,INDEX($C$48:$C$63,I54),0)</f>
        <v>86.05</v>
      </c>
      <c r="M54" s="98" t="str">
        <f>J54</f>
        <v>Impostos (DAS)</v>
      </c>
      <c r="N54" s="81">
        <f>K54</f>
        <v>86.05</v>
      </c>
    </row>
    <row r="55" spans="2:14" ht="16.5" customHeight="1">
      <c r="B55" s="98" t="str">
        <f>IF('Config'!$P$16="","",'Config'!$P$16)</f>
        <v>Internet e telefone</v>
      </c>
      <c r="C55" s="81">
        <f>IF(B55="",0,IF('Dados'!$C$40&lt;='Dados'!$C$10,INDEX('Fluxo de Caixa'!$C$71:$N$71,'Dados'!$C$40),0))</f>
        <v>140</v>
      </c>
      <c r="D55" s="166">
        <f>IF(C55&gt;0,C55+ROW()/1000000,0)</f>
        <v>140.000055</v>
      </c>
      <c r="H55" s="114">
        <v>8</v>
      </c>
      <c r="I55" s="164">
        <f>IF(LARGE($D$48:$D$63,8)&gt;0,MATCH(LARGE($D$48:$D$63,8),$D$48:$D$63,0),0)</f>
        <v>10</v>
      </c>
      <c r="J55" s="98" t="str">
        <f>IF(I55&gt;0,INDEX($B$48:$B$63,I55),"—")</f>
        <v>Taxas e tarifas</v>
      </c>
      <c r="K55" s="81">
        <f>IF(I55&gt;0,INDEX($C$48:$C$63,I55),0)</f>
        <v>34.14</v>
      </c>
      <c r="M55" s="98" t="s">
        <v>86</v>
      </c>
      <c r="N55" s="81">
        <f>MAX(0,C43-SUM(N48:N54))</f>
        <v>34.1400000000001</v>
      </c>
    </row>
    <row r="56" spans="2:14" ht="16.5" customHeight="1">
      <c r="B56" s="98" t="str">
        <f>IF('Config'!$P$17="","",'Config'!$P$17)</f>
        <v>Contabilidade</v>
      </c>
      <c r="C56" s="81">
        <f>IF(B56="",0,IF('Dados'!$C$40&lt;='Dados'!$C$10,INDEX('Fluxo de Caixa'!$C$72:$N$72,'Dados'!$C$40),0))</f>
        <v>0</v>
      </c>
      <c r="D56" s="166">
        <f>IF(C56&gt;0,C56+ROW()/1000000,0)</f>
        <v>0</v>
      </c>
    </row>
    <row r="57" spans="2:14" ht="16.5" customHeight="1">
      <c r="B57" s="98" t="str">
        <f>IF('Config'!$P$18="","",'Config'!$P$18)</f>
        <v>Taxas e tarifas</v>
      </c>
      <c r="C57" s="81">
        <f>IF(B57="",0,IF('Dados'!$C$40&lt;='Dados'!$C$10,INDEX('Fluxo de Caixa'!$C$73:$N$73,'Dados'!$C$40),0))</f>
        <v>34.14</v>
      </c>
      <c r="D57" s="166">
        <f>IF(C57&gt;0,C57+ROW()/1000000,0)</f>
        <v>34.140057</v>
      </c>
    </row>
    <row r="58" spans="2:14" ht="16.5" customHeight="1">
      <c r="B58" s="98" t="str">
        <f>IF('Config'!$P$19="","",'Config'!$P$19)</f>
        <v>Capacitação e cursos</v>
      </c>
      <c r="C58" s="81">
        <f>IF(B58="",0,IF('Dados'!$C$40&lt;='Dados'!$C$10,INDEX('Fluxo de Caixa'!$C$74:$N$74,'Dados'!$C$40),0))</f>
        <v>320</v>
      </c>
      <c r="D58" s="166">
        <f>IF(C58&gt;0,C58+ROW()/1000000,0)</f>
        <v>320.000058</v>
      </c>
    </row>
    <row r="59" spans="2:14" ht="16.5" customHeight="1">
      <c r="B59" s="98" t="str">
        <f>IF('Config'!$P$20="","",'Config'!$P$20)</f>
        <v>Outros impostos e taxas</v>
      </c>
      <c r="C59" s="81">
        <f>IF(B59="",0,IF('Dados'!$C$40&lt;='Dados'!$C$10,INDEX('Fluxo de Caixa'!$C$75:$N$75,'Dados'!$C$40),0))</f>
        <v>0</v>
      </c>
      <c r="D59" s="166">
        <f>IF(C59&gt;0,C59+ROW()/1000000,0)</f>
        <v>0</v>
      </c>
    </row>
    <row r="60" spans="2:14" ht="16.5" customHeight="1">
      <c r="B60" s="98" t="str">
        <f>IF('Config'!$P$21="","",'Config'!$P$21)</f>
        <v>Terceiros / freelancers</v>
      </c>
      <c r="C60" s="81">
        <f>IF(B60="",0,IF('Dados'!$C$40&lt;='Dados'!$C$10,INDEX('Fluxo de Caixa'!$C$76:$N$76,'Dados'!$C$40),0))</f>
        <v>0</v>
      </c>
      <c r="D60" s="166">
        <f>IF(C60&gt;0,C60+ROW()/1000000,0)</f>
        <v>0</v>
      </c>
    </row>
    <row r="61" spans="2:14" ht="16.5" customHeight="1">
      <c r="B61" s="98" t="str">
        <f>IF('Config'!$P$22="","",'Config'!$P$22)</f>
        <v>Seguros</v>
      </c>
      <c r="C61" s="81">
        <f>IF(B61="",0,IF('Dados'!$C$40&lt;='Dados'!$C$10,INDEX('Fluxo de Caixa'!$C$77:$N$77,'Dados'!$C$40),0))</f>
        <v>0</v>
      </c>
      <c r="D61" s="166">
        <f>IF(C61&gt;0,C61+ROW()/1000000,0)</f>
        <v>0</v>
      </c>
    </row>
    <row r="62" spans="2:14" ht="16.5" customHeight="1">
      <c r="B62" s="98" t="str">
        <f>IF('Config'!$P$23="","",'Config'!$P$23)</f>
        <v>Outras despesas</v>
      </c>
      <c r="C62" s="81">
        <f>IF(B62="",0,IF('Dados'!$C$40&lt;='Dados'!$C$10,INDEX('Fluxo de Caixa'!$C$78:$N$78,'Dados'!$C$40),0))</f>
        <v>0</v>
      </c>
      <c r="D62" s="166">
        <f>IF(C62&gt;0,C62+ROW()/1000000,0)</f>
        <v>0</v>
      </c>
    </row>
    <row r="63" spans="2:14" ht="16.5" customHeight="1">
      <c r="B63" s="98" t="s">
        <v>438</v>
      </c>
      <c r="C63" s="81">
        <f>IF('Dados'!$C$40&lt;='Dados'!$C$10,INDEX('Fluxo de Caixa'!$C$25:$N$25,'Dados'!$C$40),0)</f>
        <v>86.05</v>
      </c>
      <c r="D63" s="166">
        <f>IF(C63&gt;0,C63+ROW()/1000000,0)</f>
        <v>86.050063</v>
      </c>
    </row>
    <row r="66" spans="2:11" ht="16.5" customHeight="1">
      <c r="B66" s="120" t="s">
        <v>275</v>
      </c>
      <c r="C66" s="120" t="s">
        <v>281</v>
      </c>
      <c r="D66" s="120" t="s">
        <v>126</v>
      </c>
      <c r="H66" s="120" t="s">
        <v>129</v>
      </c>
      <c r="I66" s="120" t="s">
        <v>439</v>
      </c>
      <c r="J66" s="120" t="s">
        <v>275</v>
      </c>
      <c r="K66" s="120" t="s">
        <v>444</v>
      </c>
    </row>
    <row r="67" spans="2:11" ht="16.5" customHeight="1">
      <c r="B67" s="98" t="str">
        <f>IF('Clientes'!$B$8="","",'Clientes'!$B$8)</f>
        <v>Studio Aurora</v>
      </c>
      <c r="C67" s="81">
        <f>IF(B67="",0,N('Clientes'!$H$8))</f>
        <v>14400</v>
      </c>
      <c r="D67" s="166">
        <f>IF(C67&gt;0,C67+ROW()/1000000,0)</f>
        <v>14400.000067</v>
      </c>
      <c r="H67" s="114">
        <v>1</v>
      </c>
      <c r="I67" s="164">
        <f>IF(LARGE($D$67:$D$96,1)&gt;0,MATCH(LARGE($D$67:$D$96,1),$D$67:$D$96,0),0)</f>
        <v>1</v>
      </c>
      <c r="J67" s="98" t="str">
        <f>IF(I67&gt;0,INDEX($B$67:$B$96,I67),"—")</f>
        <v>Studio Aurora</v>
      </c>
      <c r="K67" s="81">
        <f>IF(I67&gt;0,INDEX($C$67:$C$96,I67),0)</f>
        <v>14400</v>
      </c>
    </row>
    <row r="68" spans="2:11" ht="16.5" customHeight="1">
      <c r="B68" s="98" t="str">
        <f>IF('Clientes'!$B$9="","",'Clientes'!$B$9)</f>
        <v>Clínica Vida Plena</v>
      </c>
      <c r="C68" s="81">
        <f>IF(B68="",0,N('Clientes'!$H$9))</f>
        <v>12000</v>
      </c>
      <c r="D68" s="166">
        <f>IF(C68&gt;0,C68+ROW()/1000000,0)</f>
        <v>12000.000068</v>
      </c>
      <c r="H68" s="114">
        <v>2</v>
      </c>
      <c r="I68" s="164">
        <f>IF(LARGE($D$67:$D$96,2)&gt;0,MATCH(LARGE($D$67:$D$96,2),$D$67:$D$96,0),0)</f>
        <v>2</v>
      </c>
      <c r="J68" s="98" t="str">
        <f>IF(I68&gt;0,INDEX($B$67:$B$96,I68),"—")</f>
        <v>Clínica Vida Plena</v>
      </c>
      <c r="K68" s="81">
        <f>IF(I68&gt;0,INDEX($C$67:$C$96,I68),0)</f>
        <v>12000</v>
      </c>
    </row>
    <row r="69" spans="2:11" ht="16.5" customHeight="1">
      <c r="B69" s="98" t="str">
        <f>IF('Clientes'!$B$10="","",'Clientes'!$B$10)</f>
        <v>Padaria Dois Irmãos</v>
      </c>
      <c r="C69" s="81">
        <f>IF(B69="",0,N('Clientes'!$H$10))</f>
        <v>3900</v>
      </c>
      <c r="D69" s="166">
        <f>IF(C69&gt;0,C69+ROW()/1000000,0)</f>
        <v>3900.000069</v>
      </c>
      <c r="H69" s="114">
        <v>3</v>
      </c>
      <c r="I69" s="164">
        <f>IF(LARGE($D$67:$D$96,3)&gt;0,MATCH(LARGE($D$67:$D$96,3),$D$67:$D$96,0),0)</f>
        <v>5</v>
      </c>
      <c r="J69" s="98" t="str">
        <f>IF(I69&gt;0,INDEX($B$67:$B$96,I69),"—")</f>
        <v>Escola Horizonte</v>
      </c>
      <c r="K69" s="81">
        <f>IF(I69&gt;0,INDEX($C$67:$C$96,I69),0)</f>
        <v>8000</v>
      </c>
    </row>
    <row r="70" spans="2:11" ht="16.5" customHeight="1">
      <c r="B70" s="98" t="str">
        <f>IF('Clientes'!$B$11="","",'Clientes'!$B$11)</f>
        <v>Tech Nova Ltda</v>
      </c>
      <c r="C70" s="81">
        <f>IF(B70="",0,N('Clientes'!$H$11))</f>
        <v>7500</v>
      </c>
      <c r="D70" s="166">
        <f>IF(C70&gt;0,C70+ROW()/1000000,0)</f>
        <v>7500.00007</v>
      </c>
      <c r="H70" s="114">
        <v>4</v>
      </c>
      <c r="I70" s="164">
        <f>IF(LARGE($D$67:$D$96,4)&gt;0,MATCH(LARGE($D$67:$D$96,4),$D$67:$D$96,0),0)</f>
        <v>4</v>
      </c>
      <c r="J70" s="98" t="str">
        <f>IF(I70&gt;0,INDEX($B$67:$B$96,I70),"—")</f>
        <v>Tech Nova Ltda</v>
      </c>
      <c r="K70" s="81">
        <f>IF(I70&gt;0,INDEX($C$67:$C$96,I70),0)</f>
        <v>7500</v>
      </c>
    </row>
    <row r="71" spans="2:11" ht="16.5" customHeight="1">
      <c r="B71" s="98" t="str">
        <f>IF('Clientes'!$B$12="","",'Clientes'!$B$12)</f>
        <v>Escola Horizonte</v>
      </c>
      <c r="C71" s="81">
        <f>IF(B71="",0,N('Clientes'!$H$12))</f>
        <v>8000</v>
      </c>
      <c r="D71" s="166">
        <f>IF(C71&gt;0,C71+ROW()/1000000,0)</f>
        <v>8000.000071</v>
      </c>
      <c r="H71" s="114">
        <v>5</v>
      </c>
      <c r="I71" s="164">
        <f>IF(LARGE($D$67:$D$96,5)&gt;0,MATCH(LARGE($D$67:$D$96,5),$D$67:$D$96,0),0)</f>
        <v>6</v>
      </c>
      <c r="J71" s="98" t="str">
        <f>IF(I71&gt;0,INDEX($B$67:$B$96,I71),"—")</f>
        <v>Loja Bella Moda</v>
      </c>
      <c r="K71" s="81">
        <f>IF(I71&gt;0,INDEX($C$67:$C$96,I71),0)</f>
        <v>5400</v>
      </c>
    </row>
    <row r="72" spans="2:11" ht="16.5" customHeight="1">
      <c r="B72" s="98" t="str">
        <f>IF('Clientes'!$B$13="","",'Clientes'!$B$13)</f>
        <v>Loja Bella Moda</v>
      </c>
      <c r="C72" s="81">
        <f>IF(B72="",0,N('Clientes'!$H$13))</f>
        <v>5400</v>
      </c>
      <c r="D72" s="166">
        <f>IF(C72&gt;0,C72+ROW()/1000000,0)</f>
        <v>5400.000072</v>
      </c>
      <c r="H72" s="114">
        <v>6</v>
      </c>
      <c r="I72" s="164">
        <f>IF(LARGE($D$67:$D$96,6)&gt;0,MATCH(LARGE($D$67:$D$96,6),$D$67:$D$96,0),0)</f>
        <v>3</v>
      </c>
      <c r="J72" s="98" t="str">
        <f>IF(I72&gt;0,INDEX($B$67:$B$96,I72),"—")</f>
        <v>Padaria Dois Irmãos</v>
      </c>
      <c r="K72" s="81">
        <f>IF(I72&gt;0,INDEX($C$67:$C$96,I72),0)</f>
        <v>3900</v>
      </c>
    </row>
    <row r="73" spans="2:11" ht="16.5" customHeight="1">
      <c r="B73" s="98" t="str">
        <f>IF('Clientes'!$B$14="","",'Clientes'!$B$14)</f>
        <v>Café do Centro</v>
      </c>
      <c r="C73" s="81">
        <f>IF(B73="",0,N('Clientes'!$H$14))</f>
        <v>2050</v>
      </c>
      <c r="D73" s="166">
        <f>IF(C73&gt;0,C73+ROW()/1000000,0)</f>
        <v>2050.000073</v>
      </c>
      <c r="H73" s="114">
        <v>7</v>
      </c>
      <c r="I73" s="164">
        <f>IF(LARGE($D$67:$D$96,7)&gt;0,MATCH(LARGE($D$67:$D$96,7),$D$67:$D$96,0),0)</f>
        <v>8</v>
      </c>
      <c r="J73" s="98" t="str">
        <f>IF(I73&gt;0,INDEX($B$67:$B$96,I73),"—")</f>
        <v>Maria Oliveira (PF)</v>
      </c>
      <c r="K73" s="81">
        <f>IF(I73&gt;0,INDEX($C$67:$C$96,I73),0)</f>
        <v>2280</v>
      </c>
    </row>
    <row r="74" spans="2:11" ht="16.5" customHeight="1">
      <c r="B74" s="98" t="str">
        <f>IF('Clientes'!$B$15="","",'Clientes'!$B$15)</f>
        <v>Maria Oliveira (PF)</v>
      </c>
      <c r="C74" s="81">
        <f>IF(B74="",0,N('Clientes'!$H$15))</f>
        <v>2280</v>
      </c>
      <c r="D74" s="166">
        <f>IF(C74&gt;0,C74+ROW()/1000000,0)</f>
        <v>2280.000074</v>
      </c>
      <c r="H74" s="114">
        <v>8</v>
      </c>
      <c r="I74" s="164">
        <f>IF(LARGE($D$67:$D$96,8)&gt;0,MATCH(LARGE($D$67:$D$96,8),$D$67:$D$96,0),0)</f>
        <v>7</v>
      </c>
      <c r="J74" s="98" t="str">
        <f>IF(I74&gt;0,INDEX($B$67:$B$96,I74),"—")</f>
        <v>Café do Centro</v>
      </c>
      <c r="K74" s="81">
        <f>IF(I74&gt;0,INDEX($C$67:$C$96,I74),0)</f>
        <v>2050</v>
      </c>
    </row>
    <row r="75" spans="2:11" ht="16.5" customHeight="1">
      <c r="B75" s="98">
        <f>IF('Clientes'!$B$16="","",'Clientes'!$B$16)</f>
        <v/>
      </c>
      <c r="C75" s="81">
        <f>IF(B75="",0,N('Clientes'!$H$16))</f>
        <v>0</v>
      </c>
      <c r="D75" s="166">
        <f>IF(C75&gt;0,C75+ROW()/1000000,0)</f>
        <v>0</v>
      </c>
    </row>
    <row r="76" spans="2:11" ht="16.5" customHeight="1">
      <c r="B76" s="98">
        <f>IF('Clientes'!$B$17="","",'Clientes'!$B$17)</f>
        <v/>
      </c>
      <c r="C76" s="81">
        <f>IF(B76="",0,N('Clientes'!$H$17))</f>
        <v>0</v>
      </c>
      <c r="D76" s="166">
        <f>IF(C76&gt;0,C76+ROW()/1000000,0)</f>
        <v>0</v>
      </c>
    </row>
    <row r="77" spans="2:11" ht="16.5" customHeight="1">
      <c r="B77" s="98">
        <f>IF('Clientes'!$B$18="","",'Clientes'!$B$18)</f>
        <v/>
      </c>
      <c r="C77" s="81">
        <f>IF(B77="",0,N('Clientes'!$H$18))</f>
        <v>0</v>
      </c>
      <c r="D77" s="166">
        <f>IF(C77&gt;0,C77+ROW()/1000000,0)</f>
        <v>0</v>
      </c>
    </row>
    <row r="78" spans="2:11" ht="16.5" customHeight="1">
      <c r="B78" s="98">
        <f>IF('Clientes'!$B$19="","",'Clientes'!$B$19)</f>
        <v/>
      </c>
      <c r="C78" s="81">
        <f>IF(B78="",0,N('Clientes'!$H$19))</f>
        <v>0</v>
      </c>
      <c r="D78" s="166">
        <f>IF(C78&gt;0,C78+ROW()/1000000,0)</f>
        <v>0</v>
      </c>
    </row>
    <row r="79" spans="2:11" ht="16.5" customHeight="1">
      <c r="B79" s="98">
        <f>IF('Clientes'!$B$20="","",'Clientes'!$B$20)</f>
        <v/>
      </c>
      <c r="C79" s="81">
        <f>IF(B79="",0,N('Clientes'!$H$20))</f>
        <v>0</v>
      </c>
      <c r="D79" s="166">
        <f>IF(C79&gt;0,C79+ROW()/1000000,0)</f>
        <v>0</v>
      </c>
    </row>
    <row r="80" spans="2:11" ht="16.5" customHeight="1">
      <c r="B80" s="98">
        <f>IF('Clientes'!$B$21="","",'Clientes'!$B$21)</f>
        <v/>
      </c>
      <c r="C80" s="81">
        <f>IF(B80="",0,N('Clientes'!$H$21))</f>
        <v>0</v>
      </c>
      <c r="D80" s="166">
        <f>IF(C80&gt;0,C80+ROW()/1000000,0)</f>
        <v>0</v>
      </c>
    </row>
    <row r="81" spans="2:4" ht="16.5" customHeight="1">
      <c r="B81" s="98">
        <f>IF('Clientes'!$B$22="","",'Clientes'!$B$22)</f>
        <v/>
      </c>
      <c r="C81" s="81">
        <f>IF(B81="",0,N('Clientes'!$H$22))</f>
        <v>0</v>
      </c>
      <c r="D81" s="166">
        <f>IF(C81&gt;0,C81+ROW()/1000000,0)</f>
        <v>0</v>
      </c>
    </row>
    <row r="82" spans="2:4" ht="16.5" customHeight="1">
      <c r="B82" s="98">
        <f>IF('Clientes'!$B$23="","",'Clientes'!$B$23)</f>
        <v/>
      </c>
      <c r="C82" s="81">
        <f>IF(B82="",0,N('Clientes'!$H$23))</f>
        <v>0</v>
      </c>
      <c r="D82" s="166">
        <f>IF(C82&gt;0,C82+ROW()/1000000,0)</f>
        <v>0</v>
      </c>
    </row>
    <row r="83" spans="2:4" ht="16.5" customHeight="1">
      <c r="B83" s="98">
        <f>IF('Clientes'!$B$24="","",'Clientes'!$B$24)</f>
        <v/>
      </c>
      <c r="C83" s="81">
        <f>IF(B83="",0,N('Clientes'!$H$24))</f>
        <v>0</v>
      </c>
      <c r="D83" s="166">
        <f>IF(C83&gt;0,C83+ROW()/1000000,0)</f>
        <v>0</v>
      </c>
    </row>
    <row r="84" spans="2:4" ht="16.5" customHeight="1">
      <c r="B84" s="98">
        <f>IF('Clientes'!$B$25="","",'Clientes'!$B$25)</f>
        <v/>
      </c>
      <c r="C84" s="81">
        <f>IF(B84="",0,N('Clientes'!$H$25))</f>
        <v>0</v>
      </c>
      <c r="D84" s="166">
        <f>IF(C84&gt;0,C84+ROW()/1000000,0)</f>
        <v>0</v>
      </c>
    </row>
    <row r="85" spans="2:4" ht="16.5" customHeight="1">
      <c r="B85" s="98">
        <f>IF('Clientes'!$B$26="","",'Clientes'!$B$26)</f>
        <v/>
      </c>
      <c r="C85" s="81">
        <f>IF(B85="",0,N('Clientes'!$H$26))</f>
        <v>0</v>
      </c>
      <c r="D85" s="166">
        <f>IF(C85&gt;0,C85+ROW()/1000000,0)</f>
        <v>0</v>
      </c>
    </row>
    <row r="86" spans="2:4" ht="16.5" customHeight="1">
      <c r="B86" s="98">
        <f>IF('Clientes'!$B$27="","",'Clientes'!$B$27)</f>
        <v/>
      </c>
      <c r="C86" s="81">
        <f>IF(B86="",0,N('Clientes'!$H$27))</f>
        <v>0</v>
      </c>
      <c r="D86" s="166">
        <f>IF(C86&gt;0,C86+ROW()/1000000,0)</f>
        <v>0</v>
      </c>
    </row>
    <row r="87" spans="2:4" ht="16.5" customHeight="1">
      <c r="B87" s="98">
        <f>IF('Clientes'!$B$28="","",'Clientes'!$B$28)</f>
        <v/>
      </c>
      <c r="C87" s="81">
        <f>IF(B87="",0,N('Clientes'!$H$28))</f>
        <v>0</v>
      </c>
      <c r="D87" s="166">
        <f>IF(C87&gt;0,C87+ROW()/1000000,0)</f>
        <v>0</v>
      </c>
    </row>
    <row r="88" spans="2:4" ht="16.5" customHeight="1">
      <c r="B88" s="98">
        <f>IF('Clientes'!$B$29="","",'Clientes'!$B$29)</f>
        <v/>
      </c>
      <c r="C88" s="81">
        <f>IF(B88="",0,N('Clientes'!$H$29))</f>
        <v>0</v>
      </c>
      <c r="D88" s="166">
        <f>IF(C88&gt;0,C88+ROW()/1000000,0)</f>
        <v>0</v>
      </c>
    </row>
    <row r="89" spans="2:4" ht="16.5" customHeight="1">
      <c r="B89" s="98">
        <f>IF('Clientes'!$B$30="","",'Clientes'!$B$30)</f>
        <v/>
      </c>
      <c r="C89" s="81">
        <f>IF(B89="",0,N('Clientes'!$H$30))</f>
        <v>0</v>
      </c>
      <c r="D89" s="166">
        <f>IF(C89&gt;0,C89+ROW()/1000000,0)</f>
        <v>0</v>
      </c>
    </row>
    <row r="90" spans="2:4" ht="16.5" customHeight="1">
      <c r="B90" s="98">
        <f>IF('Clientes'!$B$31="","",'Clientes'!$B$31)</f>
        <v/>
      </c>
      <c r="C90" s="81">
        <f>IF(B90="",0,N('Clientes'!$H$31))</f>
        <v>0</v>
      </c>
      <c r="D90" s="166">
        <f>IF(C90&gt;0,C90+ROW()/1000000,0)</f>
        <v>0</v>
      </c>
    </row>
    <row r="91" spans="2:4" ht="16.5" customHeight="1">
      <c r="B91" s="98">
        <f>IF('Clientes'!$B$32="","",'Clientes'!$B$32)</f>
        <v/>
      </c>
      <c r="C91" s="81">
        <f>IF(B91="",0,N('Clientes'!$H$32))</f>
        <v>0</v>
      </c>
      <c r="D91" s="166">
        <f>IF(C91&gt;0,C91+ROW()/1000000,0)</f>
        <v>0</v>
      </c>
    </row>
    <row r="92" spans="2:4" ht="16.5" customHeight="1">
      <c r="B92" s="98">
        <f>IF('Clientes'!$B$33="","",'Clientes'!$B$33)</f>
        <v/>
      </c>
      <c r="C92" s="81">
        <f>IF(B92="",0,N('Clientes'!$H$33))</f>
        <v>0</v>
      </c>
      <c r="D92" s="166">
        <f>IF(C92&gt;0,C92+ROW()/1000000,0)</f>
        <v>0</v>
      </c>
    </row>
    <row r="93" spans="2:4" ht="16.5" customHeight="1">
      <c r="B93" s="98">
        <f>IF('Clientes'!$B$34="","",'Clientes'!$B$34)</f>
        <v/>
      </c>
      <c r="C93" s="81">
        <f>IF(B93="",0,N('Clientes'!$H$34))</f>
        <v>0</v>
      </c>
      <c r="D93" s="166">
        <f>IF(C93&gt;0,C93+ROW()/1000000,0)</f>
        <v>0</v>
      </c>
    </row>
    <row r="94" spans="2:4" ht="16.5" customHeight="1">
      <c r="B94" s="98">
        <f>IF('Clientes'!$B$35="","",'Clientes'!$B$35)</f>
        <v/>
      </c>
      <c r="C94" s="81">
        <f>IF(B94="",0,N('Clientes'!$H$35))</f>
        <v>0</v>
      </c>
      <c r="D94" s="166">
        <f>IF(C94&gt;0,C94+ROW()/1000000,0)</f>
        <v>0</v>
      </c>
    </row>
    <row r="95" spans="2:4" ht="16.5" customHeight="1">
      <c r="B95" s="98">
        <f>IF('Clientes'!$B$36="","",'Clientes'!$B$36)</f>
        <v/>
      </c>
      <c r="C95" s="81">
        <f>IF(B95="",0,N('Clientes'!$H$36))</f>
        <v>0</v>
      </c>
      <c r="D95" s="166">
        <f>IF(C95&gt;0,C95+ROW()/1000000,0)</f>
        <v>0</v>
      </c>
    </row>
    <row r="96" spans="2:4" ht="16.5" customHeight="1">
      <c r="B96" s="98">
        <f>IF('Clientes'!$B$37="","",'Clientes'!$B$37)</f>
        <v/>
      </c>
      <c r="C96" s="81">
        <f>IF(B96="",0,N('Clientes'!$H$37))</f>
        <v>0</v>
      </c>
      <c r="D96" s="166">
        <f>IF(C96&gt;0,C96+ROW()/1000000,0)</f>
        <v>0</v>
      </c>
    </row>
    <row r="99" spans="2:14" ht="16.5" customHeight="1">
      <c r="H99" s="120" t="s">
        <v>129</v>
      </c>
      <c r="I99" s="120" t="s">
        <v>439</v>
      </c>
      <c r="J99" s="120" t="s">
        <v>275</v>
      </c>
      <c r="K99" s="120" t="s">
        <v>144</v>
      </c>
      <c r="L99" s="120" t="s">
        <v>321</v>
      </c>
      <c r="M99" s="120" t="s">
        <v>445</v>
      </c>
      <c r="N99" s="120" t="s">
        <v>134</v>
      </c>
    </row>
    <row r="100" spans="2:14" ht="16.5" customHeight="1">
      <c r="H100" s="114">
        <v>1</v>
      </c>
      <c r="I100" s="164">
        <f>IF(LARGE('Recebimentos'!$M$11:$M$1010,1)&gt;0,MATCH(LARGE('Recebimentos'!$M$11:$M$1010,1),'Recebimentos'!$M$11:$M$1010,0),0)</f>
        <v>34</v>
      </c>
      <c r="J100" s="98" t="str">
        <f>IF(I100&gt;0,INDEX('Recebimentos'!$C$11:$C$1010,I100),"")</f>
        <v>Café do Centro</v>
      </c>
      <c r="K100" s="98" t="str">
        <f>IF(I100&gt;0,INDEX('Recebimentos'!$D$11:$D$1010,I100),"")</f>
        <v>Reimpressão de materiais</v>
      </c>
      <c r="L100" s="167">
        <f>IF(I100&gt;0,INDEX('Recebimentos'!$F$11:$F$1010,I100),"")</f>
        <v>46261.0</v>
      </c>
      <c r="M100" s="164">
        <f>IF(I100&gt;0,INDEX('Recebimentos'!$J$11:$J$1010,I100),"")</f>
        <v>34</v>
      </c>
      <c r="N100" s="81">
        <f>IF(I100&gt;0,INDEX('Recebimentos'!$E$11:$E$1010,I100),"")</f>
        <v>480</v>
      </c>
    </row>
    <row r="101" spans="2:14" ht="16.5" customHeight="1">
      <c r="H101" s="114">
        <v>2</v>
      </c>
      <c r="I101" s="164">
        <f>IF(LARGE('Recebimentos'!$M$11:$M$1010,2)&gt;0,MATCH(LARGE('Recebimentos'!$M$11:$M$1010,2),'Recebimentos'!$M$11:$M$1010,0),0)</f>
        <v>37</v>
      </c>
      <c r="J101" s="98" t="str">
        <f>IF(I101&gt;0,INDEX('Recebimentos'!$C$11:$C$1010,I101),"")</f>
        <v>Studio Aurora</v>
      </c>
      <c r="K101" s="98" t="str">
        <f>IF(I101&gt;0,INDEX('Recebimentos'!$D$11:$D$1010,I101),"")</f>
        <v>Gestão de redes sociais – 09/2026</v>
      </c>
      <c r="L101" s="167">
        <f>IF(I101&gt;0,INDEX('Recebimentos'!$F$11:$F$1010,I101),"")</f>
        <v>46278.0</v>
      </c>
      <c r="M101" s="164">
        <f>IF(I101&gt;0,INDEX('Recebimentos'!$J$11:$J$1010,I101),"")</f>
        <v>17</v>
      </c>
      <c r="N101" s="81">
        <f>IF(I101&gt;0,INDEX('Recebimentos'!$E$11:$E$1010,I101),"")</f>
        <v>1800</v>
      </c>
    </row>
    <row r="102" spans="2:14" ht="16.5" customHeight="1">
      <c r="H102" s="114">
        <v>3</v>
      </c>
      <c r="I102" s="164">
        <f>IF(LARGE('Recebimentos'!$M$11:$M$1010,3)&gt;0,MATCH(LARGE('Recebimentos'!$M$11:$M$1010,3),'Recebimentos'!$M$11:$M$1010,0),0)</f>
        <v>38</v>
      </c>
      <c r="J102" s="98" t="str">
        <f>IF(I102&gt;0,INDEX('Recebimentos'!$C$11:$C$1010,I102),"")</f>
        <v>Clínica Vida Plena</v>
      </c>
      <c r="K102" s="98" t="str">
        <f>IF(I102&gt;0,INDEX('Recebimentos'!$D$11:$D$1010,I102),"")</f>
        <v>Pacote de conteúdo mensal – 09/2026</v>
      </c>
      <c r="L102" s="167">
        <f>IF(I102&gt;0,INDEX('Recebimentos'!$F$11:$F$1010,I102),"")</f>
        <v>46280.0</v>
      </c>
      <c r="M102" s="164">
        <f>IF(I102&gt;0,INDEX('Recebimentos'!$J$11:$J$1010,I102),"")</f>
        <v>15</v>
      </c>
      <c r="N102" s="81">
        <f>IF(I102&gt;0,INDEX('Recebimentos'!$E$11:$E$1010,I102),"")</f>
        <v>1500</v>
      </c>
    </row>
    <row r="103" spans="2:14" ht="16.5" customHeight="1">
      <c r="H103" s="114">
        <v>4</v>
      </c>
      <c r="I103" s="164">
        <f>IF(LARGE('Recebimentos'!$M$11:$M$1010,4)&gt;0,MATCH(LARGE('Recebimentos'!$M$11:$M$1010,4),'Recebimentos'!$M$11:$M$1010,0),0)</f>
        <v>39</v>
      </c>
      <c r="J103" s="98" t="str">
        <f>IF(I103&gt;0,INDEX('Recebimentos'!$C$11:$C$1010,I103),"")</f>
        <v>Padaria Dois Irmãos</v>
      </c>
      <c r="K103" s="98" t="str">
        <f>IF(I103&gt;0,INDEX('Recebimentos'!$D$11:$D$1010,I103),"")</f>
        <v>Materiais e cardápio – 09/2026</v>
      </c>
      <c r="L103" s="167">
        <f>IF(I103&gt;0,INDEX('Recebimentos'!$F$11:$F$1010,I103),"")</f>
        <v>46283.0</v>
      </c>
      <c r="M103" s="164">
        <f>IF(I103&gt;0,INDEX('Recebimentos'!$J$11:$J$1010,I103),"")</f>
        <v>12</v>
      </c>
      <c r="N103" s="81">
        <f>IF(I103&gt;0,INDEX('Recebimentos'!$E$11:$E$1010,I103),"")</f>
        <v>650</v>
      </c>
    </row>
    <row r="104" spans="2:14" ht="16.5" customHeight="1">
      <c r="H104" s="114">
        <v>5</v>
      </c>
      <c r="I104" s="164">
        <f>IF(LARGE('Recebimentos'!$M$11:$M$1010,5)&gt;0,MATCH(LARGE('Recebimentos'!$M$11:$M$1010,5),'Recebimentos'!$M$11:$M$1010,0),0)</f>
        <v>0</v>
      </c>
      <c r="J104" s="98">
        <f>IF(I104&gt;0,INDEX('Recebimentos'!$C$11:$C$1010,I104),"")</f>
        <v/>
      </c>
      <c r="K104" s="98">
        <f>IF(I104&gt;0,INDEX('Recebimentos'!$D$11:$D$1010,I104),"")</f>
        <v/>
      </c>
      <c r="L104" s="167">
        <f>IF(I104&gt;0,INDEX('Recebimentos'!$F$11:$F$1010,I104),"")</f>
        <v/>
      </c>
      <c r="M104" s="164">
        <f>IF(I104&gt;0,INDEX('Recebimentos'!$J$11:$J$1010,I104),"")</f>
        <v/>
      </c>
      <c r="N104" s="81">
        <f>IF(I104&gt;0,INDEX('Recebimentos'!$E$11:$E$1010,I104),"")</f>
        <v/>
      </c>
    </row>
    <row r="107" spans="2:14" ht="16.5" customHeight="1">
      <c r="B107" s="120" t="s">
        <v>446</v>
      </c>
      <c r="C107" s="120" t="str">
        <f>INDEX('Config'!$L$8:$L$19,1)</f>
        <v>Jan</v>
      </c>
      <c r="D107" s="120" t="str">
        <f>INDEX('Config'!$L$8:$L$19,2)</f>
        <v>Fev</v>
      </c>
      <c r="E107" s="120" t="str">
        <f>INDEX('Config'!$L$8:$L$19,3)</f>
        <v>Mar</v>
      </c>
      <c r="F107" s="120" t="str">
        <f>INDEX('Config'!$L$8:$L$19,4)</f>
        <v>Abr</v>
      </c>
      <c r="G107" s="120" t="str">
        <f>INDEX('Config'!$L$8:$L$19,5)</f>
        <v>Mai</v>
      </c>
      <c r="H107" s="120" t="str">
        <f>INDEX('Config'!$L$8:$L$19,6)</f>
        <v>Jun</v>
      </c>
      <c r="I107" s="120" t="str">
        <f>INDEX('Config'!$L$8:$L$19,7)</f>
        <v>Jul</v>
      </c>
      <c r="J107" s="120" t="str">
        <f>INDEX('Config'!$L$8:$L$19,8)</f>
        <v>Ago</v>
      </c>
      <c r="K107" s="120" t="str">
        <f>INDEX('Config'!$L$8:$L$19,9)</f>
        <v>Set</v>
      </c>
      <c r="L107" s="120" t="str">
        <f>INDEX('Config'!$L$8:$L$19,10)</f>
        <v>Out</v>
      </c>
      <c r="M107" s="120" t="str">
        <f>INDEX('Config'!$L$8:$L$19,11)</f>
        <v>Nov</v>
      </c>
      <c r="N107" s="120" t="str">
        <f>INDEX('Config'!$L$8:$L$19,12)</f>
        <v>Dez</v>
      </c>
    </row>
    <row r="108" spans="2:14" ht="16.5" customHeight="1">
      <c r="B108" s="98" t="s">
        <v>447</v>
      </c>
      <c r="C108" s="81">
        <f>IF(1&lt;='Dados'!$C$10,'Fluxo de Caixa'!$C$19+'Fluxo de Caixa'!$C$20,0)</f>
        <v>3300</v>
      </c>
      <c r="D108" s="81">
        <f>IF(2&lt;='Dados'!$C$10,'Fluxo de Caixa'!$D$19+'Fluxo de Caixa'!$D$20,0)</f>
        <v>6838.99</v>
      </c>
      <c r="E108" s="81">
        <f>IF(3&lt;='Dados'!$C$10,'Fluxo de Caixa'!$E$19+'Fluxo de Caixa'!$E$20,0)</f>
        <v>6580</v>
      </c>
      <c r="F108" s="81">
        <f>IF(4&lt;='Dados'!$C$10,'Fluxo de Caixa'!$F$19+'Fluxo de Caixa'!$F$20,0)</f>
        <v>6350</v>
      </c>
      <c r="G108" s="81">
        <f>IF(5&lt;='Dados'!$C$10,'Fluxo de Caixa'!$G$19+'Fluxo de Caixa'!$G$20,0)</f>
        <v>4900</v>
      </c>
      <c r="H108" s="81">
        <f>IF(6&lt;='Dados'!$C$10,'Fluxo de Caixa'!$H$19+'Fluxo de Caixa'!$H$20,0)</f>
        <v>8722.76</v>
      </c>
      <c r="I108" s="81">
        <f>IF(7&lt;='Dados'!$C$10,'Fluxo de Caixa'!$I$19+'Fluxo de Caixa'!$I$20,0)</f>
        <v>6250</v>
      </c>
      <c r="J108" s="81">
        <f>IF(8&lt;='Dados'!$C$10,'Fluxo de Caixa'!$J$19+'Fluxo de Caixa'!$J$20,0)</f>
        <v>7300</v>
      </c>
      <c r="K108" s="81">
        <f>IF(9&lt;='Dados'!$C$10,'Fluxo de Caixa'!$K$19+'Fluxo de Caixa'!$K$20,0)</f>
        <v>6266.84</v>
      </c>
      <c r="L108" s="81">
        <f>IF(10&lt;='Dados'!$C$10,'Fluxo de Caixa'!$L$19+'Fluxo de Caixa'!$L$20,0)</f>
        <v>0</v>
      </c>
      <c r="M108" s="81">
        <f>IF(11&lt;='Dados'!$C$10,'Fluxo de Caixa'!$M$19+'Fluxo de Caixa'!$M$20,0)</f>
        <v>0</v>
      </c>
      <c r="N108" s="81">
        <f>IF(12&lt;='Dados'!$C$10,'Fluxo de Caixa'!$N$19+'Fluxo de Caixa'!$N$20,0)</f>
        <v>0</v>
      </c>
    </row>
    <row r="109" spans="2:14" ht="16.5" customHeight="1">
      <c r="B109" s="98" t="s">
        <v>448</v>
      </c>
      <c r="C109" s="81">
        <f>IF(1&lt;='Dados'!$C$10,'Fluxo de Caixa'!$C$24+'Fluxo de Caixa'!$C$25,0)</f>
        <v>1579.19</v>
      </c>
      <c r="D109" s="81">
        <f>IF(2&lt;='Dados'!$C$10,'Fluxo de Caixa'!$D$24+'Fluxo de Caixa'!$D$25,0)</f>
        <v>1446.47</v>
      </c>
      <c r="E109" s="81">
        <f>IF(3&lt;='Dados'!$C$10,'Fluxo de Caixa'!$E$24+'Fluxo de Caixa'!$E$25,0)</f>
        <v>1928.48</v>
      </c>
      <c r="F109" s="81">
        <f>IF(4&lt;='Dados'!$C$10,'Fluxo de Caixa'!$F$24+'Fluxo de Caixa'!$F$25,0)</f>
        <v>1741.22</v>
      </c>
      <c r="G109" s="81">
        <f>IF(5&lt;='Dados'!$C$10,'Fluxo de Caixa'!$G$24+'Fluxo de Caixa'!$G$25,0)</f>
        <v>1297.83</v>
      </c>
      <c r="H109" s="81">
        <f>IF(6&lt;='Dados'!$C$10,'Fluxo de Caixa'!$H$24+'Fluxo de Caixa'!$H$25,0)</f>
        <v>2821.61</v>
      </c>
      <c r="I109" s="81">
        <f>IF(7&lt;='Dados'!$C$10,'Fluxo de Caixa'!$I$24+'Fluxo de Caixa'!$I$25,0)</f>
        <v>1929.89</v>
      </c>
      <c r="J109" s="81">
        <f>IF(8&lt;='Dados'!$C$10,'Fluxo de Caixa'!$J$24+'Fluxo de Caixa'!$J$25,0)</f>
        <v>1525.56</v>
      </c>
      <c r="K109" s="81">
        <f>IF(9&lt;='Dados'!$C$10,'Fluxo de Caixa'!$K$24+'Fluxo de Caixa'!$K$25,0)</f>
        <v>1556.16</v>
      </c>
      <c r="L109" s="81">
        <f>IF(10&lt;='Dados'!$C$10,'Fluxo de Caixa'!$L$24+'Fluxo de Caixa'!$L$25,0)</f>
        <v>0</v>
      </c>
      <c r="M109" s="81">
        <f>IF(11&lt;='Dados'!$C$10,'Fluxo de Caixa'!$M$24+'Fluxo de Caixa'!$M$25,0)</f>
        <v>0</v>
      </c>
      <c r="N109" s="81">
        <f>IF(12&lt;='Dados'!$C$10,'Fluxo de Caixa'!$N$24+'Fluxo de Caixa'!$N$25,0)</f>
        <v>0</v>
      </c>
    </row>
    <row r="110" spans="2:14" ht="16.5" customHeight="1">
      <c r="B110" s="98" t="s">
        <v>449</v>
      </c>
      <c r="C110" s="81">
        <f>IF(1&lt;='Dados'!$C$10,'Fluxo de Caixa'!$C$30,0)</f>
        <v>1720.81</v>
      </c>
      <c r="D110" s="81">
        <f>IF(2&lt;='Dados'!$C$10,'Fluxo de Caixa'!$D$30,0)</f>
        <v>5392.52</v>
      </c>
      <c r="E110" s="81">
        <f>IF(3&lt;='Dados'!$C$10,'Fluxo de Caixa'!$E$30,0)</f>
        <v>4651.52</v>
      </c>
      <c r="F110" s="81">
        <f>IF(4&lt;='Dados'!$C$10,'Fluxo de Caixa'!$F$30,0)</f>
        <v>4608.78</v>
      </c>
      <c r="G110" s="81">
        <f>IF(5&lt;='Dados'!$C$10,'Fluxo de Caixa'!$G$30,0)</f>
        <v>3602.17</v>
      </c>
      <c r="H110" s="81">
        <f>IF(6&lt;='Dados'!$C$10,'Fluxo de Caixa'!$H$30,0)</f>
        <v>5901.15</v>
      </c>
      <c r="I110" s="81">
        <f>IF(7&lt;='Dados'!$C$10,'Fluxo de Caixa'!$I$30,0)</f>
        <v>4320.11</v>
      </c>
      <c r="J110" s="81">
        <f>IF(8&lt;='Dados'!$C$10,'Fluxo de Caixa'!$J$30,0)</f>
        <v>5774.44</v>
      </c>
      <c r="K110" s="81">
        <f>IF(9&lt;='Dados'!$C$10,'Fluxo de Caixa'!$K$30,0)</f>
        <v>4710.68</v>
      </c>
      <c r="L110" s="81">
        <f>IF(10&lt;='Dados'!$C$10,'Fluxo de Caixa'!$L$30,0)</f>
        <v>0</v>
      </c>
      <c r="M110" s="81">
        <f>IF(11&lt;='Dados'!$C$10,'Fluxo de Caixa'!$M$30,0)</f>
        <v>0</v>
      </c>
      <c r="N110" s="81">
        <f>IF(12&lt;='Dados'!$C$10,'Fluxo de Caixa'!$N$30,0)</f>
        <v>0</v>
      </c>
    </row>
    <row r="111" spans="2:14" ht="16.5" customHeight="1">
      <c r="B111" s="98" t="s">
        <v>450</v>
      </c>
      <c r="C111" s="81">
        <f>IF(1&lt;='Dados'!$C$10,'Fluxo de Caixa'!$C$29,0)</f>
        <v>1220.81</v>
      </c>
      <c r="D111" s="81">
        <f>IF(2&lt;='Dados'!$C$10,'Fluxo de Caixa'!$D$29,0)</f>
        <v>2113.33</v>
      </c>
      <c r="E111" s="81">
        <f>IF(3&lt;='Dados'!$C$10,'Fluxo de Caixa'!$E$29,0)</f>
        <v>2264.85</v>
      </c>
      <c r="F111" s="81">
        <f>IF(4&lt;='Dados'!$C$10,'Fluxo de Caixa'!$F$29,0)</f>
        <v>2373.63</v>
      </c>
      <c r="G111" s="81">
        <f>IF(5&lt;='Dados'!$C$10,'Fluxo de Caixa'!$G$29,0)</f>
        <v>1475.8</v>
      </c>
      <c r="H111" s="81">
        <f>IF(6&lt;='Dados'!$C$10,'Fluxo de Caixa'!$H$29,0)</f>
        <v>2876.95</v>
      </c>
      <c r="I111" s="81">
        <f>IF(7&lt;='Dados'!$C$10,'Fluxo de Caixa'!$I$29,0)</f>
        <v>2697.06</v>
      </c>
      <c r="J111" s="81">
        <f>IF(8&lt;='Dados'!$C$10,'Fluxo de Caixa'!$J$29,0)</f>
        <v>3971.5</v>
      </c>
      <c r="K111" s="81">
        <f>IF(9&lt;='Dados'!$C$10,'Fluxo de Caixa'!$K$29,0)</f>
        <v>4182.18</v>
      </c>
      <c r="L111" s="81">
        <f>IF(10&lt;='Dados'!$C$10,'Fluxo de Caixa'!$L$29,0)</f>
        <v>0</v>
      </c>
      <c r="M111" s="81">
        <f>IF(11&lt;='Dados'!$C$10,'Fluxo de Caixa'!$M$29,0)</f>
        <v>0</v>
      </c>
      <c r="N111" s="81">
        <f>IF(12&lt;='Dados'!$C$10,'Fluxo de Caixa'!$N$29,0)</f>
        <v>0</v>
      </c>
    </row>
    <row r="112" spans="2:14" ht="16.5" customHeight="1">
      <c r="B112" s="98" t="s">
        <v>451</v>
      </c>
      <c r="C112" s="81">
        <f>IF(1&gt;'Dados'!$C$10,'Fluxo de Caixa'!$C$29,0)</f>
        <v>0</v>
      </c>
      <c r="D112" s="81">
        <f>IF(2&gt;'Dados'!$C$10,'Fluxo de Caixa'!$D$29,0)</f>
        <v>0</v>
      </c>
      <c r="E112" s="81">
        <f>IF(3&gt;'Dados'!$C$10,'Fluxo de Caixa'!$E$29,0)</f>
        <v>0</v>
      </c>
      <c r="F112" s="81">
        <f>IF(4&gt;'Dados'!$C$10,'Fluxo de Caixa'!$F$29,0)</f>
        <v>0</v>
      </c>
      <c r="G112" s="81">
        <f>IF(5&gt;'Dados'!$C$10,'Fluxo de Caixa'!$G$29,0)</f>
        <v>0</v>
      </c>
      <c r="H112" s="81">
        <f>IF(6&gt;'Dados'!$C$10,'Fluxo de Caixa'!$H$29,0)</f>
        <v>0</v>
      </c>
      <c r="I112" s="81">
        <f>IF(7&gt;'Dados'!$C$10,'Fluxo de Caixa'!$I$29,0)</f>
        <v>0</v>
      </c>
      <c r="J112" s="81">
        <f>IF(8&gt;'Dados'!$C$10,'Fluxo de Caixa'!$J$29,0)</f>
        <v>0</v>
      </c>
      <c r="K112" s="81">
        <f>IF(9&gt;'Dados'!$C$10,'Fluxo de Caixa'!$K$29,0)</f>
        <v>0</v>
      </c>
      <c r="L112" s="81">
        <f>IF(10&gt;'Dados'!$C$10,'Fluxo de Caixa'!$L$29,0)</f>
        <v>9667.11466666667</v>
      </c>
      <c r="M112" s="81">
        <f>IF(11&gt;'Dados'!$C$10,'Fluxo de Caixa'!$M$29,0)</f>
        <v>8422.04933333334</v>
      </c>
      <c r="N112" s="81">
        <f>IF(12&gt;'Dados'!$C$10,'Fluxo de Caixa'!$N$29,0)</f>
        <v>7176.984</v>
      </c>
    </row>
    <row r="113" spans="2:14" ht="16.5" customHeight="1">
      <c r="B113" s="98" t="s">
        <v>452</v>
      </c>
      <c r="C113" s="81">
        <f>IF(1&lt;='Dados'!$C$10,'Resumo Pessoal'!$C$38,0)</f>
        <v>3225.8</v>
      </c>
      <c r="D113" s="81">
        <f>IF(2&lt;='Dados'!$C$10,'Resumo Pessoal'!$D$38,0)</f>
        <v>3023.45</v>
      </c>
      <c r="E113" s="81">
        <f>IF(3&lt;='Dados'!$C$10,'Resumo Pessoal'!$E$38,0)</f>
        <v>3729.75</v>
      </c>
      <c r="F113" s="81">
        <f>IF(4&lt;='Dados'!$C$10,'Resumo Pessoal'!$F$38,0)</f>
        <v>3512.21</v>
      </c>
      <c r="G113" s="81">
        <f>IF(5&lt;='Dados'!$C$10,'Resumo Pessoal'!$G$38,0)</f>
        <v>3406.84</v>
      </c>
      <c r="H113" s="81">
        <f>IF(6&lt;='Dados'!$C$10,'Resumo Pessoal'!$H$38,0)</f>
        <v>4276.38</v>
      </c>
      <c r="I113" s="81">
        <f>IF(7&lt;='Dados'!$C$10,'Resumo Pessoal'!$I$38,0)</f>
        <v>3143.72</v>
      </c>
      <c r="J113" s="81">
        <f>IF(8&lt;='Dados'!$C$10,'Resumo Pessoal'!$J$38,0)</f>
        <v>3032.54</v>
      </c>
      <c r="K113" s="81">
        <f>IF(9&lt;='Dados'!$C$10,'Resumo Pessoal'!$K$38,0)</f>
        <v>3592.59</v>
      </c>
      <c r="L113" s="81">
        <f>IF(10&lt;='Dados'!$C$10,'Resumo Pessoal'!$L$38,0)</f>
        <v>0</v>
      </c>
      <c r="M113" s="81">
        <f>IF(11&lt;='Dados'!$C$10,'Resumo Pessoal'!$M$38,0)</f>
        <v>0</v>
      </c>
      <c r="N113" s="81">
        <f>IF(12&lt;='Dados'!$C$10,'Resumo Pessoal'!$N$38,0)</f>
        <v>0</v>
      </c>
    </row>
    <row r="114" spans="2:14" ht="16.5" customHeight="1">
      <c r="B114" s="98" t="s">
        <v>453</v>
      </c>
      <c r="C114" s="81">
        <f>IF(1&lt;='Dados'!$C$10,'Fluxo de Caixa'!$C$29,0)</f>
        <v>1220.81</v>
      </c>
      <c r="D114" s="81">
        <f>IF(2&lt;='Dados'!$C$10,'Fluxo de Caixa'!$D$29,0)</f>
        <v>2113.33</v>
      </c>
      <c r="E114" s="81">
        <f>IF(3&lt;='Dados'!$C$10,'Fluxo de Caixa'!$E$29,0)</f>
        <v>2264.85</v>
      </c>
      <c r="F114" s="81">
        <f>IF(4&lt;='Dados'!$C$10,'Fluxo de Caixa'!$F$29,0)</f>
        <v>2373.63</v>
      </c>
      <c r="G114" s="81">
        <f>IF(5&lt;='Dados'!$C$10,'Fluxo de Caixa'!$G$29,0)</f>
        <v>1475.8</v>
      </c>
      <c r="H114" s="81">
        <f>IF(6&lt;='Dados'!$C$10,'Fluxo de Caixa'!$H$29,0)</f>
        <v>2876.95</v>
      </c>
      <c r="I114" s="81">
        <f>IF(7&lt;='Dados'!$C$10,'Fluxo de Caixa'!$I$29,0)</f>
        <v>2697.06</v>
      </c>
      <c r="J114" s="81">
        <f>IF(8&lt;='Dados'!$C$10,'Fluxo de Caixa'!$J$29,0)</f>
        <v>3971.5</v>
      </c>
      <c r="K114" s="81">
        <f>IF(9&lt;='Dados'!$C$10,'Fluxo de Caixa'!$K$29,0)</f>
        <v>4182.18</v>
      </c>
      <c r="L114" s="81">
        <f>IF(10&lt;='Dados'!$C$10,'Fluxo de Caixa'!$L$29,0)</f>
        <v>0</v>
      </c>
      <c r="M114" s="81">
        <f>IF(11&lt;='Dados'!$C$10,'Fluxo de Caixa'!$M$29,0)</f>
        <v>0</v>
      </c>
      <c r="N114" s="81">
        <f>IF(12&lt;='Dados'!$C$10,'Fluxo de Caixa'!$N$29,0)</f>
        <v>0</v>
      </c>
    </row>
    <row r="115" spans="2:14" ht="16.5" customHeight="1">
      <c r="B115" s="98" t="s">
        <v>454</v>
      </c>
      <c r="C115" s="81">
        <f>IF(1&lt;='Dados'!$C$10,'Resumo Pessoal'!$C$37,0)</f>
        <v>725.8</v>
      </c>
      <c r="D115" s="81">
        <f>IF(2&lt;='Dados'!$C$10,'Resumo Pessoal'!$D$37,0)</f>
        <v>-202.35</v>
      </c>
      <c r="E115" s="81">
        <f>IF(3&lt;='Dados'!$C$10,'Resumo Pessoal'!$E$37,0)</f>
        <v>706.3</v>
      </c>
      <c r="F115" s="81">
        <f>IF(4&lt;='Dados'!$C$10,'Resumo Pessoal'!$F$37,0)</f>
        <v>-217.54</v>
      </c>
      <c r="G115" s="81">
        <f>IF(5&lt;='Dados'!$C$10,'Resumo Pessoal'!$G$37,0)</f>
        <v>-105.37</v>
      </c>
      <c r="H115" s="81">
        <f>IF(6&lt;='Dados'!$C$10,'Resumo Pessoal'!$H$37,0)</f>
        <v>869.54</v>
      </c>
      <c r="I115" s="81">
        <f>IF(7&lt;='Dados'!$C$10,'Resumo Pessoal'!$I$37,0)</f>
        <v>-1132.66</v>
      </c>
      <c r="J115" s="81">
        <f>IF(8&lt;='Dados'!$C$10,'Resumo Pessoal'!$J$37,0)</f>
        <v>-111.18</v>
      </c>
      <c r="K115" s="81">
        <f>IF(9&lt;='Dados'!$C$10,'Resumo Pessoal'!$K$37,0)</f>
        <v>560.05</v>
      </c>
      <c r="L115" s="81">
        <f>IF(10&lt;='Dados'!$C$10,'Resumo Pessoal'!$L$37,0)</f>
        <v>0</v>
      </c>
      <c r="M115" s="81">
        <f>IF(11&lt;='Dados'!$C$10,'Resumo Pessoal'!$M$37,0)</f>
        <v>0</v>
      </c>
      <c r="N115" s="81">
        <f>IF(12&lt;='Dados'!$C$10,'Resumo Pessoal'!$N$37,0)</f>
        <v>0</v>
      </c>
    </row>
    <row r="116" spans="2:14" ht="16.5" customHeight="1">
      <c r="B116" s="98" t="s">
        <v>455</v>
      </c>
      <c r="C116" s="81">
        <f>IF(1&lt;='Dados'!$C$10,'Resumo Pessoal'!$C$10,0)</f>
        <v>4500</v>
      </c>
      <c r="D116" s="81">
        <f>IF(2&lt;='Dados'!$C$10,'Resumo Pessoal'!$D$10,0)</f>
        <v>4500</v>
      </c>
      <c r="E116" s="81">
        <f>IF(3&lt;='Dados'!$C$10,'Resumo Pessoal'!$E$10,0)</f>
        <v>4500</v>
      </c>
      <c r="F116" s="81">
        <f>IF(4&lt;='Dados'!$C$10,'Resumo Pessoal'!$F$10,0)</f>
        <v>4500</v>
      </c>
      <c r="G116" s="81">
        <f>IF(5&lt;='Dados'!$C$10,'Resumo Pessoal'!$G$10,0)</f>
        <v>4500</v>
      </c>
      <c r="H116" s="81">
        <f>IF(6&lt;='Dados'!$C$10,'Resumo Pessoal'!$H$10,0)</f>
        <v>4500</v>
      </c>
      <c r="I116" s="81">
        <f>IF(7&lt;='Dados'!$C$10,'Resumo Pessoal'!$I$10,0)</f>
        <v>4500</v>
      </c>
      <c r="J116" s="81">
        <f>IF(8&lt;='Dados'!$C$10,'Resumo Pessoal'!$J$10,0)</f>
        <v>4500</v>
      </c>
      <c r="K116" s="81">
        <f>IF(9&lt;='Dados'!$C$10,'Resumo Pessoal'!$K$10,0)</f>
        <v>4500</v>
      </c>
      <c r="L116" s="81">
        <f>IF(10&lt;='Dados'!$C$10,'Resumo Pessoal'!$L$10,0)</f>
        <v>0</v>
      </c>
      <c r="M116" s="81">
        <f>IF(11&lt;='Dados'!$C$10,'Resumo Pessoal'!$M$10,0)</f>
        <v>0</v>
      </c>
      <c r="N116" s="81">
        <f>IF(12&lt;='Dados'!$C$10,'Resumo Pessoal'!$N$10,0)</f>
        <v>0</v>
      </c>
    </row>
    <row r="117" spans="2:14" ht="16.5" customHeight="1">
      <c r="B117" s="98" t="s">
        <v>456</v>
      </c>
      <c r="C117" s="81">
        <f>IF(1&lt;='Dados'!$C$10,'Resumo Pessoal'!$C$36,0)</f>
        <v>3820.83</v>
      </c>
      <c r="D117" s="81">
        <f>IF(2&lt;='Dados'!$C$10,'Resumo Pessoal'!$D$36,0)</f>
        <v>4753.13</v>
      </c>
      <c r="E117" s="81">
        <f>IF(3&lt;='Dados'!$C$10,'Resumo Pessoal'!$E$36,0)</f>
        <v>4238.38</v>
      </c>
      <c r="F117" s="81">
        <f>IF(4&lt;='Dados'!$C$10,'Resumo Pessoal'!$F$36,0)</f>
        <v>4786.95</v>
      </c>
      <c r="G117" s="81">
        <f>IF(5&lt;='Dados'!$C$10,'Resumo Pessoal'!$G$36,0)</f>
        <v>4658.59</v>
      </c>
      <c r="H117" s="81">
        <f>IF(6&lt;='Dados'!$C$10,'Resumo Pessoal'!$H$36,0)</f>
        <v>4032.46</v>
      </c>
      <c r="I117" s="81">
        <f>IF(7&lt;='Dados'!$C$10,'Resumo Pessoal'!$I$36,0)</f>
        <v>5693.25</v>
      </c>
      <c r="J117" s="81">
        <f>IF(8&lt;='Dados'!$C$10,'Resumo Pessoal'!$J$36,0)</f>
        <v>4656.1</v>
      </c>
      <c r="K117" s="81">
        <f>IF(9&lt;='Dados'!$C$10,'Resumo Pessoal'!$K$36,0)</f>
        <v>3992.84</v>
      </c>
      <c r="L117" s="81">
        <f>IF(10&lt;='Dados'!$C$10,'Resumo Pessoal'!$L$36,0)</f>
        <v>0</v>
      </c>
      <c r="M117" s="81">
        <f>IF(11&lt;='Dados'!$C$10,'Resumo Pessoal'!$M$36,0)</f>
        <v>0</v>
      </c>
      <c r="N117" s="81">
        <f>IF(12&lt;='Dados'!$C$10,'Resumo Pessoal'!$N$36,0)</f>
        <v>0</v>
      </c>
    </row>
    <row r="118" spans="2:14" ht="16.5" customHeight="1">
      <c r="B118" s="98" t="s">
        <v>457</v>
      </c>
      <c r="C118" s="164">
        <f>IF('Fluxo de Caixa'!$C$29&lt;0,1,99)</f>
        <v>99</v>
      </c>
      <c r="D118" s="164">
        <f>IF('Fluxo de Caixa'!$D$29&lt;0,2,99)</f>
        <v>99</v>
      </c>
      <c r="E118" s="164">
        <f>IF('Fluxo de Caixa'!$E$29&lt;0,3,99)</f>
        <v>99</v>
      </c>
      <c r="F118" s="164">
        <f>IF('Fluxo de Caixa'!$F$29&lt;0,4,99)</f>
        <v>99</v>
      </c>
      <c r="G118" s="164">
        <f>IF('Fluxo de Caixa'!$G$29&lt;0,5,99)</f>
        <v>99</v>
      </c>
      <c r="H118" s="164">
        <f>IF('Fluxo de Caixa'!$H$29&lt;0,6,99)</f>
        <v>99</v>
      </c>
      <c r="I118" s="164">
        <f>IF('Fluxo de Caixa'!$I$29&lt;0,7,99)</f>
        <v>99</v>
      </c>
      <c r="J118" s="164">
        <f>IF('Fluxo de Caixa'!$J$29&lt;0,8,99)</f>
        <v>99</v>
      </c>
      <c r="K118" s="164">
        <f>IF('Fluxo de Caixa'!$K$29&lt;0,9,99)</f>
        <v>99</v>
      </c>
      <c r="L118" s="164">
        <f>IF('Fluxo de Caixa'!$L$29&lt;0,10,99)</f>
        <v>99</v>
      </c>
      <c r="M118" s="164">
        <f>IF('Fluxo de Caixa'!$M$29&lt;0,11,99)</f>
        <v>99</v>
      </c>
      <c r="N118" s="164">
        <f>IF('Fluxo de Caixa'!$N$29&lt;0,12,99)</f>
        <v>99</v>
      </c>
    </row>
    <row r="119" spans="2:14" ht="16.5" customHeight="1">
      <c r="B119" s="98" t="s">
        <v>458</v>
      </c>
      <c r="C119" s="81">
        <f>IF(1&lt;='Dados'!$C$10,'Fluxo de Caixa'!$C$24,0)</f>
        <v>1579.19</v>
      </c>
      <c r="D119" s="81">
        <f>IF(2&lt;='Dados'!$C$10,'Fluxo de Caixa'!$D$24,0)</f>
        <v>1360.42</v>
      </c>
      <c r="E119" s="81">
        <f>IF(3&lt;='Dados'!$C$10,'Fluxo de Caixa'!$E$24,0)</f>
        <v>1842.43</v>
      </c>
      <c r="F119" s="81">
        <f>IF(4&lt;='Dados'!$C$10,'Fluxo de Caixa'!$F$24,0)</f>
        <v>1655.17</v>
      </c>
      <c r="G119" s="81">
        <f>IF(5&lt;='Dados'!$C$10,'Fluxo de Caixa'!$G$24,0)</f>
        <v>1211.78</v>
      </c>
      <c r="H119" s="81">
        <f>IF(6&lt;='Dados'!$C$10,'Fluxo de Caixa'!$H$24,0)</f>
        <v>2735.56</v>
      </c>
      <c r="I119" s="81">
        <f>IF(7&lt;='Dados'!$C$10,'Fluxo de Caixa'!$I$24,0)</f>
        <v>1843.84</v>
      </c>
      <c r="J119" s="81">
        <f>IF(8&lt;='Dados'!$C$10,'Fluxo de Caixa'!$J$24,0)</f>
        <v>1439.51</v>
      </c>
      <c r="K119" s="81">
        <f>IF(9&lt;='Dados'!$C$10,'Fluxo de Caixa'!$K$24,0)</f>
        <v>1470.11</v>
      </c>
      <c r="L119" s="81">
        <f>IF(10&lt;='Dados'!$C$10,'Fluxo de Caixa'!$L$24,0)</f>
        <v>0</v>
      </c>
      <c r="M119" s="81">
        <f>IF(11&lt;='Dados'!$C$10,'Fluxo de Caixa'!$M$24,0)</f>
        <v>0</v>
      </c>
      <c r="N119" s="81">
        <f>IF(12&lt;='Dados'!$C$10,'Fluxo de Caixa'!$N$24,0)</f>
        <v>0</v>
      </c>
    </row>
    <row r="120" spans="2:14" ht="16.5" customHeight="1">
      <c r="B120" s="98" t="s">
        <v>459</v>
      </c>
      <c r="C120" s="81">
        <f>IF(1&lt;='Dados'!$C$10,'Fluxo de Caixa'!$C$25,0)</f>
        <v>0</v>
      </c>
      <c r="D120" s="81">
        <f>IF(2&lt;='Dados'!$C$10,'Fluxo de Caixa'!$D$25,0)</f>
        <v>86.05</v>
      </c>
      <c r="E120" s="81">
        <f>IF(3&lt;='Dados'!$C$10,'Fluxo de Caixa'!$E$25,0)</f>
        <v>86.05</v>
      </c>
      <c r="F120" s="81">
        <f>IF(4&lt;='Dados'!$C$10,'Fluxo de Caixa'!$F$25,0)</f>
        <v>86.05</v>
      </c>
      <c r="G120" s="81">
        <f>IF(5&lt;='Dados'!$C$10,'Fluxo de Caixa'!$G$25,0)</f>
        <v>86.05</v>
      </c>
      <c r="H120" s="81">
        <f>IF(6&lt;='Dados'!$C$10,'Fluxo de Caixa'!$H$25,0)</f>
        <v>86.05</v>
      </c>
      <c r="I120" s="81">
        <f>IF(7&lt;='Dados'!$C$10,'Fluxo de Caixa'!$I$25,0)</f>
        <v>86.05</v>
      </c>
      <c r="J120" s="81">
        <f>IF(8&lt;='Dados'!$C$10,'Fluxo de Caixa'!$J$25,0)</f>
        <v>86.05</v>
      </c>
      <c r="K120" s="81">
        <f>IF(9&lt;='Dados'!$C$10,'Fluxo de Caixa'!$K$25,0)</f>
        <v>86.05</v>
      </c>
      <c r="L120" s="81">
        <f>IF(10&lt;='Dados'!$C$10,'Fluxo de Caixa'!$L$25,0)</f>
        <v>0</v>
      </c>
      <c r="M120" s="81">
        <f>IF(11&lt;='Dados'!$C$10,'Fluxo de Caixa'!$M$25,0)</f>
        <v>0</v>
      </c>
      <c r="N120" s="81">
        <f>IF(12&lt;='Dados'!$C$10,'Fluxo de Caixa'!$N$25,0)</f>
        <v>0</v>
      </c>
    </row>
    <row r="121" spans="2:14" ht="16.5" customHeight="1">
      <c r="B121" s="98" t="s">
        <v>460</v>
      </c>
      <c r="C121" s="81">
        <f>IF(1&lt;='Dados'!$C$10,'Fluxo de Caixa'!$C$26,0)</f>
        <v>4500</v>
      </c>
      <c r="D121" s="81">
        <f>IF(2&lt;='Dados'!$C$10,'Fluxo de Caixa'!$D$26,0)</f>
        <v>4500</v>
      </c>
      <c r="E121" s="81">
        <f>IF(3&lt;='Dados'!$C$10,'Fluxo de Caixa'!$E$26,0)</f>
        <v>4500</v>
      </c>
      <c r="F121" s="81">
        <f>IF(4&lt;='Dados'!$C$10,'Fluxo de Caixa'!$F$26,0)</f>
        <v>4500</v>
      </c>
      <c r="G121" s="81">
        <f>IF(5&lt;='Dados'!$C$10,'Fluxo de Caixa'!$G$26,0)</f>
        <v>4500</v>
      </c>
      <c r="H121" s="81">
        <f>IF(6&lt;='Dados'!$C$10,'Fluxo de Caixa'!$H$26,0)</f>
        <v>4500</v>
      </c>
      <c r="I121" s="81">
        <f>IF(7&lt;='Dados'!$C$10,'Fluxo de Caixa'!$I$26,0)</f>
        <v>4500</v>
      </c>
      <c r="J121" s="81">
        <f>IF(8&lt;='Dados'!$C$10,'Fluxo de Caixa'!$J$26,0)</f>
        <v>4500</v>
      </c>
      <c r="K121" s="81">
        <f>IF(9&lt;='Dados'!$C$10,'Fluxo de Caixa'!$K$26,0)</f>
        <v>4500</v>
      </c>
      <c r="L121" s="81">
        <f>IF(10&lt;='Dados'!$C$10,'Fluxo de Caixa'!$L$26,0)</f>
        <v>0</v>
      </c>
      <c r="M121" s="81">
        <f>IF(11&lt;='Dados'!$C$10,'Fluxo de Caixa'!$M$26,0)</f>
        <v>0</v>
      </c>
      <c r="N121" s="81">
        <f>IF(12&lt;='Dados'!$C$10,'Fluxo de Caixa'!$N$26,0)</f>
        <v>0</v>
      </c>
    </row>
    <row r="124" spans="2:14" ht="16.5" customHeight="1">
      <c r="B124" s="120" t="s">
        <v>461</v>
      </c>
      <c r="C124" s="120" t="s">
        <v>134</v>
      </c>
    </row>
    <row r="125" spans="2:14" ht="16.5" customHeight="1">
      <c r="B125" s="98" t="s">
        <v>458</v>
      </c>
      <c r="C125" s="81">
        <f>SUM($C$119:$N$119)</f>
        <v>15138.01</v>
      </c>
    </row>
    <row r="126" spans="2:14" ht="16.5" customHeight="1">
      <c r="B126" s="98" t="s">
        <v>462</v>
      </c>
      <c r="C126" s="81">
        <f>SUM($C$120:$N$120)</f>
        <v>688.4</v>
      </c>
    </row>
    <row r="127" spans="2:14" ht="16.5" customHeight="1">
      <c r="B127" s="98" t="s">
        <v>463</v>
      </c>
      <c r="C127" s="81">
        <f>SUM($C$121:$N$121)</f>
        <v>40500</v>
      </c>
    </row>
    <row r="128" spans="2:14" ht="16.5" customHeight="1">
      <c r="B128" s="98" t="s">
        <v>464</v>
      </c>
      <c r="C128" s="81">
        <f>MAX(0,SUM($C$108:$N$108)-SUM($C$119:$N$119)-SUM($C$120:$N$120)-SUM($C$121:$N$121))</f>
        <v>182.179999999993</v>
      </c>
    </row>
  </sheetData>
  <mergeCells count="20">
    <mergeCell ref="B1:C1"/>
    <mergeCell ref="D1:I1"/>
    <mergeCell ref="J1:L1"/>
    <mergeCell ref="M1:P1"/>
    <mergeCell ref="Q1:S1"/>
    <mergeCell ref="B2:C2"/>
    <mergeCell ref="D2:I2"/>
    <mergeCell ref="J2:L2"/>
    <mergeCell ref="M2:P2"/>
    <mergeCell ref="Q2:S2"/>
    <mergeCell ref="B3:C3"/>
    <mergeCell ref="D3:H3"/>
    <mergeCell ref="I3:K3"/>
    <mergeCell ref="L3:N3"/>
    <mergeCell ref="O3:Q3"/>
    <mergeCell ref="R3:S3"/>
    <mergeCell ref="B5:S5"/>
    <mergeCell ref="B6:S6"/>
    <mergeCell ref="B7:C7"/>
    <mergeCell ref="B39:C39"/>
  </mergeCells>
  <hyperlinks>
    <hyperlink ref="B1" location="'Início'!A1" display="🏠 Início"/>
    <hyperlink ref="D1" location="'Painel Geral'!A1" display="📊 Painel Geral"/>
    <hyperlink ref="J1" location="'Painel Pessoal'!A1" display="👤 Painel Pessoal"/>
    <hyperlink ref="M1" location="'Painel Negócio'!A1" display="💼 Painel Negócio"/>
    <hyperlink ref="Q1" location="'Config'!A1" display="⚙ Config"/>
    <hyperlink ref="D2" location="'Lanç. Pessoal'!A1" display="📝 Lançamentos"/>
    <hyperlink ref="J2" location="'Orçamento Pessoal'!A1" display="💳 Orçamento"/>
    <hyperlink ref="M2" location="'Resumo Pessoal'!A1" display="📅 Resumo anual"/>
    <hyperlink ref="Q2" location="'Metas'!A1" display="🎯 Metas"/>
    <hyperlink ref="D3" location="'Lanç. Negócio'!A1" display="📝 Lançamentos"/>
    <hyperlink ref="I3" location="'Clientes'!A1" display="🤝 Clientes"/>
    <hyperlink ref="L3" location="'Recebimentos'!A1" display="💰 Recebimentos"/>
    <hyperlink ref="O3" location="'Impostos'!A1" display="🧾 Impostos"/>
    <hyperlink ref="R3" location="'Fluxo de Caixa'!A1" display="📈 Fluxo de Caixa"/>
  </hyperlinks>
  <pageMargins left="0.4" right="0.4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Início</vt:lpstr>
      <vt:lpstr>Painel Geral</vt:lpstr>
      <vt:lpstr>Painel Pessoal</vt:lpstr>
      <vt:lpstr>Painel Negócio</vt:lpstr>
      <vt:lpstr>Lanç. Pessoal</vt:lpstr>
      <vt:lpstr>Orçamento Pessoal</vt:lpstr>
      <vt:lpstr>Resumo Pessoal</vt:lpstr>
      <vt:lpstr>Metas</vt:lpstr>
      <vt:lpstr>Lanç. Negócio</vt:lpstr>
      <vt:lpstr>Clientes</vt:lpstr>
      <vt:lpstr>Recebimentos</vt:lpstr>
      <vt:lpstr>Impostos</vt:lpstr>
      <vt:lpstr>Fluxo de Caixa</vt:lpstr>
      <vt:lpstr>Config</vt:lpstr>
      <vt:lpstr>Dados</vt:lpstr>
      <vt:lpstr>'Lanç. Negócio'!Print_Titles</vt:lpstr>
      <vt:lpstr>'Lanç. Pessoal'!Print_Titles</vt:lpstr>
      <vt:lpstr>Recebimentos!Print_Titles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Finanças em Dia — Autônomo &amp; MEI</dc:title>
  <dc:subject>Planilha de controle financeiro</dc:subject>
  <dc:creator>Finanças em Dia</dc:creator>
  <dc:description>Compatível com Excel e Google Sheets</dc:description>
  <cp:lastModifiedBy>Finanças em Dia</cp:lastModifiedBy>
  <dcterms:created xsi:type="dcterms:W3CDTF">2026-10-04T01:26:30Z</dcterms:created>
  <dcterms:modified xsi:type="dcterms:W3CDTF">2026-10-04T01:26:30Z</dcterms:modified>
</cp:coreProperties>
</file>